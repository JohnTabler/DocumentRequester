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1.xml" ContentType="application/vnd.openxmlformats-officedocument.drawing+xml"/>
  <Override PartName="/xl/tables/table2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tables/table26.xml" ContentType="application/vnd.openxmlformats-officedocument.spreadsheetml.table+xml"/>
  <Override PartName="/xl/drawings/drawing3.xml" ContentType="application/vnd.openxmlformats-officedocument.drawing+xml"/>
  <Override PartName="/xl/tables/table27.xml" ContentType="application/vnd.openxmlformats-officedocument.spreadsheetml.table+xml"/>
  <Override PartName="/xl/drawings/drawing4.xml" ContentType="application/vnd.openxmlformats-officedocument.drawing+xml"/>
  <Override PartName="/xl/tables/table28.xml" ContentType="application/vnd.openxmlformats-officedocument.spreadsheetml.table+xml"/>
  <Override PartName="/xl/drawings/drawing5.xml" ContentType="application/vnd.openxmlformats-officedocument.drawing+xml"/>
  <Override PartName="/xl/tables/table29.xml" ContentType="application/vnd.openxmlformats-officedocument.spreadsheetml.table+xml"/>
  <Override PartName="/xl/drawings/drawing6.xml" ContentType="application/vnd.openxmlformats-officedocument.drawing+xml"/>
  <Override PartName="/xl/tables/table30.xml" ContentType="application/vnd.openxmlformats-officedocument.spreadsheetml.table+xml"/>
  <Override PartName="/xl/drawings/drawing7.xml" ContentType="application/vnd.openxmlformats-officedocument.drawing+xml"/>
  <Override PartName="/xl/tables/table31.xml" ContentType="application/vnd.openxmlformats-officedocument.spreadsheetml.table+xml"/>
  <Override PartName="/xl/drawings/drawing8.xml" ContentType="application/vnd.openxmlformats-officedocument.drawing+xml"/>
  <Override PartName="/xl/tables/table32.xml" ContentType="application/vnd.openxmlformats-officedocument.spreadsheetml.table+xml"/>
  <Override PartName="/xl/drawings/drawing9.xml" ContentType="application/vnd.openxmlformats-officedocument.drawing+xml"/>
  <Override PartName="/xl/tables/table33.xml" ContentType="application/vnd.openxmlformats-officedocument.spreadsheetml.table+xml"/>
  <Override PartName="/xl/tables/table34.xml" ContentType="application/vnd.openxmlformats-officedocument.spreadsheetml.table+xml"/>
  <Override PartName="/xl/drawings/drawing10.xml" ContentType="application/vnd.openxmlformats-officedocument.drawing+xml"/>
  <Override PartName="/xl/tables/table3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4a433bbdfe5344c6"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TalinKouyoumdjian\Downloads\"/>
    </mc:Choice>
  </mc:AlternateContent>
  <xr:revisionPtr revIDLastSave="0" documentId="8_{E2FECAC4-E26D-4A30-BC65-39998D8D6D7B}" xr6:coauthVersionLast="47" xr6:coauthVersionMax="47" xr10:uidLastSave="{00000000-0000-0000-0000-000000000000}"/>
  <bookViews>
    <workbookView xWindow="-22670" yWindow="-110" windowWidth="22780" windowHeight="14540" firstSheet="1" activeTab="3" xr2:uid="{DDB48474-39F1-4CD4-BB77-8C684AF2EF1F}"/>
  </bookViews>
  <sheets>
    <sheet name="Settings" sheetId="2" state="veryHidden" r:id="rId1"/>
    <sheet name="Dashboard" sheetId="1" r:id="rId2"/>
    <sheet name="Master FF&amp;E List" sheetId="3" r:id="rId3"/>
    <sheet name="Issue Log" sheetId="4" r:id="rId4"/>
    <sheet name="FF&amp;E Punch List" sheetId="5" r:id="rId5"/>
    <sheet name="Move Management" sheetId="6" r:id="rId6"/>
    <sheet name="Swing Space" sheetId="7" r:id="rId7"/>
    <sheet name="Tenant Improvement" sheetId="12" r:id="rId8"/>
    <sheet name="Swing Space Punch List" sheetId="8" r:id="rId9"/>
    <sheet name="Schedule" sheetId="11" r:id="rId10"/>
    <sheet name="Budget &amp; Costs" sheetId="9" r:id="rId11"/>
  </sheets>
  <definedNames>
    <definedName name="ActivityTypes">Settings!$A$225:$A$231</definedName>
    <definedName name="ActualGrandTotal">'Budget &amp; Costs'!$S$10</definedName>
    <definedName name="ActualOverUnder">'Budget &amp; Costs'!$S$11</definedName>
    <definedName name="ActualTotal">'Budget &amp; Costs'!$R$10</definedName>
    <definedName name="Contingency">'Budget &amp; Costs'!$N$8</definedName>
    <definedName name="DataRequiredList">Settings!$A$34:$A$37</definedName>
    <definedName name="FFEBudget">'Budget &amp; Costs'!$N$7</definedName>
    <definedName name="FFEItemStatusList">Settings!$A$131:$A$134</definedName>
    <definedName name="FundingSourceList">Settings!$A$86:$A$89</definedName>
    <definedName name="FundsRemaining">Dashboard!$I$22</definedName>
    <definedName name="IssueStatusList">Settings!$A$181:$A$182</definedName>
    <definedName name="IssueTypeList">Settings!$A$161:$A$178</definedName>
    <definedName name="ItemConditionList">Settings!$A$137:$A$140</definedName>
    <definedName name="MasterFFETable">'Master FF&amp;E List'!#REF!</definedName>
    <definedName name="MaxDate">Settings!#REF!</definedName>
    <definedName name="MinDate">Settings!#REF!</definedName>
    <definedName name="MountedList">Settings!$A$40:$A$44</definedName>
    <definedName name="MoveStatusList">Settings!$A$214:$A$217</definedName>
    <definedName name="OccupantsList">Settings!$A$185:$A$194</definedName>
    <definedName name="PlannedGrandTotalLists">'Budget &amp; Costs'!$P$10</definedName>
    <definedName name="PlannedOverUnder">'Budget &amp; Costs'!$P$11</definedName>
    <definedName name="PowerRequiredList">Settings!$A$21:$A$31</definedName>
    <definedName name="_xlnm.Print_Area" localSheetId="0">Settings!$A$1:$S$241</definedName>
    <definedName name="PriorityList">Settings!$A$148:$A$150</definedName>
    <definedName name="ProcessStatusList">Settings!$A$119:$A$128</definedName>
    <definedName name="ProcurementList">Settings!$A$79:$A$83</definedName>
    <definedName name="ProductTypeList">Settings!$A$13:$A$18</definedName>
    <definedName name="ProjectName">Settings!$A$1</definedName>
    <definedName name="ProjectNameReport">Settings!$E$12</definedName>
    <definedName name="PunchListItemList">Settings!$A$153:$A$154</definedName>
    <definedName name="PunchListStatusList">Settings!$A$220:$A$222</definedName>
    <definedName name="RoomTypeList">Settings!$A$47:$A$76</definedName>
    <definedName name="ScheduleActivityType">ActivityTypeSchedule[[#Headers],[Activity Type Schedule]]</definedName>
    <definedName name="SwingSpaceItemList">Settings!$A$157:$A$158</definedName>
    <definedName name="SwingSpacePhaseList">Settings!$A$197:$A$202</definedName>
    <definedName name="TotalFFEBudget">'Budget &amp; Costs'!$P$9</definedName>
    <definedName name="TrueContingency">'Budget &amp; Costs'!$P$8</definedName>
    <definedName name="TrueFFEBudget">'Budget &amp; Costs'!$P$7</definedName>
    <definedName name="UnitOfMeasureList">Settings!$A$92:$A$116</definedName>
    <definedName name="WarrantyList">Settings!$A$143:$A$145</definedName>
    <definedName name="WarrantyTypeList">Settings!$A$205:$A$211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2" l="1"/>
  <c r="B4" i="2"/>
  <c r="B9" i="2" l="1"/>
  <c r="B8" i="2"/>
  <c r="B7" i="2"/>
  <c r="B6" i="2"/>
  <c r="B5" i="2"/>
  <c r="B3" i="2"/>
  <c r="B2" i="2"/>
  <c r="B1" i="2"/>
</calcChain>
</file>

<file path=xl/sharedStrings.xml><?xml version="1.0" encoding="utf-8"?>
<sst xmlns="http://schemas.openxmlformats.org/spreadsheetml/2006/main" count="32228" uniqueCount="2217">
  <si>
    <t>Item Name</t>
  </si>
  <si>
    <t>Item Description</t>
  </si>
  <si>
    <t>Vendor</t>
  </si>
  <si>
    <t>Product Type</t>
  </si>
  <si>
    <t>Product Link</t>
  </si>
  <si>
    <t>Model No.</t>
  </si>
  <si>
    <t>Product/SKU Code</t>
  </si>
  <si>
    <t>Client Asset Tag</t>
  </si>
  <si>
    <t>Weight</t>
  </si>
  <si>
    <t>Power Required</t>
  </si>
  <si>
    <t>Data Required</t>
  </si>
  <si>
    <t>Mounted</t>
  </si>
  <si>
    <t>Room Type</t>
  </si>
  <si>
    <t>Room No.</t>
  </si>
  <si>
    <t>Procurement Method &amp; Installation</t>
  </si>
  <si>
    <t>Funding Source</t>
  </si>
  <si>
    <t>Total Item Quantity Needed</t>
  </si>
  <si>
    <t>Unit Price of New Item</t>
  </si>
  <si>
    <t>Unit of Measure</t>
  </si>
  <si>
    <t>ETA</t>
  </si>
  <si>
    <t>Process Status</t>
  </si>
  <si>
    <t>FF&amp;E Item Status</t>
  </si>
  <si>
    <t>Item Condition</t>
  </si>
  <si>
    <t>Warranty Type</t>
  </si>
  <si>
    <t>Priority</t>
  </si>
  <si>
    <t>Notes</t>
  </si>
  <si>
    <t>Related Docs</t>
  </si>
  <si>
    <t>Issue Type</t>
  </si>
  <si>
    <t>Issue Status</t>
  </si>
  <si>
    <t>Description of Issue</t>
  </si>
  <si>
    <t>Resolution</t>
  </si>
  <si>
    <t>No. of Items with Issue</t>
  </si>
  <si>
    <t>No. of Items Resolved</t>
  </si>
  <si>
    <t>Extended Cost of Item</t>
  </si>
  <si>
    <t>Remaining Tasks &amp; Corrections</t>
  </si>
  <si>
    <t>Punch List Item Status</t>
  </si>
  <si>
    <t>Building</t>
  </si>
  <si>
    <t>Floor</t>
  </si>
  <si>
    <t>Current Room Type</t>
  </si>
  <si>
    <t>Current Room No.</t>
  </si>
  <si>
    <t>New Room Type</t>
  </si>
  <si>
    <t>New Room No.</t>
  </si>
  <si>
    <t>Current Building Location</t>
  </si>
  <si>
    <t>Current Floor Location</t>
  </si>
  <si>
    <t>New Building Location</t>
  </si>
  <si>
    <t>New Floor Location</t>
  </si>
  <si>
    <t>Items Being Moved</t>
  </si>
  <si>
    <t>No. of Boxes</t>
  </si>
  <si>
    <t>Box Label/Tags</t>
  </si>
  <si>
    <t>Transportation Entity</t>
  </si>
  <si>
    <t>Transportation Entity POC</t>
  </si>
  <si>
    <t>Client/Owner POC</t>
  </si>
  <si>
    <t>Scheduled Move Date</t>
  </si>
  <si>
    <t>Date Moved to New Location</t>
  </si>
  <si>
    <t>Cost Area</t>
  </si>
  <si>
    <t>Item</t>
  </si>
  <si>
    <t>Quote Amount</t>
  </si>
  <si>
    <t>Actual Spend Amount</t>
  </si>
  <si>
    <t>Comments</t>
  </si>
  <si>
    <t>FF&amp;E Budget</t>
  </si>
  <si>
    <t>Contingency (10%)</t>
  </si>
  <si>
    <t>Total FF&amp;E Budget</t>
  </si>
  <si>
    <t>Planned Grand Total FF&amp;E Lists</t>
  </si>
  <si>
    <t>Actual Grand Total FF&amp;E Lists</t>
  </si>
  <si>
    <t>Planned Over/Under Budget</t>
  </si>
  <si>
    <t>Actual Over/Under Budget</t>
  </si>
  <si>
    <t>MM-1</t>
  </si>
  <si>
    <t>Swing Space Status</t>
  </si>
  <si>
    <t>No. of Occupants</t>
  </si>
  <si>
    <t>FF&amp;E Needs</t>
  </si>
  <si>
    <t>Technology Needs</t>
  </si>
  <si>
    <t>Facility/Space Needs</t>
  </si>
  <si>
    <t>Swing Building</t>
  </si>
  <si>
    <t>Swing Room Type</t>
  </si>
  <si>
    <t>No. of Boxes Needed</t>
  </si>
  <si>
    <t>Swing Room No.</t>
  </si>
  <si>
    <t>Date Moved to Swing Space</t>
  </si>
  <si>
    <t>Scheduled Move Date to New Location</t>
  </si>
  <si>
    <t>Scheduled Move Date to Swing Space</t>
  </si>
  <si>
    <t>Current Action Owner</t>
  </si>
  <si>
    <t>Swing Space Item (Y/N)</t>
  </si>
  <si>
    <t>FF&amp;E ID</t>
  </si>
  <si>
    <t>ID</t>
  </si>
  <si>
    <t>Move Management ID</t>
  </si>
  <si>
    <t>Swing Space ID</t>
  </si>
  <si>
    <t xml:space="preserve"> ID</t>
  </si>
  <si>
    <t>Associated Move Management ID</t>
  </si>
  <si>
    <t>Associated Swing Space ID</t>
  </si>
  <si>
    <t>Associated FF&amp;E ID</t>
  </si>
  <si>
    <t>Swing Space Phase</t>
  </si>
  <si>
    <t>Move Management Status</t>
  </si>
  <si>
    <t>Equip No.</t>
  </si>
  <si>
    <t>User/User Group</t>
  </si>
  <si>
    <t>Vendor/Supplier</t>
  </si>
  <si>
    <t>Vendor/Supplier POC</t>
  </si>
  <si>
    <t>Power Type Required</t>
  </si>
  <si>
    <t>Data Type Required</t>
  </si>
  <si>
    <t>Mounting Type</t>
  </si>
  <si>
    <t>Manufacturer</t>
  </si>
  <si>
    <t>Move Cost</t>
  </si>
  <si>
    <t>AV/Ed-Tech</t>
  </si>
  <si>
    <t>IT</t>
  </si>
  <si>
    <t>Other</t>
  </si>
  <si>
    <t>Misc. Item Fees/Taxes</t>
  </si>
  <si>
    <t>N/A</t>
  </si>
  <si>
    <t>50V or less</t>
  </si>
  <si>
    <t>110V</t>
  </si>
  <si>
    <t>120V</t>
  </si>
  <si>
    <t>220V</t>
  </si>
  <si>
    <t>240V</t>
  </si>
  <si>
    <t>480V</t>
  </si>
  <si>
    <t>Wireless (Wi-Fi)</t>
  </si>
  <si>
    <t>Hard-wired</t>
  </si>
  <si>
    <t>Wi-Fi &amp; Hard-wired</t>
  </si>
  <si>
    <t>Ceiling</t>
  </si>
  <si>
    <t>Wall</t>
  </si>
  <si>
    <t>Reception Area</t>
  </si>
  <si>
    <t>Office</t>
  </si>
  <si>
    <t>Conference Room</t>
  </si>
  <si>
    <t>Workstation</t>
  </si>
  <si>
    <t>Break Room</t>
  </si>
  <si>
    <t>Storage</t>
  </si>
  <si>
    <t>Janitorial</t>
  </si>
  <si>
    <t>Lactation Room</t>
  </si>
  <si>
    <t>Supply Room</t>
  </si>
  <si>
    <t>Server Room</t>
  </si>
  <si>
    <t>Mockup Storage</t>
  </si>
  <si>
    <t>Restroom</t>
  </si>
  <si>
    <t>Utility Room</t>
  </si>
  <si>
    <t>Classroom</t>
  </si>
  <si>
    <t>Studio</t>
  </si>
  <si>
    <t>Multi-Purpose</t>
  </si>
  <si>
    <t>Equipment Room</t>
  </si>
  <si>
    <t>Copy Room</t>
  </si>
  <si>
    <t>Lab</t>
  </si>
  <si>
    <t>Computer Lab</t>
  </si>
  <si>
    <t>Procurement</t>
  </si>
  <si>
    <t>OFCI</t>
  </si>
  <si>
    <t>OFOI</t>
  </si>
  <si>
    <t>CFCI</t>
  </si>
  <si>
    <t>CFOI</t>
  </si>
  <si>
    <t>Measure HH</t>
  </si>
  <si>
    <t>mL</t>
  </si>
  <si>
    <t>L</t>
  </si>
  <si>
    <t>Each</t>
  </si>
  <si>
    <t>Piece</t>
  </si>
  <si>
    <t>Pair</t>
  </si>
  <si>
    <t>Set</t>
  </si>
  <si>
    <t>Bolt</t>
  </si>
  <si>
    <t>Dozen</t>
  </si>
  <si>
    <t>Pack</t>
  </si>
  <si>
    <t>Case/box</t>
  </si>
  <si>
    <t>Pallet</t>
  </si>
  <si>
    <t>Quoted</t>
  </si>
  <si>
    <t>Under Review</t>
  </si>
  <si>
    <t>Approved</t>
  </si>
  <si>
    <t>Ordered</t>
  </si>
  <si>
    <t>Shipped</t>
  </si>
  <si>
    <t>Delivered</t>
  </si>
  <si>
    <t>In Return (Process)</t>
  </si>
  <si>
    <t>Returned</t>
  </si>
  <si>
    <t>FFE Item Status</t>
  </si>
  <si>
    <t>On Track</t>
  </si>
  <si>
    <t>Issue</t>
  </si>
  <si>
    <t>New</t>
  </si>
  <si>
    <t>Used (Existing Item)</t>
  </si>
  <si>
    <t>New &amp; Used (Existing Item)</t>
  </si>
  <si>
    <t>Remanufactured</t>
  </si>
  <si>
    <t>Warranty</t>
  </si>
  <si>
    <t>TBD</t>
  </si>
  <si>
    <t>Yes</t>
  </si>
  <si>
    <t>No</t>
  </si>
  <si>
    <t>High</t>
  </si>
  <si>
    <t>Medium</t>
  </si>
  <si>
    <t>Low</t>
  </si>
  <si>
    <t>Punch List Item</t>
  </si>
  <si>
    <t>Swing Space Item</t>
  </si>
  <si>
    <t>Damage</t>
  </si>
  <si>
    <t>Delay</t>
  </si>
  <si>
    <t>Not Available</t>
  </si>
  <si>
    <t>Missing Item</t>
  </si>
  <si>
    <t>Missing Part(s)</t>
  </si>
  <si>
    <t>Wrong Item</t>
  </si>
  <si>
    <t>Misdelivered</t>
  </si>
  <si>
    <t>Malfunction</t>
  </si>
  <si>
    <t>Incorrect Item Description</t>
  </si>
  <si>
    <t>Budget/Financial</t>
  </si>
  <si>
    <t>Coordination</t>
  </si>
  <si>
    <t>Safety/Security</t>
  </si>
  <si>
    <t>Operations/Services</t>
  </si>
  <si>
    <t>Planning</t>
  </si>
  <si>
    <t>Noise Pollution</t>
  </si>
  <si>
    <t>Location Access</t>
  </si>
  <si>
    <t>Accessibility (ADA)</t>
  </si>
  <si>
    <t>Active</t>
  </si>
  <si>
    <t>Resolved</t>
  </si>
  <si>
    <t>Number of Occupants</t>
  </si>
  <si>
    <t>1 to 5</t>
  </si>
  <si>
    <t>6 to 10</t>
  </si>
  <si>
    <t>11 to 15</t>
  </si>
  <si>
    <t>16 to 20</t>
  </si>
  <si>
    <t>21 to 25</t>
  </si>
  <si>
    <t>26 to 30</t>
  </si>
  <si>
    <t>31 to 35</t>
  </si>
  <si>
    <t>36 to 40</t>
  </si>
  <si>
    <t>40+</t>
  </si>
  <si>
    <t>Swing Prep</t>
  </si>
  <si>
    <t>Ready for Move-In</t>
  </si>
  <si>
    <t>In Swing</t>
  </si>
  <si>
    <t>Move Out Scheduled</t>
  </si>
  <si>
    <t>Moved</t>
  </si>
  <si>
    <t>Activity</t>
  </si>
  <si>
    <t>Activity Type</t>
  </si>
  <si>
    <t>Planned Start</t>
  </si>
  <si>
    <t>Planned Finish</t>
  </si>
  <si>
    <t>Actual Start</t>
  </si>
  <si>
    <t>Actual Finish</t>
  </si>
  <si>
    <t>% Complete</t>
  </si>
  <si>
    <t>1-yr</t>
  </si>
  <si>
    <t>5-yr</t>
  </si>
  <si>
    <t>7-yr</t>
  </si>
  <si>
    <t>10-yr</t>
  </si>
  <si>
    <t>12-yr</t>
  </si>
  <si>
    <t>Furniture-Fixtures-Equip (Non AV/Ed-Tech &amp; IT)</t>
  </si>
  <si>
    <t>kg</t>
  </si>
  <si>
    <t>lb</t>
  </si>
  <si>
    <t>oz</t>
  </si>
  <si>
    <t>gal</t>
  </si>
  <si>
    <t>fl oz</t>
  </si>
  <si>
    <t>m</t>
  </si>
  <si>
    <t>cm</t>
  </si>
  <si>
    <t>in</t>
  </si>
  <si>
    <t>ft</t>
  </si>
  <si>
    <t>yd</t>
  </si>
  <si>
    <t>yd²</t>
  </si>
  <si>
    <t>m²</t>
  </si>
  <si>
    <t>ft²</t>
  </si>
  <si>
    <t>Warranty (Y/N)</t>
  </si>
  <si>
    <t>Punch List Item (Y/N)</t>
  </si>
  <si>
    <t>New Item Quantity (To Order)</t>
  </si>
  <si>
    <t>Existing Quantity (If Re-used)</t>
  </si>
  <si>
    <t>FFE-1</t>
  </si>
  <si>
    <t>Complete</t>
  </si>
  <si>
    <t>Move Status</t>
  </si>
  <si>
    <t>Swing Space Punch List Item (Y/N)</t>
  </si>
  <si>
    <t>SS-1</t>
  </si>
  <si>
    <t>Punch List Status</t>
  </si>
  <si>
    <t>Signed-Off/Closed</t>
  </si>
  <si>
    <t>Action Owner</t>
  </si>
  <si>
    <t>Swing Floor</t>
  </si>
  <si>
    <t>Swing Space Cost</t>
  </si>
  <si>
    <t>Move Management</t>
  </si>
  <si>
    <t>Swing Space</t>
  </si>
  <si>
    <t>Activity Type Schedule</t>
  </si>
  <si>
    <t>Planned Duration (in Days)</t>
  </si>
  <si>
    <t>Actual Duration (in Days)</t>
  </si>
  <si>
    <t>Variance</t>
  </si>
  <si>
    <t>Apr-02</t>
  </si>
  <si>
    <t>Apr-01</t>
  </si>
  <si>
    <t>Apr-03</t>
  </si>
  <si>
    <t>Apr-04</t>
  </si>
  <si>
    <t>Apr-05</t>
  </si>
  <si>
    <t>Apr-06</t>
  </si>
  <si>
    <t>Apr-07</t>
  </si>
  <si>
    <t>Apr-08</t>
  </si>
  <si>
    <t>Apr-09</t>
  </si>
  <si>
    <t>Apr-10</t>
  </si>
  <si>
    <t>Apr-11</t>
  </si>
  <si>
    <t>Apr-12</t>
  </si>
  <si>
    <t>Apr-13</t>
  </si>
  <si>
    <t>Apr-14</t>
  </si>
  <si>
    <t>Apr-15</t>
  </si>
  <si>
    <t>Apr-16</t>
  </si>
  <si>
    <t>Apr-17</t>
  </si>
  <si>
    <t>Apr-18</t>
  </si>
  <si>
    <t>Apr-19</t>
  </si>
  <si>
    <t>Apr-20</t>
  </si>
  <si>
    <t>Apr-21</t>
  </si>
  <si>
    <t>Apr-22</t>
  </si>
  <si>
    <t>Apr-23</t>
  </si>
  <si>
    <t>Apr-24</t>
  </si>
  <si>
    <t>Apr-25</t>
  </si>
  <si>
    <t>Apr-26</t>
  </si>
  <si>
    <t>Apr-27</t>
  </si>
  <si>
    <t>Apr-28</t>
  </si>
  <si>
    <t>Apr-29</t>
  </si>
  <si>
    <t>Apr-30</t>
  </si>
  <si>
    <t>May-01</t>
  </si>
  <si>
    <t>May-02</t>
  </si>
  <si>
    <t>May-03</t>
  </si>
  <si>
    <t>May-04</t>
  </si>
  <si>
    <t>May-05</t>
  </si>
  <si>
    <t>May-06</t>
  </si>
  <si>
    <t>May-07</t>
  </si>
  <si>
    <t>May-08</t>
  </si>
  <si>
    <t>May-09</t>
  </si>
  <si>
    <t>May-10</t>
  </si>
  <si>
    <t>May-11</t>
  </si>
  <si>
    <t>May-12</t>
  </si>
  <si>
    <t>May-13</t>
  </si>
  <si>
    <t>May-14</t>
  </si>
  <si>
    <t>May-15</t>
  </si>
  <si>
    <t>May-16</t>
  </si>
  <si>
    <t>May-17</t>
  </si>
  <si>
    <t>May-18</t>
  </si>
  <si>
    <t>May-19</t>
  </si>
  <si>
    <t>May-20</t>
  </si>
  <si>
    <t>May-21</t>
  </si>
  <si>
    <t>May-22</t>
  </si>
  <si>
    <t>May-23</t>
  </si>
  <si>
    <t>May-24</t>
  </si>
  <si>
    <t>May-25</t>
  </si>
  <si>
    <t>May-26</t>
  </si>
  <si>
    <t>May-27</t>
  </si>
  <si>
    <t>May-28</t>
  </si>
  <si>
    <t>May-29</t>
  </si>
  <si>
    <t>May-30</t>
  </si>
  <si>
    <t>May-31</t>
  </si>
  <si>
    <t>Jun-01</t>
  </si>
  <si>
    <t>Jun-02</t>
  </si>
  <si>
    <t>Jun-03</t>
  </si>
  <si>
    <t>Jun-04</t>
  </si>
  <si>
    <t>Jun-05</t>
  </si>
  <si>
    <t>Jun-06</t>
  </si>
  <si>
    <t>Jun-07</t>
  </si>
  <si>
    <t>Jun-08</t>
  </si>
  <si>
    <t>Jun-09</t>
  </si>
  <si>
    <t>Jun-10</t>
  </si>
  <si>
    <t>Jun-11</t>
  </si>
  <si>
    <t>Jun-12</t>
  </si>
  <si>
    <t>Jun-13</t>
  </si>
  <si>
    <t>Jun-14</t>
  </si>
  <si>
    <t>Jun-15</t>
  </si>
  <si>
    <t>Jun-16</t>
  </si>
  <si>
    <t>Jun-17</t>
  </si>
  <si>
    <t>Jun-18</t>
  </si>
  <si>
    <t>Jun-19</t>
  </si>
  <si>
    <t>Jun-20</t>
  </si>
  <si>
    <t>Jun-21</t>
  </si>
  <si>
    <t>Jun-22</t>
  </si>
  <si>
    <t>Jun-23</t>
  </si>
  <si>
    <t>Jun-24</t>
  </si>
  <si>
    <t>Jun-25</t>
  </si>
  <si>
    <t>Jun-26</t>
  </si>
  <si>
    <t>Jun-27</t>
  </si>
  <si>
    <t>Jun-28</t>
  </si>
  <si>
    <t>Jun-29</t>
  </si>
  <si>
    <t>Jun-30</t>
  </si>
  <si>
    <t>Jul-01</t>
  </si>
  <si>
    <t>Jul-02</t>
  </si>
  <si>
    <t>Jul-03</t>
  </si>
  <si>
    <t>Jul-04</t>
  </si>
  <si>
    <t>Jul-05</t>
  </si>
  <si>
    <t>Jul-06</t>
  </si>
  <si>
    <t>Jul-07</t>
  </si>
  <si>
    <t>Jul-08</t>
  </si>
  <si>
    <t>Jul-09</t>
  </si>
  <si>
    <t>Jul-10</t>
  </si>
  <si>
    <t>Jul-11</t>
  </si>
  <si>
    <t>Jul-12</t>
  </si>
  <si>
    <t>Jul-13</t>
  </si>
  <si>
    <t>Jul-14</t>
  </si>
  <si>
    <t>Jul-15</t>
  </si>
  <si>
    <t>Jul-16</t>
  </si>
  <si>
    <t>Jul-17</t>
  </si>
  <si>
    <t>Jul-18</t>
  </si>
  <si>
    <t>Jul-19</t>
  </si>
  <si>
    <t>Jul-20</t>
  </si>
  <si>
    <t>Jul-21</t>
  </si>
  <si>
    <t>Jul-22</t>
  </si>
  <si>
    <t>Jul-23</t>
  </si>
  <si>
    <t>Jul-24</t>
  </si>
  <si>
    <t>Jul-25</t>
  </si>
  <si>
    <t>Jul-26</t>
  </si>
  <si>
    <t>Jul-27</t>
  </si>
  <si>
    <t>Jul-28</t>
  </si>
  <si>
    <t>Jul-29</t>
  </si>
  <si>
    <t>Jul-30</t>
  </si>
  <si>
    <t>Jul-31</t>
  </si>
  <si>
    <t>Aug-01</t>
  </si>
  <si>
    <t>Aug-02</t>
  </si>
  <si>
    <t>Aug-03</t>
  </si>
  <si>
    <t>Aug-04</t>
  </si>
  <si>
    <t>Aug-05</t>
  </si>
  <si>
    <t>Aug-06</t>
  </si>
  <si>
    <t>Aug-07</t>
  </si>
  <si>
    <t>Aug-08</t>
  </si>
  <si>
    <t>Aug-09</t>
  </si>
  <si>
    <t>Aug-10</t>
  </si>
  <si>
    <t>Aug-11</t>
  </si>
  <si>
    <t>Aug-12</t>
  </si>
  <si>
    <t>Aug-13</t>
  </si>
  <si>
    <t>Aug-14</t>
  </si>
  <si>
    <t>Aug-15</t>
  </si>
  <si>
    <t>Aug-16</t>
  </si>
  <si>
    <t>Aug-17</t>
  </si>
  <si>
    <t>Aug-18</t>
  </si>
  <si>
    <t>Aug-19</t>
  </si>
  <si>
    <t>Aug-20</t>
  </si>
  <si>
    <t>Aug-21</t>
  </si>
  <si>
    <t>Aug-22</t>
  </si>
  <si>
    <t>Aug-23</t>
  </si>
  <si>
    <t>Aug-24</t>
  </si>
  <si>
    <t>Aug-25</t>
  </si>
  <si>
    <t>Aug-26</t>
  </si>
  <si>
    <t>Aug-27</t>
  </si>
  <si>
    <t>Aug-28</t>
  </si>
  <si>
    <t>Aug-29</t>
  </si>
  <si>
    <t>Aug-30</t>
  </si>
  <si>
    <t>Aug-31</t>
  </si>
  <si>
    <t>Sep-01</t>
  </si>
  <si>
    <t>Sep-02</t>
  </si>
  <si>
    <t>Sep-03</t>
  </si>
  <si>
    <t>Sep-04</t>
  </si>
  <si>
    <t>Sep-05</t>
  </si>
  <si>
    <t>Sep-06</t>
  </si>
  <si>
    <t>Sep-07</t>
  </si>
  <si>
    <t>Sep-08</t>
  </si>
  <si>
    <t>Sep-09</t>
  </si>
  <si>
    <t>Sep-10</t>
  </si>
  <si>
    <t>Sep-11</t>
  </si>
  <si>
    <t>Sep-12</t>
  </si>
  <si>
    <t>Sep-13</t>
  </si>
  <si>
    <t>Sep-14</t>
  </si>
  <si>
    <t>Sep-15</t>
  </si>
  <si>
    <t>Sep-16</t>
  </si>
  <si>
    <t>Sep-17</t>
  </si>
  <si>
    <t>Sep-18</t>
  </si>
  <si>
    <t>Sep-19</t>
  </si>
  <si>
    <t>Sep-20</t>
  </si>
  <si>
    <t>Sep-21</t>
  </si>
  <si>
    <t>Sep-22</t>
  </si>
  <si>
    <t>Sep-23</t>
  </si>
  <si>
    <t>Sep-24</t>
  </si>
  <si>
    <t>Sep-25</t>
  </si>
  <si>
    <t>Sep-26</t>
  </si>
  <si>
    <t>Sep-27</t>
  </si>
  <si>
    <t>Sep-28</t>
  </si>
  <si>
    <t>Sep-29</t>
  </si>
  <si>
    <t>Sep-30</t>
  </si>
  <si>
    <t>Oct-01</t>
  </si>
  <si>
    <t>Oct-02</t>
  </si>
  <si>
    <t>Oct-03</t>
  </si>
  <si>
    <t>Oct-04</t>
  </si>
  <si>
    <t>Oct-05</t>
  </si>
  <si>
    <t>Oct-06</t>
  </si>
  <si>
    <t>Oct-07</t>
  </si>
  <si>
    <t>Oct-08</t>
  </si>
  <si>
    <t>Oct-09</t>
  </si>
  <si>
    <t>Oct-10</t>
  </si>
  <si>
    <t>Oct-11</t>
  </si>
  <si>
    <t>Oct-12</t>
  </si>
  <si>
    <t>Oct-13</t>
  </si>
  <si>
    <t>Oct-14</t>
  </si>
  <si>
    <t>Oct-15</t>
  </si>
  <si>
    <t>Oct-16</t>
  </si>
  <si>
    <t>Oct-17</t>
  </si>
  <si>
    <t>Oct-18</t>
  </si>
  <si>
    <t>Oct-19</t>
  </si>
  <si>
    <t>Oct-20</t>
  </si>
  <si>
    <t>Oct-21</t>
  </si>
  <si>
    <t>Oct-22</t>
  </si>
  <si>
    <t>Oct-23</t>
  </si>
  <si>
    <t>Oct-24</t>
  </si>
  <si>
    <t>Oct-25</t>
  </si>
  <si>
    <t>Oct-26</t>
  </si>
  <si>
    <t>Oct-27</t>
  </si>
  <si>
    <t>Oct-28</t>
  </si>
  <si>
    <t>Oct-29</t>
  </si>
  <si>
    <t>Oct-30</t>
  </si>
  <si>
    <t>Oct-31</t>
  </si>
  <si>
    <t>Nov-01</t>
  </si>
  <si>
    <t>Nov-02</t>
  </si>
  <si>
    <t>Nov-03</t>
  </si>
  <si>
    <t>Nov-04</t>
  </si>
  <si>
    <t>Nov-05</t>
  </si>
  <si>
    <t>Nov-06</t>
  </si>
  <si>
    <t>Nov-07</t>
  </si>
  <si>
    <t>Nov-08</t>
  </si>
  <si>
    <t>Nov-09</t>
  </si>
  <si>
    <t>Nov-10</t>
  </si>
  <si>
    <t>Nov-11</t>
  </si>
  <si>
    <t>Nov-12</t>
  </si>
  <si>
    <t>Nov-13</t>
  </si>
  <si>
    <t>Nov-14</t>
  </si>
  <si>
    <t>Nov-15</t>
  </si>
  <si>
    <t>Nov-16</t>
  </si>
  <si>
    <t>Nov-17</t>
  </si>
  <si>
    <t>Nov-18</t>
  </si>
  <si>
    <t>Nov-19</t>
  </si>
  <si>
    <t>Nov-20</t>
  </si>
  <si>
    <t>Nov-21</t>
  </si>
  <si>
    <t>Nov-22</t>
  </si>
  <si>
    <t>Nov-23</t>
  </si>
  <si>
    <t>Nov-24</t>
  </si>
  <si>
    <t>Nov-25</t>
  </si>
  <si>
    <t>Nov-26</t>
  </si>
  <si>
    <t>Nov-27</t>
  </si>
  <si>
    <t>Nov-28</t>
  </si>
  <si>
    <t>Nov-29</t>
  </si>
  <si>
    <t>Nov-30</t>
  </si>
  <si>
    <t>Dec-01</t>
  </si>
  <si>
    <t>Dec-02</t>
  </si>
  <si>
    <t>Dec-03</t>
  </si>
  <si>
    <t>Dec-04</t>
  </si>
  <si>
    <t>Dec-05</t>
  </si>
  <si>
    <t>Dec-06</t>
  </si>
  <si>
    <t>Dec-07</t>
  </si>
  <si>
    <t>Dec-08</t>
  </si>
  <si>
    <t>Dec-09</t>
  </si>
  <si>
    <t>Dec-10</t>
  </si>
  <si>
    <t>Dec-11</t>
  </si>
  <si>
    <t>Dec-12</t>
  </si>
  <si>
    <t>Dec-13</t>
  </si>
  <si>
    <t>Dec-14</t>
  </si>
  <si>
    <t>Dec-15</t>
  </si>
  <si>
    <t>Dec-16</t>
  </si>
  <si>
    <t>Dec-17</t>
  </si>
  <si>
    <t>Dec-18</t>
  </si>
  <si>
    <t>Dec-19</t>
  </si>
  <si>
    <t>Dec-20</t>
  </si>
  <si>
    <t>Dec-21</t>
  </si>
  <si>
    <t>Dec-22</t>
  </si>
  <si>
    <t>Dec-23</t>
  </si>
  <si>
    <t>Dec-24</t>
  </si>
  <si>
    <t>Dec-25</t>
  </si>
  <si>
    <t>Dec-26</t>
  </si>
  <si>
    <t>Dec-27</t>
  </si>
  <si>
    <t>Dec-28</t>
  </si>
  <si>
    <t>Dec-29</t>
  </si>
  <si>
    <t>Dec-30</t>
  </si>
  <si>
    <t>Dec-31</t>
  </si>
  <si>
    <t xml:space="preserve">Cost Area </t>
  </si>
  <si>
    <t>Planned</t>
  </si>
  <si>
    <t>Actual</t>
  </si>
  <si>
    <t>FINANCIALS: PLANNED vs ACTUALS</t>
  </si>
  <si>
    <t>FF&amp;E (Non Ed-Tech/IT)</t>
  </si>
  <si>
    <t>Total Spend</t>
  </si>
  <si>
    <t>FUNDS REMAINING</t>
  </si>
  <si>
    <t>Project Name</t>
  </si>
  <si>
    <t>San Diego Community College District: SDCCD 1450 Frazee 5th Floor TI</t>
  </si>
  <si>
    <t>In Stock</t>
  </si>
  <si>
    <t>Non-FF&amp;E</t>
  </si>
  <si>
    <t>240 V / 50 Hz AC / 1 Ph</t>
  </si>
  <si>
    <t>115 V AC/60 Hz</t>
  </si>
  <si>
    <t>125V quad receptacle</t>
  </si>
  <si>
    <t>Laundry</t>
  </si>
  <si>
    <t>Marketplace</t>
  </si>
  <si>
    <t>Café/Cafeteria</t>
  </si>
  <si>
    <t>Changing Room</t>
  </si>
  <si>
    <t>Green Room</t>
  </si>
  <si>
    <t>Corridor</t>
  </si>
  <si>
    <t>Campus Police</t>
  </si>
  <si>
    <t>Auditorium</t>
  </si>
  <si>
    <t>Lobby</t>
  </si>
  <si>
    <t>Ext. Dimensions</t>
  </si>
  <si>
    <t>Trade</t>
  </si>
  <si>
    <t>Status</t>
  </si>
  <si>
    <t>Tenant Improvement ID</t>
  </si>
  <si>
    <t>Completed</t>
  </si>
  <si>
    <t>Trades</t>
  </si>
  <si>
    <t>Mechanical/HVAC</t>
  </si>
  <si>
    <t>Electrical</t>
  </si>
  <si>
    <t>Plumbing</t>
  </si>
  <si>
    <t xml:space="preserve">Carpenter </t>
  </si>
  <si>
    <t>Locksmith</t>
  </si>
  <si>
    <t>TI-1</t>
  </si>
  <si>
    <t>Vendor POC</t>
  </si>
  <si>
    <t>Quoted Cost</t>
  </si>
  <si>
    <t>Tenant Improvement</t>
  </si>
  <si>
    <t xml:space="preserve">Verkpleys Quote </t>
  </si>
  <si>
    <t>Verkpleys Quote R6</t>
  </si>
  <si>
    <t>Verkpleys Plan District Approval / Sign Off</t>
  </si>
  <si>
    <t>Verkpleys Bill of Materials</t>
  </si>
  <si>
    <t>Verkpleys Quote R8- R9</t>
  </si>
  <si>
    <t xml:space="preserve">Verkpleys 50% Deposit Invoice </t>
  </si>
  <si>
    <t>IT Checklist</t>
  </si>
  <si>
    <t>AV Checklist</t>
  </si>
  <si>
    <t>Verkpleys Quote R10</t>
  </si>
  <si>
    <t xml:space="preserve">Construction </t>
  </si>
  <si>
    <t>Mobilization</t>
  </si>
  <si>
    <t>Verkpleys Order Placed</t>
  </si>
  <si>
    <t>Verkpleys Site Visit for Move Coordination</t>
  </si>
  <si>
    <t>Confirm Move Order / Sequence with Client / PM</t>
  </si>
  <si>
    <t>Swing Space Furniture Liquidation Sale?</t>
  </si>
  <si>
    <t>Verkpleys Order Delivered</t>
  </si>
  <si>
    <t>Verkpleys Move Swing Space Furniture  (to be used)</t>
  </si>
  <si>
    <t>Verkpleys New Order Move</t>
  </si>
  <si>
    <t>Swing Space Staff Pack Personal Items</t>
  </si>
  <si>
    <t>New Printers Delivery &amp; Installation</t>
  </si>
  <si>
    <t>Seismic / Earthquake Requirements Retrofit Completed</t>
  </si>
  <si>
    <t>Fire Safety Requirements</t>
  </si>
  <si>
    <t xml:space="preserve">Fire Extinguisher Locations </t>
  </si>
  <si>
    <t>Fire Extinguisher Expiration Review</t>
  </si>
  <si>
    <t>Construction Target Completion Date</t>
  </si>
  <si>
    <t>HPI Building Move Clearance</t>
  </si>
  <si>
    <t>Copiers/ HP Printers Move</t>
  </si>
  <si>
    <t>Plumbing Work</t>
  </si>
  <si>
    <t>IT Installation</t>
  </si>
  <si>
    <t>Prime Electrical Clearance</t>
  </si>
  <si>
    <t>Credenza</t>
  </si>
  <si>
    <t>SDCCD</t>
  </si>
  <si>
    <t>Molly Gardner</t>
  </si>
  <si>
    <t>Facilities Dept</t>
  </si>
  <si>
    <t>1450 Frazee</t>
  </si>
  <si>
    <t>2nd</t>
  </si>
  <si>
    <t>Reception</t>
  </si>
  <si>
    <t>5th</t>
  </si>
  <si>
    <t>Guest Chair</t>
  </si>
  <si>
    <t>Plants</t>
  </si>
  <si>
    <t>Office H</t>
  </si>
  <si>
    <t>60W X 30D</t>
  </si>
  <si>
    <t>Cummings</t>
  </si>
  <si>
    <t>Office Small Desk</t>
  </si>
  <si>
    <t>60W x 30D</t>
  </si>
  <si>
    <t>Office White Board</t>
  </si>
  <si>
    <t>Task Chair</t>
  </si>
  <si>
    <t>Data Rack</t>
  </si>
  <si>
    <t>Server/Storage</t>
  </si>
  <si>
    <t>24" Dell Monitors</t>
  </si>
  <si>
    <t>Carrier Split AC System</t>
  </si>
  <si>
    <t>Conference Chair</t>
  </si>
  <si>
    <t>Conference Room 501</t>
  </si>
  <si>
    <t xml:space="preserve">Large Conference Room </t>
  </si>
  <si>
    <t>Conference Table</t>
  </si>
  <si>
    <t xml:space="preserve">189W X 47.5D </t>
  </si>
  <si>
    <t>Newline Touch Screen TV</t>
  </si>
  <si>
    <t>97" Diagonal</t>
  </si>
  <si>
    <t>Glass Dry Erase Boards</t>
  </si>
  <si>
    <t>72W x 36H</t>
  </si>
  <si>
    <t>BenQ Instahow Data port</t>
  </si>
  <si>
    <t>Logi Keyboard and Mouse</t>
  </si>
  <si>
    <t xml:space="preserve">Old Dell screen and keyboard boxes </t>
  </si>
  <si>
    <t>Round Table</t>
  </si>
  <si>
    <t>41.5" Diameter</t>
  </si>
  <si>
    <t>Break Room 559</t>
  </si>
  <si>
    <t>Chair</t>
  </si>
  <si>
    <t>Barstools</t>
  </si>
  <si>
    <t>Refrigerator</t>
  </si>
  <si>
    <t>Water Filter/Dispenser</t>
  </si>
  <si>
    <t>Keurig Coffee Machine</t>
  </si>
  <si>
    <t>Microwave</t>
  </si>
  <si>
    <t>Dishwasher</t>
  </si>
  <si>
    <t>Cabinets</t>
  </si>
  <si>
    <t>Office Desk</t>
  </si>
  <si>
    <t>72W X 36D Dbl pedestal</t>
  </si>
  <si>
    <t>Office # 1 Aurora</t>
  </si>
  <si>
    <t>Office # 531 Aurora</t>
  </si>
  <si>
    <t>Round  Meeting Table</t>
  </si>
  <si>
    <t>36" Diameter</t>
  </si>
  <si>
    <t>Round Table Chair</t>
  </si>
  <si>
    <t xml:space="preserve">Office Credenza </t>
  </si>
  <si>
    <t>Office Wardrobe Cabinet</t>
  </si>
  <si>
    <t>Overhead Cabinet</t>
  </si>
  <si>
    <t>Monitor</t>
  </si>
  <si>
    <t>Printer</t>
  </si>
  <si>
    <t>Laptop</t>
  </si>
  <si>
    <t>48W X 36D</t>
  </si>
  <si>
    <t>Desk HAT</t>
  </si>
  <si>
    <t>70W X  29D</t>
  </si>
  <si>
    <t>Office # 2 Steve/Ben</t>
  </si>
  <si>
    <t>Office # 527/528 Steve/Ben</t>
  </si>
  <si>
    <t>Wardrobe Cabinet</t>
  </si>
  <si>
    <t xml:space="preserve">24W x 24D 72 H </t>
  </si>
  <si>
    <t>Mobile pedestal Drawer</t>
  </si>
  <si>
    <t>16W x 18D x 22H</t>
  </si>
  <si>
    <t>Dell 24" monitor</t>
  </si>
  <si>
    <t>Laptop and Monitor</t>
  </si>
  <si>
    <t>Office # 3 Dr Peterson</t>
  </si>
  <si>
    <t>Office # 508 Dr Peterson</t>
  </si>
  <si>
    <t>Mini Fridge</t>
  </si>
  <si>
    <t xml:space="preserve">File Cabinet </t>
  </si>
  <si>
    <t>TV</t>
  </si>
  <si>
    <t>60" Diagonal</t>
  </si>
  <si>
    <t>Coat hanger</t>
  </si>
  <si>
    <t>Poly Phone</t>
  </si>
  <si>
    <t>Office # 4 Molly</t>
  </si>
  <si>
    <t>Office # 507 Molly</t>
  </si>
  <si>
    <t>Phone</t>
  </si>
  <si>
    <t>Cubicle Cabinet Left</t>
  </si>
  <si>
    <t>Office # 5 Karen</t>
  </si>
  <si>
    <t>Office # 533 Karen</t>
  </si>
  <si>
    <t>Table</t>
  </si>
  <si>
    <t>Office # 6 Kellie</t>
  </si>
  <si>
    <t>Office # 516 Kellie</t>
  </si>
  <si>
    <t>Table return</t>
  </si>
  <si>
    <t>48W x 24D</t>
  </si>
  <si>
    <t>Tall Grey 3 drawer cabinet</t>
  </si>
  <si>
    <t>42W x 18D x 42H</t>
  </si>
  <si>
    <t xml:space="preserve">Monitor </t>
  </si>
  <si>
    <t>Plastic Chair mat</t>
  </si>
  <si>
    <t>Office # 7 Steve D.</t>
  </si>
  <si>
    <t>Office # 506 Steve D.</t>
  </si>
  <si>
    <t>72W X 24D
48W X 24D</t>
  </si>
  <si>
    <t>Return Desk</t>
  </si>
  <si>
    <t>Office# 8 Jennifer</t>
  </si>
  <si>
    <t>Office# 513 Jennifer</t>
  </si>
  <si>
    <t>Office # 9 Emily</t>
  </si>
  <si>
    <t>Office # 511 Emily</t>
  </si>
  <si>
    <t>Office # 10 Lance</t>
  </si>
  <si>
    <t>Office # 512 Lance</t>
  </si>
  <si>
    <t>Wooden Brown Bookcase 3 shelves</t>
  </si>
  <si>
    <t>47W x 35D</t>
  </si>
  <si>
    <t>Pin Board Black with Silver Frame</t>
  </si>
  <si>
    <t>16W x 23D</t>
  </si>
  <si>
    <t>Office # 11 Nancy</t>
  </si>
  <si>
    <t>Office # 561 Nancy</t>
  </si>
  <si>
    <t>Office # 12 Melinda</t>
  </si>
  <si>
    <t>Office # 532 Melinda</t>
  </si>
  <si>
    <t>Whiteboard</t>
  </si>
  <si>
    <t>36W x 24D</t>
  </si>
  <si>
    <t>Office # 13 Kitchell</t>
  </si>
  <si>
    <t>Office # 504/
518 I-P Kitchell</t>
  </si>
  <si>
    <t>Desk</t>
  </si>
  <si>
    <t>48W x 30D</t>
  </si>
  <si>
    <t>White and Grey File Cabinet</t>
  </si>
  <si>
    <t>Table Black</t>
  </si>
  <si>
    <t xml:space="preserve">Office # 14 </t>
  </si>
  <si>
    <t>File Cabinet - 4 drawer Taupe</t>
  </si>
  <si>
    <t>42W X 18D X 55H</t>
  </si>
  <si>
    <t>Office # 15 Storage</t>
  </si>
  <si>
    <t>Office # 557 Storage</t>
  </si>
  <si>
    <t>File Cabinet - 5 Drawer Yellow</t>
  </si>
  <si>
    <t>42W X 18D X 63H</t>
  </si>
  <si>
    <t>File Cabinet - 5 Drawer Dark Brown</t>
  </si>
  <si>
    <t>Bankers Box Files</t>
  </si>
  <si>
    <t>12W X 10D X 24H</t>
  </si>
  <si>
    <t>Moving Box</t>
  </si>
  <si>
    <t>12W X 12D X 16H</t>
  </si>
  <si>
    <t>Misc Intel Boxes</t>
  </si>
  <si>
    <t>One Giant Banker Box</t>
  </si>
  <si>
    <t>Dell Boxes</t>
  </si>
  <si>
    <t>CERT Emergency Backpacks</t>
  </si>
  <si>
    <t>FEMA Box of Supplies</t>
  </si>
  <si>
    <t>Holiday Supplies in Boxes</t>
  </si>
  <si>
    <t>Misc Boxes</t>
  </si>
  <si>
    <t>Easel Stands</t>
  </si>
  <si>
    <t>Tool Bag</t>
  </si>
  <si>
    <t>Easel Pads</t>
  </si>
  <si>
    <t>Keyboards - Kensignton Wireless</t>
  </si>
  <si>
    <t>SDCC Cap and Gown Wardrobe</t>
  </si>
  <si>
    <t>Copy/ Supply Room  Lexmark</t>
  </si>
  <si>
    <t>RM# 16 Copy/Supply Room</t>
  </si>
  <si>
    <t>RM# 550 Copy/Supply Room</t>
  </si>
  <si>
    <t xml:space="preserve">Copy/ Supply Room HP Design Jet </t>
  </si>
  <si>
    <t>CX825</t>
  </si>
  <si>
    <t>Copy/ Supply Room HP Color Laser Jet Enterprise</t>
  </si>
  <si>
    <t>T830</t>
  </si>
  <si>
    <t>Copy/ Supply Room HP Lasejet</t>
  </si>
  <si>
    <t>M553</t>
  </si>
  <si>
    <t>Copy/ Supply Room Cabinets</t>
  </si>
  <si>
    <t>P4015TN</t>
  </si>
  <si>
    <t>Copy/ Supply Room Misc Supplies</t>
  </si>
  <si>
    <t>Cubicles HAT Left Return</t>
  </si>
  <si>
    <t>72W X 23D X 46H</t>
  </si>
  <si>
    <t>Work Station A - Ryan</t>
  </si>
  <si>
    <t>Office # 530 - Ryan</t>
  </si>
  <si>
    <t>Cubicles Cabinet Left Storage Tower</t>
  </si>
  <si>
    <t>24W X 24D X 50H</t>
  </si>
  <si>
    <t>Cubicle Mobile Mini</t>
  </si>
  <si>
    <t>Monitors</t>
  </si>
  <si>
    <t>Cubicles HAT Right Return</t>
  </si>
  <si>
    <t>Work Station B</t>
  </si>
  <si>
    <t>Vacant</t>
  </si>
  <si>
    <t>Cubicles Cabinet Right Storage Tower</t>
  </si>
  <si>
    <t>Work Station C</t>
  </si>
  <si>
    <t>Office 518 Q-W - Nirav D.</t>
  </si>
  <si>
    <t>Keyboards and Mouse</t>
  </si>
  <si>
    <t>Work Station D - CJ</t>
  </si>
  <si>
    <t>Office 518 Q-W - CJ</t>
  </si>
  <si>
    <t>Work Station E - Mike C.</t>
  </si>
  <si>
    <t>Open Office 538D</t>
  </si>
  <si>
    <t xml:space="preserve">Work Station F - </t>
  </si>
  <si>
    <t>Work Station F</t>
  </si>
  <si>
    <t>Keyboard</t>
  </si>
  <si>
    <t>Work Station G - Ursula</t>
  </si>
  <si>
    <t>Open 538 F - Ursula</t>
  </si>
  <si>
    <t>Work Station H - Phil S.</t>
  </si>
  <si>
    <t>Open 562 D - 
Phil S.</t>
  </si>
  <si>
    <t>Keyboard and Mouse</t>
  </si>
  <si>
    <t>Work Station I - Brian</t>
  </si>
  <si>
    <t>Office 505 - 
Brian B.</t>
  </si>
  <si>
    <t>Work Station J - Penny</t>
  </si>
  <si>
    <t>Open 518 A-G - Penny</t>
  </si>
  <si>
    <t>Work Station K - Joshua</t>
  </si>
  <si>
    <t>Open 518 A-G - Joshua</t>
  </si>
  <si>
    <t>Keyboards</t>
  </si>
  <si>
    <t>Work Station L - Eileen</t>
  </si>
  <si>
    <t>Open 518 A-G - Eileen</t>
  </si>
  <si>
    <t>Work Station M  - Grace</t>
  </si>
  <si>
    <t>Open 503  - Grace</t>
  </si>
  <si>
    <t>Work Station N - Jimmy</t>
  </si>
  <si>
    <t>Open 567A - Jimmy</t>
  </si>
  <si>
    <t>Work Station O - Julian</t>
  </si>
  <si>
    <t>Open 567D -  Julian</t>
  </si>
  <si>
    <t>Shredder - Mobile</t>
  </si>
  <si>
    <t>Work Station P</t>
  </si>
  <si>
    <t>16 Pack Workstation  6x6 Stations</t>
  </si>
  <si>
    <t>Open 567, 582, 538</t>
  </si>
  <si>
    <t>Folding Table</t>
  </si>
  <si>
    <t>Work Station</t>
  </si>
  <si>
    <t>Cart</t>
  </si>
  <si>
    <t>Work Stations Area</t>
  </si>
  <si>
    <t xml:space="preserve">MOTIVATE STACKING CHAIR, POLY SEAT AND BACK, SLED WIRE BASE </t>
  </si>
  <si>
    <t>Verkpleys</t>
  </si>
  <si>
    <t>David Wolf</t>
  </si>
  <si>
    <t>HMS1</t>
  </si>
  <si>
    <t>CONFERENCE 501</t>
  </si>
  <si>
    <t>Conference Table - 240W</t>
  </si>
  <si>
    <t>PRESIDE 240W X 54D RECTANGULAR SHAPED LAMINATE CONFERENCE TABLE, ON HOLLOW PANEL BASES,WITH 3 ELECTRIC FLIP TOP PORTS WITH 3 ELECTRIC, 1 USBA, 2 BLANK</t>
  </si>
  <si>
    <t>HN24054CONF</t>
  </si>
  <si>
    <t>240W X 54D</t>
  </si>
  <si>
    <t>HON NUCLEUS RECHARGED CONFERENCE CHAIR</t>
  </si>
  <si>
    <t>HNR1</t>
  </si>
  <si>
    <t>Storage Cabinet</t>
  </si>
  <si>
    <t>36X24X29-1/2 STORAGE CABINET WITH DOORS</t>
  </si>
  <si>
    <t>HNL243629SC</t>
  </si>
  <si>
    <t>36W X 24D X 29-1/2H</t>
  </si>
  <si>
    <t>CONFERENCE 563</t>
  </si>
  <si>
    <t>Conference Table - 168W</t>
  </si>
  <si>
    <t>PRESIDE 168W X 48D RECTANGULAR SHAPED LAMINATE CONFERENCE TABLE, ON HOLLOW PANEL BASES, WITH 2 ELECTRIC FLIP TOP PORTS WITH 3 ELECTRIC, 1 USBA, 2 BLANK</t>
  </si>
  <si>
    <t>HN16848CONF</t>
  </si>
  <si>
    <t>168W X 48D</t>
  </si>
  <si>
    <t>Cabinet Credenza</t>
  </si>
  <si>
    <t>60WX23-1/8DX28-1/2H STORAGE CABINET CREDENZA</t>
  </si>
  <si>
    <t>HNL2360CRED</t>
  </si>
  <si>
    <t>60W X 23-1/8D X 28-1/2H</t>
  </si>
  <si>
    <t>CONFERENCE 566</t>
  </si>
  <si>
    <t>Lounge Seat - 3</t>
  </si>
  <si>
    <t>ASTIR THREE SEAT LOUNGE LOW BACK</t>
  </si>
  <si>
    <t>HASLB3</t>
  </si>
  <si>
    <t>LACTATION / RESPITE ROOM 560</t>
  </si>
  <si>
    <t>Lounge Seat - 1</t>
  </si>
  <si>
    <t>MAV SINGLE LOUNGE HIGH BACK ARMS MULTI-FAB</t>
  </si>
  <si>
    <t>HMAVHAMF</t>
  </si>
  <si>
    <t>Ottoman - 1</t>
  </si>
  <si>
    <t>MAV SINGLE LOUNGE OTTOMAN MULTI-FAB</t>
  </si>
  <si>
    <t>HMAVOMF</t>
  </si>
  <si>
    <t>Tray Table - Round</t>
  </si>
  <si>
    <t>SCULPT 18 INCH RND TRAY TBL -HIGH MTL LEGS, WITH POWER GROMMET</t>
  </si>
  <si>
    <t>HTLSCURNDT18HML</t>
  </si>
  <si>
    <t>18" Diameter</t>
  </si>
  <si>
    <t>Stacking Chair</t>
  </si>
  <si>
    <t>IGNITION GUEST/MULTI-PURPOSE CHAIR FOUR-LEG STACKING WITH CASTERS</t>
  </si>
  <si>
    <t>HIGS6</t>
  </si>
  <si>
    <t>OFFICE 503</t>
  </si>
  <si>
    <t>Height Adjustable Desk w/Modesty</t>
  </si>
  <si>
    <t>72W X 30D RECTANGLE HEIGHT ADJ DESK, WITH LAMINATE MODESTY PANEL</t>
  </si>
  <si>
    <t>HLHAT3072</t>
  </si>
  <si>
    <t>72W X 30D</t>
  </si>
  <si>
    <t>Lateral Shelf Storage</t>
  </si>
  <si>
    <t>48W X 24D RETURN WITH SHELF/BOX/BOX/LAT FILE PED</t>
  </si>
  <si>
    <t>HNL2448RT</t>
  </si>
  <si>
    <t>48W X 24D</t>
  </si>
  <si>
    <t>Round Meeting Table</t>
  </si>
  <si>
    <t>PRESIDE 36IN ROUND SHAPED LAMINATE MEETING TABLE ON XBASE</t>
  </si>
  <si>
    <t>HT36R</t>
  </si>
  <si>
    <t>OFFICE 504</t>
  </si>
  <si>
    <t>OFFICE 505</t>
  </si>
  <si>
    <t>OFFICE 506</t>
  </si>
  <si>
    <t>OFFICE 507</t>
  </si>
  <si>
    <t>Height Adjustable Desk w/Laminate Shrouds</t>
  </si>
  <si>
    <t>72W X 30D EXECUTIVE HEIGHT ADJUSTABLE DESK WITH LAMINATE SHROUDS COVERING LEGS, LAMINATE MODESTY PANEL</t>
  </si>
  <si>
    <t>HEXTHAT 3072</t>
  </si>
  <si>
    <t>OFFICE 508</t>
  </si>
  <si>
    <t>Storage Credenza &amp; Double Lateral File</t>
  </si>
  <si>
    <t>60W x 24D STORAGE CREDENZA WITH SWING DOOR STORAGE AND DOUBLE LATERAL FILE STORAGE</t>
  </si>
  <si>
    <t>CRED2460</t>
  </si>
  <si>
    <t>60W x 24D</t>
  </si>
  <si>
    <t>Conference Table - 120W</t>
  </si>
  <si>
    <t>PRESIDE 120W X 48D RECTANGULAR SHAPED LAMINATE CONFERENCE TABLE ON HOLLOW PANEL BASES, WITH 2 ELECTRIC GROMMETS AND WIRE MANAGEMENT</t>
  </si>
  <si>
    <t>HTLC48120</t>
  </si>
  <si>
    <t>120W X 48D</t>
  </si>
  <si>
    <t>OFFICE 510</t>
  </si>
  <si>
    <t>OFFICE 511</t>
  </si>
  <si>
    <t>OFFICE 512</t>
  </si>
  <si>
    <t>OFFICE 513</t>
  </si>
  <si>
    <t>OFFICE 514</t>
  </si>
  <si>
    <t>OFFICE 515</t>
  </si>
  <si>
    <t>OFFICE 516</t>
  </si>
  <si>
    <t>OFFICE 517</t>
  </si>
  <si>
    <t>OFFICE 527</t>
  </si>
  <si>
    <t>OFFICE 528</t>
  </si>
  <si>
    <t>OFFICE 529</t>
  </si>
  <si>
    <t>OFFICE 530</t>
  </si>
  <si>
    <t>OFFICE 531</t>
  </si>
  <si>
    <t>OFFICE 532</t>
  </si>
  <si>
    <t>OFFICE 533</t>
  </si>
  <si>
    <t>OFFICE 534</t>
  </si>
  <si>
    <t>OFFICE 535</t>
  </si>
  <si>
    <t>OFFICE 536</t>
  </si>
  <si>
    <t>OFFICE 537</t>
  </si>
  <si>
    <t>OFFICE 555</t>
  </si>
  <si>
    <t>OFFICE 556</t>
  </si>
  <si>
    <t>OFFICE 561</t>
  </si>
  <si>
    <t>Height Adjustable Desk w/Modesty - 78W</t>
  </si>
  <si>
    <t>78W X 24D HEIGHT ADJUSTABLE DESK WITH MODESTY PANEL</t>
  </si>
  <si>
    <t>HLHAT2478</t>
  </si>
  <si>
    <t>78W X 24D</t>
  </si>
  <si>
    <t>OFFICE 564</t>
  </si>
  <si>
    <t>Table on T-Leg</t>
  </si>
  <si>
    <t>HUDDLE FIXED HEIGHT 30DX72W  TABLE ON T-LEG BASE</t>
  </si>
  <si>
    <t>HMBTLEG24</t>
  </si>
  <si>
    <t>OPEN OFFICE 562</t>
  </si>
  <si>
    <t>Lounge Seat - 4</t>
  </si>
  <si>
    <t>ASTIR  FOUR SEAT LOUNGE LOW BACK</t>
  </si>
  <si>
    <t>HASLB2b2</t>
  </si>
  <si>
    <t>RECEPTION 500</t>
  </si>
  <si>
    <t>MAV SINGLE LOUNGE MID BACK ARMS MULTI-FAB</t>
  </si>
  <si>
    <t>HMAVMAMF</t>
  </si>
  <si>
    <t>Reception Desk w/ADA Dropdown HAT Return</t>
  </si>
  <si>
    <t>RECEPTION DESK WITH LAMINATE PANEL FRONTS, FABRIC PANEL ON WORK SIDE, TRANSACTION TOP, ADA DROP DOWN DESK, WITH HEIGHT ADJUSTABLE RETURN</t>
  </si>
  <si>
    <t>RECEPTDESK</t>
  </si>
  <si>
    <t>Tray Table</t>
  </si>
  <si>
    <t>SCULPT 60W X 18D PILL TRAY TBL -LOW WOOD LEGS</t>
  </si>
  <si>
    <t>HTLSCUPILT1860LWL</t>
  </si>
  <si>
    <t>60W X 18D</t>
  </si>
  <si>
    <t>SCULPT 18 INCH RND TRAY TBL -MED WOOD LEGS WITH POWER GROMMET</t>
  </si>
  <si>
    <t>HTLSCURNDT18MWL</t>
  </si>
  <si>
    <t>File Cabinet</t>
  </si>
  <si>
    <t>BOX/BOX/FILE 28H X 22 7/8D X 15W</t>
  </si>
  <si>
    <t>HVFB23R</t>
  </si>
  <si>
    <t>15W X 22-7/8D X 28H</t>
  </si>
  <si>
    <t>Lateral File - 4 Drawer</t>
  </si>
  <si>
    <t>BRIGADE 800 SERIES LATERAL FILE 4 DRAWER 42W</t>
  </si>
  <si>
    <t>H894</t>
  </si>
  <si>
    <t>STORAGE / COPY 568</t>
  </si>
  <si>
    <t>Bookcase - 6 Shelf</t>
  </si>
  <si>
    <t>BRIGADE BOOKCASE 6-SHELF 12-5/8D X 34-1/2W X 80-1/8H</t>
  </si>
  <si>
    <t>HS82ABC</t>
  </si>
  <si>
    <t>34-1/2W X 12-5/8D X 80-1/8H</t>
  </si>
  <si>
    <t>STORAGE 557</t>
  </si>
  <si>
    <t>Remanufactured Workstation - 4 Pack</t>
  </si>
  <si>
    <t>REMANUFACTURER WORKSTATION, HERMAN MILLER ETHOSPACE, 4 PACK, 6X6 WORKSTATION, 72W X 24D WORKSURFACE, 48W X 24D RETURN WORKSURFACE, BOX  FILE PEDESTAL, ELECTRIC DOWN SPINE, BASE IN-FEED CABLE  BASE     3-1 &amp; 2-2 SYSTEMS</t>
  </si>
  <si>
    <t>REMETH6x6-4</t>
  </si>
  <si>
    <t>OPEN OFFICE 518</t>
  </si>
  <si>
    <t>Remanufactured Workstation - 2 Pack</t>
  </si>
  <si>
    <t>REMANUFACTURER WORKSTATION, HERMAN MILLER ETHOSPACE, 2 PACK, 6X6 WORKSTATION, 72W X 24D WORKSURFACE, 48W X 24D RETURN WORKSURFACE, BOX  FILE PEDESTAL, ELECTRIC DOWN SPINE, BASE IN-FEED CABLE  BASE     3-1 &amp; 2-2 SYSTEMS</t>
  </si>
  <si>
    <t>REMETH6x6-2</t>
  </si>
  <si>
    <t>Base - HT ADJ - 2 Leg</t>
  </si>
  <si>
    <t>2 STAGE 2 LEG RECTANGLE T FOOT</t>
  </si>
  <si>
    <t>HHATB2S2LT</t>
  </si>
  <si>
    <t>EXISTING HAT HT ADJ BASE - REUSED</t>
  </si>
  <si>
    <t>EXISTING HAT HT ADJ BASE</t>
  </si>
  <si>
    <t>EXIST HAT1</t>
  </si>
  <si>
    <t>EXISTING HAT HT ADJ BASE - 3 LEG HT ADJ BASE - TEKNION</t>
  </si>
  <si>
    <t>EXIST HAT2</t>
  </si>
  <si>
    <t>Powerpole From Ceiling</t>
  </si>
  <si>
    <t>POWERPOLE</t>
  </si>
  <si>
    <t>OPEN OFFICE 567</t>
  </si>
  <si>
    <t>OPEN OFFICE 552</t>
  </si>
  <si>
    <t>TARIFF SURCHARGE</t>
  </si>
  <si>
    <t>DESIGN, SPEC, PROJECT MANAGEMENT</t>
  </si>
  <si>
    <t>Installation / Punch List</t>
  </si>
  <si>
    <t>INSTALL - RECEIVE, WAREHOUSE, UNBOX, DELIVER, INSTALL, PUNCH</t>
  </si>
  <si>
    <t>Breakdown, Move, Reassemble</t>
  </si>
  <si>
    <t>DECONSTRUCT, MOVE, REINSTALL ITEMS BEING REUSED IN PLAN FROM 2ND FLOOR TO 5TH FLOOR</t>
  </si>
  <si>
    <t>Verkpleys TAX</t>
  </si>
  <si>
    <t>TAX</t>
  </si>
  <si>
    <t>Remanufactured Tackboard Tile</t>
  </si>
  <si>
    <t>Remanufactured 48" W Tackboard Tile 1 in Worksation</t>
  </si>
  <si>
    <t>Reman Tack4818</t>
  </si>
  <si>
    <t>48 W</t>
  </si>
  <si>
    <t>Ice Machine Equipment / Water Cooler</t>
  </si>
  <si>
    <t>Access Introversion Cabinets / Card Readers</t>
  </si>
  <si>
    <t xml:space="preserve">Network Equipment </t>
  </si>
  <si>
    <t>UPS Quote</t>
  </si>
  <si>
    <t>Swing Space Pre-Owned Furniture</t>
  </si>
  <si>
    <t>Swing Space Pre-Owned Furniture Purchase Order and POC/ Buy back option?</t>
  </si>
  <si>
    <t>OffiSavvy</t>
  </si>
  <si>
    <t>Asset Management Team Contact Info</t>
  </si>
  <si>
    <t>Asset Management Team Contact Info for PPS/FMX/CMMS interface</t>
  </si>
  <si>
    <t>Aurora</t>
  </si>
  <si>
    <t>Network Infrastructure Budget/Scope</t>
  </si>
  <si>
    <t>ACI</t>
  </si>
  <si>
    <t>Russell Ramas           Tony Valdez</t>
  </si>
  <si>
    <t>Workstation Furniture plan update</t>
  </si>
  <si>
    <t>Workstation near Columns  Partion vs Return near wall.</t>
  </si>
  <si>
    <t xml:space="preserve">Data/ Cabling Issues </t>
  </si>
  <si>
    <t>Open Space 518</t>
  </si>
  <si>
    <t>Swing  Space Inventory Destination</t>
  </si>
  <si>
    <t>Swing Space Inventory Destination</t>
  </si>
  <si>
    <t>Various</t>
  </si>
  <si>
    <t>Reserved Parking Spaces</t>
  </si>
  <si>
    <t>Per our lease we are to have 6 reserved parking spaces, when are they going to be marked?</t>
  </si>
  <si>
    <t>HPI</t>
  </si>
  <si>
    <t>Mary</t>
  </si>
  <si>
    <t>1451 Frazee</t>
  </si>
  <si>
    <t>Suite Entry &amp; Room Signage</t>
  </si>
  <si>
    <t>Signage package is needed for front entry way and rooms</t>
  </si>
  <si>
    <t>1452 Frazee</t>
  </si>
  <si>
    <t>Keyway system needs to meet District Standards</t>
  </si>
  <si>
    <t>Keyway system needs to meet District Standards.              Can you confirm that doors are lockable</t>
  </si>
  <si>
    <t>1453 Frazee</t>
  </si>
  <si>
    <t>Mailbox key Floor 5</t>
  </si>
  <si>
    <t>Need the mailbox key to the 5th floor</t>
  </si>
  <si>
    <t>1454 Frazee</t>
  </si>
  <si>
    <t>Landline for Fax Machine in 533</t>
  </si>
  <si>
    <t>For the office that is labeled Karen office 533 we need to make sure there is a landline for a fax machine</t>
  </si>
  <si>
    <t>ACI?</t>
  </si>
  <si>
    <t>1455 Frazee</t>
  </si>
  <si>
    <t xml:space="preserve">2 desks in offices 503, 504, 505 </t>
  </si>
  <si>
    <t>Inside offices 505, 504, 503 we need two desks in each. There are desks in front of 535 that can be relocated to these offices, per Aurora</t>
  </si>
  <si>
    <t>1456 Frazee</t>
  </si>
  <si>
    <t>FFE-2</t>
  </si>
  <si>
    <t>FFE-3</t>
  </si>
  <si>
    <t>FFE-4</t>
  </si>
  <si>
    <t>FFE-5</t>
  </si>
  <si>
    <t>FFE-6</t>
  </si>
  <si>
    <t>FFE-7</t>
  </si>
  <si>
    <t>FFE-8</t>
  </si>
  <si>
    <t>FFE-9</t>
  </si>
  <si>
    <t>FFE-10</t>
  </si>
  <si>
    <t>FFE-11</t>
  </si>
  <si>
    <t>FFE-12</t>
  </si>
  <si>
    <t>FFE-13</t>
  </si>
  <si>
    <t>FFE-14</t>
  </si>
  <si>
    <t>FFE-15</t>
  </si>
  <si>
    <t>FFE-16</t>
  </si>
  <si>
    <t>FFE-17</t>
  </si>
  <si>
    <t>FFE-18</t>
  </si>
  <si>
    <t>FFE-19</t>
  </si>
  <si>
    <t>FFE-20</t>
  </si>
  <si>
    <t>FFE-21</t>
  </si>
  <si>
    <t>FFE-22</t>
  </si>
  <si>
    <t>FFE-23</t>
  </si>
  <si>
    <t>FFE-24</t>
  </si>
  <si>
    <t>FFE-25</t>
  </si>
  <si>
    <t>FFE-26</t>
  </si>
  <si>
    <t>FFE-27</t>
  </si>
  <si>
    <t>FFE-28</t>
  </si>
  <si>
    <t>FFE-29</t>
  </si>
  <si>
    <t>FFE-30</t>
  </si>
  <si>
    <t>FFE-31</t>
  </si>
  <si>
    <t>FFE-32</t>
  </si>
  <si>
    <t>FFE-33</t>
  </si>
  <si>
    <t>FFE-34</t>
  </si>
  <si>
    <t>FFE-35</t>
  </si>
  <si>
    <t>FFE-36</t>
  </si>
  <si>
    <t>FFE-37</t>
  </si>
  <si>
    <t>FFE-38</t>
  </si>
  <si>
    <t>FFE-39</t>
  </si>
  <si>
    <t>FFE-40</t>
  </si>
  <si>
    <t>FFE-41</t>
  </si>
  <si>
    <t>FFE-42</t>
  </si>
  <si>
    <t>FFE-43</t>
  </si>
  <si>
    <t>FFE-44</t>
  </si>
  <si>
    <t>FFE-45</t>
  </si>
  <si>
    <t>FFE-46</t>
  </si>
  <si>
    <t>FFE-47</t>
  </si>
  <si>
    <t>FFE-48</t>
  </si>
  <si>
    <t>FFE-49</t>
  </si>
  <si>
    <t>FFE-50</t>
  </si>
  <si>
    <t>FFE-51</t>
  </si>
  <si>
    <t>FFE-52</t>
  </si>
  <si>
    <t>FFE-53</t>
  </si>
  <si>
    <t>FFE-54</t>
  </si>
  <si>
    <t>FFE-55</t>
  </si>
  <si>
    <t>FFE-56</t>
  </si>
  <si>
    <t>FFE-57</t>
  </si>
  <si>
    <t>FFE-58</t>
  </si>
  <si>
    <t>FFE-59</t>
  </si>
  <si>
    <t>FFE-60</t>
  </si>
  <si>
    <t>FFE-61</t>
  </si>
  <si>
    <t>FFE-62</t>
  </si>
  <si>
    <t>FFE-63</t>
  </si>
  <si>
    <t>FFE-64</t>
  </si>
  <si>
    <t>FFE-65</t>
  </si>
  <si>
    <t>FFE-66</t>
  </si>
  <si>
    <t>FFE-67</t>
  </si>
  <si>
    <t>FFE-68</t>
  </si>
  <si>
    <t>FFE-69</t>
  </si>
  <si>
    <t>FFE-70</t>
  </si>
  <si>
    <t>FFE-71</t>
  </si>
  <si>
    <t>FFE-72</t>
  </si>
  <si>
    <t>FFE-73</t>
  </si>
  <si>
    <t>FFE-74</t>
  </si>
  <si>
    <t>FFE-75</t>
  </si>
  <si>
    <t>FFE-76</t>
  </si>
  <si>
    <t>FFE-77</t>
  </si>
  <si>
    <t>FFE-78</t>
  </si>
  <si>
    <t>FFE-79</t>
  </si>
  <si>
    <t>FFE-80</t>
  </si>
  <si>
    <t>FFE-81</t>
  </si>
  <si>
    <t>FFE-82</t>
  </si>
  <si>
    <t>FFE-83</t>
  </si>
  <si>
    <t>FFE-84</t>
  </si>
  <si>
    <t>FFE-85</t>
  </si>
  <si>
    <t>FFE-86</t>
  </si>
  <si>
    <t>FFE-87</t>
  </si>
  <si>
    <t>FFE-88</t>
  </si>
  <si>
    <t>FFE-89</t>
  </si>
  <si>
    <t>FFE-90</t>
  </si>
  <si>
    <t>FFE-91</t>
  </si>
  <si>
    <t>FFE-92</t>
  </si>
  <si>
    <t>FFE-93</t>
  </si>
  <si>
    <t>FFE-94</t>
  </si>
  <si>
    <t>FFE-95</t>
  </si>
  <si>
    <t>FFE-96</t>
  </si>
  <si>
    <t>FFE-97</t>
  </si>
  <si>
    <t>FFE-98</t>
  </si>
  <si>
    <t>FFE-99</t>
  </si>
  <si>
    <t>FFE-100</t>
  </si>
  <si>
    <t>FFE-101</t>
  </si>
  <si>
    <t>FFE-102</t>
  </si>
  <si>
    <t>FFE-103</t>
  </si>
  <si>
    <t>FFE-104</t>
  </si>
  <si>
    <t>FFE-105</t>
  </si>
  <si>
    <t>FFE-106</t>
  </si>
  <si>
    <t>FFE-107</t>
  </si>
  <si>
    <t>FFE-108</t>
  </si>
  <si>
    <t>FFE-109</t>
  </si>
  <si>
    <t>FFE-110</t>
  </si>
  <si>
    <t>FFE-111</t>
  </si>
  <si>
    <t>FFE-112</t>
  </si>
  <si>
    <t>FFE-113</t>
  </si>
  <si>
    <t>FFE-114</t>
  </si>
  <si>
    <t>FFE-115</t>
  </si>
  <si>
    <t>FFE-116</t>
  </si>
  <si>
    <t>FFE-117</t>
  </si>
  <si>
    <t>FFE-118</t>
  </si>
  <si>
    <t>FFE-119</t>
  </si>
  <si>
    <t>FFE-120</t>
  </si>
  <si>
    <t>FFE-121</t>
  </si>
  <si>
    <t>FFE-122</t>
  </si>
  <si>
    <t>FFE-123</t>
  </si>
  <si>
    <t>FFE-124</t>
  </si>
  <si>
    <t>FFE-125</t>
  </si>
  <si>
    <t>FFE-126</t>
  </si>
  <si>
    <t>FFE-127</t>
  </si>
  <si>
    <t>FFE-128</t>
  </si>
  <si>
    <t>FFE-129</t>
  </si>
  <si>
    <t>FFE-130</t>
  </si>
  <si>
    <t>FFE-131</t>
  </si>
  <si>
    <t>FFE-132</t>
  </si>
  <si>
    <t>FFE-133</t>
  </si>
  <si>
    <t>FFE-134</t>
  </si>
  <si>
    <t>FFE-135</t>
  </si>
  <si>
    <t>FFE-136</t>
  </si>
  <si>
    <t>FFE-137</t>
  </si>
  <si>
    <t>FFE-138</t>
  </si>
  <si>
    <t>FFE-139</t>
  </si>
  <si>
    <t>FFE-140</t>
  </si>
  <si>
    <t>FFE-141</t>
  </si>
  <si>
    <t>FFE-142</t>
  </si>
  <si>
    <t>FFE-143</t>
  </si>
  <si>
    <t>FFE-144</t>
  </si>
  <si>
    <t>FFE-145</t>
  </si>
  <si>
    <t>FFE-146</t>
  </si>
  <si>
    <t>FFE-147</t>
  </si>
  <si>
    <t>FFE-148</t>
  </si>
  <si>
    <t>FFE-149</t>
  </si>
  <si>
    <t>FFE-150</t>
  </si>
  <si>
    <t>FFE-151</t>
  </si>
  <si>
    <t>FFE-152</t>
  </si>
  <si>
    <t>FFE-153</t>
  </si>
  <si>
    <t>FFE-154</t>
  </si>
  <si>
    <t>FFE-155</t>
  </si>
  <si>
    <t>FFE-156</t>
  </si>
  <si>
    <t>FFE-157</t>
  </si>
  <si>
    <t>FFE-158</t>
  </si>
  <si>
    <t>FFE-159</t>
  </si>
  <si>
    <t>FFE-160</t>
  </si>
  <si>
    <t>FFE-161</t>
  </si>
  <si>
    <t>FFE-162</t>
  </si>
  <si>
    <t>FFE-163</t>
  </si>
  <si>
    <t>FFE-164</t>
  </si>
  <si>
    <t>FFE-165</t>
  </si>
  <si>
    <t>FFE-166</t>
  </si>
  <si>
    <t>FFE-167</t>
  </si>
  <si>
    <t>FFE-168</t>
  </si>
  <si>
    <t>FFE-169</t>
  </si>
  <si>
    <t>FFE-170</t>
  </si>
  <si>
    <t>FFE-171</t>
  </si>
  <si>
    <t>FFE-172</t>
  </si>
  <si>
    <t>FFE-173</t>
  </si>
  <si>
    <t>FFE-174</t>
  </si>
  <si>
    <t>FFE-175</t>
  </si>
  <si>
    <t>FFE-176</t>
  </si>
  <si>
    <t>FFE-177</t>
  </si>
  <si>
    <t>FFE-178</t>
  </si>
  <si>
    <t>FFE-179</t>
  </si>
  <si>
    <t>FFE-180</t>
  </si>
  <si>
    <t>FFE-181</t>
  </si>
  <si>
    <t>FFE-182</t>
  </si>
  <si>
    <t>FFE-183</t>
  </si>
  <si>
    <t>FFE-184</t>
  </si>
  <si>
    <t>FFE-185</t>
  </si>
  <si>
    <t>FFE-186</t>
  </si>
  <si>
    <t>FFE-187</t>
  </si>
  <si>
    <t>FFE-188</t>
  </si>
  <si>
    <t>FFE-189</t>
  </si>
  <si>
    <t>FFE-190</t>
  </si>
  <si>
    <t>FFE-191</t>
  </si>
  <si>
    <t>FFE-192</t>
  </si>
  <si>
    <t>FFE-193</t>
  </si>
  <si>
    <t>FFE-194</t>
  </si>
  <si>
    <t>FFE-195</t>
  </si>
  <si>
    <t>FFE-196</t>
  </si>
  <si>
    <t>FFE-197</t>
  </si>
  <si>
    <t>FFE-198</t>
  </si>
  <si>
    <t>FFE-199</t>
  </si>
  <si>
    <t>FFE-200</t>
  </si>
  <si>
    <t>FFE-201</t>
  </si>
  <si>
    <t>FFE-202</t>
  </si>
  <si>
    <t>FFE-203</t>
  </si>
  <si>
    <t>FFE-204</t>
  </si>
  <si>
    <t>FFE-205</t>
  </si>
  <si>
    <t>FFE-206</t>
  </si>
  <si>
    <t>FFE-207</t>
  </si>
  <si>
    <t>FFE-208</t>
  </si>
  <si>
    <t>FFE-209</t>
  </si>
  <si>
    <t>FFE-210</t>
  </si>
  <si>
    <t>FFE-211</t>
  </si>
  <si>
    <t>FFE-212</t>
  </si>
  <si>
    <t>FFE-213</t>
  </si>
  <si>
    <t>FFE-214</t>
  </si>
  <si>
    <t>FFE-215</t>
  </si>
  <si>
    <t>FFE-216</t>
  </si>
  <si>
    <t>FFE-217</t>
  </si>
  <si>
    <t>FFE-218</t>
  </si>
  <si>
    <t>FFE-219</t>
  </si>
  <si>
    <t>FFE-220</t>
  </si>
  <si>
    <t>FFE-221</t>
  </si>
  <si>
    <t>FFE-222</t>
  </si>
  <si>
    <t>FFE-223</t>
  </si>
  <si>
    <t>FFE-224</t>
  </si>
  <si>
    <t>FFE-225</t>
  </si>
  <si>
    <t>FFE-226</t>
  </si>
  <si>
    <t>FFE-227</t>
  </si>
  <si>
    <t>FFE-228</t>
  </si>
  <si>
    <t>FFE-229</t>
  </si>
  <si>
    <t>FFE-230</t>
  </si>
  <si>
    <t>FFE-231</t>
  </si>
  <si>
    <t>FFE-232</t>
  </si>
  <si>
    <t>FFE-233</t>
  </si>
  <si>
    <t>FFE-234</t>
  </si>
  <si>
    <t>FFE-235</t>
  </si>
  <si>
    <t>FFE-236</t>
  </si>
  <si>
    <t>FFE-237</t>
  </si>
  <si>
    <t>FFE-238</t>
  </si>
  <si>
    <t>FFE-239</t>
  </si>
  <si>
    <t>FFE-240</t>
  </si>
  <si>
    <t>FFE-241</t>
  </si>
  <si>
    <t>FFE-242</t>
  </si>
  <si>
    <t>FFE-243</t>
  </si>
  <si>
    <t>FFE-244</t>
  </si>
  <si>
    <t>FFE-245</t>
  </si>
  <si>
    <t>FFE-246</t>
  </si>
  <si>
    <t>FFE-247</t>
  </si>
  <si>
    <t>FFE-248</t>
  </si>
  <si>
    <t>FFE-249</t>
  </si>
  <si>
    <t>FFE-250</t>
  </si>
  <si>
    <t>FFE-251</t>
  </si>
  <si>
    <t>FFE-252</t>
  </si>
  <si>
    <t>FFE-253</t>
  </si>
  <si>
    <t>FFE-254</t>
  </si>
  <si>
    <t>FFE-255</t>
  </si>
  <si>
    <t>FFE-256</t>
  </si>
  <si>
    <t>FFE-257</t>
  </si>
  <si>
    <t>FFE-258</t>
  </si>
  <si>
    <t>FFE-259</t>
  </si>
  <si>
    <t>FFE-260</t>
  </si>
  <si>
    <t>FFE-261</t>
  </si>
  <si>
    <t>FFE-262</t>
  </si>
  <si>
    <t>FFE-263</t>
  </si>
  <si>
    <t>FFE-264</t>
  </si>
  <si>
    <t>FFE-265</t>
  </si>
  <si>
    <t>FFE-266</t>
  </si>
  <si>
    <t>FFE-267</t>
  </si>
  <si>
    <t>FFE-268</t>
  </si>
  <si>
    <t>FFE-269</t>
  </si>
  <si>
    <t>FFE-270</t>
  </si>
  <si>
    <t>FFE-271</t>
  </si>
  <si>
    <t>FFE-272</t>
  </si>
  <si>
    <t>FFE-273</t>
  </si>
  <si>
    <t>FFE-274</t>
  </si>
  <si>
    <t>FFE-275</t>
  </si>
  <si>
    <t>FFE-276</t>
  </si>
  <si>
    <t>FFE-277</t>
  </si>
  <si>
    <t>FFE-278</t>
  </si>
  <si>
    <t>FFE-279</t>
  </si>
  <si>
    <t>FFE-280</t>
  </si>
  <si>
    <t>FFE-281</t>
  </si>
  <si>
    <t>FFE-282</t>
  </si>
  <si>
    <t>FFE-283</t>
  </si>
  <si>
    <t>FFE-284</t>
  </si>
  <si>
    <t>FFE-285</t>
  </si>
  <si>
    <t>FFE-286</t>
  </si>
  <si>
    <t>FFE-287</t>
  </si>
  <si>
    <t>FFE-288</t>
  </si>
  <si>
    <t>FFE-289</t>
  </si>
  <si>
    <t>FFE-290</t>
  </si>
  <si>
    <t>FFE-291</t>
  </si>
  <si>
    <t>FFE-292</t>
  </si>
  <si>
    <t>FFE-293</t>
  </si>
  <si>
    <t>FFE-294</t>
  </si>
  <si>
    <t>FFE-295</t>
  </si>
  <si>
    <t>FFE-296</t>
  </si>
  <si>
    <t>FFE-297</t>
  </si>
  <si>
    <t>FFE-298</t>
  </si>
  <si>
    <t>FFE-299</t>
  </si>
  <si>
    <t>FFE-300</t>
  </si>
  <si>
    <t>FFE-301</t>
  </si>
  <si>
    <t>FFE-302</t>
  </si>
  <si>
    <t>FFE-303</t>
  </si>
  <si>
    <t>FFE-304</t>
  </si>
  <si>
    <t>FFE-305</t>
  </si>
  <si>
    <t>FFE-306</t>
  </si>
  <si>
    <t>FFE-307</t>
  </si>
  <si>
    <t>FFE-308</t>
  </si>
  <si>
    <t>FFE-309</t>
  </si>
  <si>
    <t>FFE-310</t>
  </si>
  <si>
    <t>FFE-311</t>
  </si>
  <si>
    <t>FFE-312</t>
  </si>
  <si>
    <t>FFE-313</t>
  </si>
  <si>
    <t>FFE-314</t>
  </si>
  <si>
    <t>FFE-315</t>
  </si>
  <si>
    <t>FFE-316</t>
  </si>
  <si>
    <t>FFE-317</t>
  </si>
  <si>
    <t>FFE-318</t>
  </si>
  <si>
    <t>FFE-319</t>
  </si>
  <si>
    <t>FFE-320</t>
  </si>
  <si>
    <t>FFE-321</t>
  </si>
  <si>
    <t>FFE-322</t>
  </si>
  <si>
    <t>FFE-323</t>
  </si>
  <si>
    <t>FFE-324</t>
  </si>
  <si>
    <t>FFE-325</t>
  </si>
  <si>
    <t>FFE-326</t>
  </si>
  <si>
    <t>FFE-327</t>
  </si>
  <si>
    <t>FFE-328</t>
  </si>
  <si>
    <t>FFE-329</t>
  </si>
  <si>
    <t>FFE-330</t>
  </si>
  <si>
    <t>FFE-331</t>
  </si>
  <si>
    <t>FFE-332</t>
  </si>
  <si>
    <t>FFE-333</t>
  </si>
  <si>
    <t>FFE-334</t>
  </si>
  <si>
    <t>FFE-335</t>
  </si>
  <si>
    <t>FFE-336</t>
  </si>
  <si>
    <t>FFE-337</t>
  </si>
  <si>
    <t>FFE-338</t>
  </si>
  <si>
    <t>FFE-339</t>
  </si>
  <si>
    <t>FFE-340</t>
  </si>
  <si>
    <t>FFE-341</t>
  </si>
  <si>
    <t>FFE-342</t>
  </si>
  <si>
    <t>FFE-343</t>
  </si>
  <si>
    <t>FFE-344</t>
  </si>
  <si>
    <t>FFE-345</t>
  </si>
  <si>
    <t>FFE-346</t>
  </si>
  <si>
    <t>FFE-347</t>
  </si>
  <si>
    <t>FFE-348</t>
  </si>
  <si>
    <t>FFE-349</t>
  </si>
  <si>
    <t>FFE-350</t>
  </si>
  <si>
    <t>FFE-351</t>
  </si>
  <si>
    <t>FFE-352</t>
  </si>
  <si>
    <t>FFE-353</t>
  </si>
  <si>
    <t>FFE-354</t>
  </si>
  <si>
    <t>FFE-355</t>
  </si>
  <si>
    <t>FFE-356</t>
  </si>
  <si>
    <t>FFE-357</t>
  </si>
  <si>
    <t>FFE-358</t>
  </si>
  <si>
    <t>FFE-359</t>
  </si>
  <si>
    <t>FFE-360</t>
  </si>
  <si>
    <t>FFE-361</t>
  </si>
  <si>
    <t>FFE-362</t>
  </si>
  <si>
    <t>FFE-363</t>
  </si>
  <si>
    <t>FFE-364</t>
  </si>
  <si>
    <t>FFE-365</t>
  </si>
  <si>
    <t>FFE-366</t>
  </si>
  <si>
    <t>FFE-367</t>
  </si>
  <si>
    <t>FFE-368</t>
  </si>
  <si>
    <t>FFE-369</t>
  </si>
  <si>
    <t>FFE-370</t>
  </si>
  <si>
    <t>FFE-371</t>
  </si>
  <si>
    <t>FFE-372</t>
  </si>
  <si>
    <t>FFE-373</t>
  </si>
  <si>
    <t>FFE-374</t>
  </si>
  <si>
    <t>FFE-375</t>
  </si>
  <si>
    <t>FFE-376</t>
  </si>
  <si>
    <t>FFE-377</t>
  </si>
  <si>
    <t>FFE-378</t>
  </si>
  <si>
    <t>FFE-379</t>
  </si>
  <si>
    <t>FFE-380</t>
  </si>
  <si>
    <t>FFE-381</t>
  </si>
  <si>
    <t>FFE-382</t>
  </si>
  <si>
    <t>FFE-383</t>
  </si>
  <si>
    <t>FFE-384</t>
  </si>
  <si>
    <t>FFE-385</t>
  </si>
  <si>
    <t>FFE-386</t>
  </si>
  <si>
    <t>FFE-387</t>
  </si>
  <si>
    <t>FFE-388</t>
  </si>
  <si>
    <t>FFE-389</t>
  </si>
  <si>
    <t>FFE-390</t>
  </si>
  <si>
    <t>FFE-391</t>
  </si>
  <si>
    <t>FFE-392</t>
  </si>
  <si>
    <t>FFE-393</t>
  </si>
  <si>
    <t>FFE-394</t>
  </si>
  <si>
    <t>FFE-395</t>
  </si>
  <si>
    <t>FFE-396</t>
  </si>
  <si>
    <t>FFE-397</t>
  </si>
  <si>
    <t>FFE-398</t>
  </si>
  <si>
    <t>FFE-399</t>
  </si>
  <si>
    <t>FFE-400</t>
  </si>
  <si>
    <t>FFE-401</t>
  </si>
  <si>
    <t>FFE-402</t>
  </si>
  <si>
    <t>FFE-403</t>
  </si>
  <si>
    <t>FFE-404</t>
  </si>
  <si>
    <t>FFE-405</t>
  </si>
  <si>
    <t>FFE-406</t>
  </si>
  <si>
    <t>FFE-407</t>
  </si>
  <si>
    <t>FFE-408</t>
  </si>
  <si>
    <t>FFE-409</t>
  </si>
  <si>
    <t>FFE-410</t>
  </si>
  <si>
    <t>FFE-411</t>
  </si>
  <si>
    <t>FFE-412</t>
  </si>
  <si>
    <t>FFE-413</t>
  </si>
  <si>
    <t>FFE-414</t>
  </si>
  <si>
    <t>FFE-415</t>
  </si>
  <si>
    <t>FFE-416</t>
  </si>
  <si>
    <t>FFE-417</t>
  </si>
  <si>
    <t>FFE-418</t>
  </si>
  <si>
    <t>FFE-419</t>
  </si>
  <si>
    <t>FFE-420</t>
  </si>
  <si>
    <t>FFE-421</t>
  </si>
  <si>
    <t>FFE-422</t>
  </si>
  <si>
    <t>FFE-423</t>
  </si>
  <si>
    <t>FFE-424</t>
  </si>
  <si>
    <t>FFE-425</t>
  </si>
  <si>
    <t>FFE-426</t>
  </si>
  <si>
    <t>FFE-427</t>
  </si>
  <si>
    <t>FFE-428</t>
  </si>
  <si>
    <t>FFE-429</t>
  </si>
  <si>
    <t>FFE-430</t>
  </si>
  <si>
    <t>FFE-431</t>
  </si>
  <si>
    <t>FFE-432</t>
  </si>
  <si>
    <t>FFE-433</t>
  </si>
  <si>
    <t>FFE-434</t>
  </si>
  <si>
    <t>FFE-435</t>
  </si>
  <si>
    <t>FFE-436</t>
  </si>
  <si>
    <t>FFE-437</t>
  </si>
  <si>
    <t>MM-2</t>
  </si>
  <si>
    <t>MM-3</t>
  </si>
  <si>
    <t>MM-4</t>
  </si>
  <si>
    <t>MM-5</t>
  </si>
  <si>
    <t>MM-6</t>
  </si>
  <si>
    <t>MM-7</t>
  </si>
  <si>
    <t>MM-8</t>
  </si>
  <si>
    <t>MM-9</t>
  </si>
  <si>
    <t>MM-10</t>
  </si>
  <si>
    <t>MM-11</t>
  </si>
  <si>
    <t>MM-12</t>
  </si>
  <si>
    <t>MM-13</t>
  </si>
  <si>
    <t>MM-14</t>
  </si>
  <si>
    <t>MM-15</t>
  </si>
  <si>
    <t>MM-16</t>
  </si>
  <si>
    <t>MM-17</t>
  </si>
  <si>
    <t>MM-18</t>
  </si>
  <si>
    <t>MM-19</t>
  </si>
  <si>
    <t>MM-20</t>
  </si>
  <si>
    <t>MM-21</t>
  </si>
  <si>
    <t>MM-22</t>
  </si>
  <si>
    <t>MM-23</t>
  </si>
  <si>
    <t>MM-24</t>
  </si>
  <si>
    <t>MM-25</t>
  </si>
  <si>
    <t>MM-26</t>
  </si>
  <si>
    <t>MM-27</t>
  </si>
  <si>
    <t>MM-28</t>
  </si>
  <si>
    <t>MM-29</t>
  </si>
  <si>
    <t>MM-30</t>
  </si>
  <si>
    <t>MM-31</t>
  </si>
  <si>
    <t>MM-32</t>
  </si>
  <si>
    <t>MM-33</t>
  </si>
  <si>
    <t>MM-34</t>
  </si>
  <si>
    <t>MM-35</t>
  </si>
  <si>
    <t>MM-36</t>
  </si>
  <si>
    <t>MM-37</t>
  </si>
  <si>
    <t>MM-38</t>
  </si>
  <si>
    <t>MM-39</t>
  </si>
  <si>
    <t>MM-40</t>
  </si>
  <si>
    <t>MM-41</t>
  </si>
  <si>
    <t>MM-42</t>
  </si>
  <si>
    <t>MM-43</t>
  </si>
  <si>
    <t>MM-44</t>
  </si>
  <si>
    <t>MM-45</t>
  </si>
  <si>
    <t>MM-46</t>
  </si>
  <si>
    <t>MM-47</t>
  </si>
  <si>
    <t>MM-48</t>
  </si>
  <si>
    <t>MM-49</t>
  </si>
  <si>
    <t>MM-50</t>
  </si>
  <si>
    <t>MM-51</t>
  </si>
  <si>
    <t>MM-52</t>
  </si>
  <si>
    <t>MM-53</t>
  </si>
  <si>
    <t>MM-54</t>
  </si>
  <si>
    <t>MM-55</t>
  </si>
  <si>
    <t>MM-56</t>
  </si>
  <si>
    <t>MM-57</t>
  </si>
  <si>
    <t>MM-58</t>
  </si>
  <si>
    <t>MM-59</t>
  </si>
  <si>
    <t>MM-60</t>
  </si>
  <si>
    <t>MM-61</t>
  </si>
  <si>
    <t>MM-62</t>
  </si>
  <si>
    <t>MM-63</t>
  </si>
  <si>
    <t>MM-64</t>
  </si>
  <si>
    <t>MM-65</t>
  </si>
  <si>
    <t>MM-66</t>
  </si>
  <si>
    <t>MM-67</t>
  </si>
  <si>
    <t>MM-68</t>
  </si>
  <si>
    <t>MM-69</t>
  </si>
  <si>
    <t>MM-70</t>
  </si>
  <si>
    <t>MM-71</t>
  </si>
  <si>
    <t>MM-72</t>
  </si>
  <si>
    <t>MM-73</t>
  </si>
  <si>
    <t>MM-74</t>
  </si>
  <si>
    <t>MM-75</t>
  </si>
  <si>
    <t>MM-76</t>
  </si>
  <si>
    <t>MM-77</t>
  </si>
  <si>
    <t>MM-78</t>
  </si>
  <si>
    <t>MM-79</t>
  </si>
  <si>
    <t>MM-80</t>
  </si>
  <si>
    <t>MM-81</t>
  </si>
  <si>
    <t>MM-82</t>
  </si>
  <si>
    <t>MM-83</t>
  </si>
  <si>
    <t>MM-84</t>
  </si>
  <si>
    <t>MM-85</t>
  </si>
  <si>
    <t>MM-86</t>
  </si>
  <si>
    <t>MM-87</t>
  </si>
  <si>
    <t>MM-88</t>
  </si>
  <si>
    <t>MM-89</t>
  </si>
  <si>
    <t>MM-90</t>
  </si>
  <si>
    <t>MM-91</t>
  </si>
  <si>
    <t>MM-92</t>
  </si>
  <si>
    <t>MM-93</t>
  </si>
  <si>
    <t>MM-94</t>
  </si>
  <si>
    <t>MM-95</t>
  </si>
  <si>
    <t>MM-96</t>
  </si>
  <si>
    <t>MM-97</t>
  </si>
  <si>
    <t>MM-98</t>
  </si>
  <si>
    <t>MM-99</t>
  </si>
  <si>
    <t>MM-100</t>
  </si>
  <si>
    <t>MM-101</t>
  </si>
  <si>
    <t>MM-102</t>
  </si>
  <si>
    <t>MM-103</t>
  </si>
  <si>
    <t>MM-104</t>
  </si>
  <si>
    <t>MM-105</t>
  </si>
  <si>
    <t>MM-106</t>
  </si>
  <si>
    <t>MM-107</t>
  </si>
  <si>
    <t>MM-108</t>
  </si>
  <si>
    <t>MM-109</t>
  </si>
  <si>
    <t>MM-110</t>
  </si>
  <si>
    <t>MM-111</t>
  </si>
  <si>
    <t>MM-112</t>
  </si>
  <si>
    <t>MM-113</t>
  </si>
  <si>
    <t>MM-114</t>
  </si>
  <si>
    <t>MM-115</t>
  </si>
  <si>
    <t>MM-116</t>
  </si>
  <si>
    <t>MM-117</t>
  </si>
  <si>
    <t>MM-118</t>
  </si>
  <si>
    <t>MM-119</t>
  </si>
  <si>
    <t>MM-120</t>
  </si>
  <si>
    <t>MM-121</t>
  </si>
  <si>
    <t>MM-122</t>
  </si>
  <si>
    <t>MM-123</t>
  </si>
  <si>
    <t>MM-124</t>
  </si>
  <si>
    <t>MM-125</t>
  </si>
  <si>
    <t>MM-126</t>
  </si>
  <si>
    <t>MM-127</t>
  </si>
  <si>
    <t>MM-128</t>
  </si>
  <si>
    <t>MM-129</t>
  </si>
  <si>
    <t>MM-130</t>
  </si>
  <si>
    <t>MM-131</t>
  </si>
  <si>
    <t>MM-132</t>
  </si>
  <si>
    <t>MM-133</t>
  </si>
  <si>
    <t>MM-134</t>
  </si>
  <si>
    <t>MM-135</t>
  </si>
  <si>
    <t>MM-136</t>
  </si>
  <si>
    <t>MM-137</t>
  </si>
  <si>
    <t>MM-138</t>
  </si>
  <si>
    <t>MM-139</t>
  </si>
  <si>
    <t>MM-140</t>
  </si>
  <si>
    <t>MM-141</t>
  </si>
  <si>
    <t>MM-142</t>
  </si>
  <si>
    <t>MM-143</t>
  </si>
  <si>
    <t>MM-144</t>
  </si>
  <si>
    <t>MM-145</t>
  </si>
  <si>
    <t>MM-146</t>
  </si>
  <si>
    <t>MM-147</t>
  </si>
  <si>
    <t>MM-148</t>
  </si>
  <si>
    <t>MM-149</t>
  </si>
  <si>
    <t>MM-150</t>
  </si>
  <si>
    <t>MM-151</t>
  </si>
  <si>
    <t>MM-152</t>
  </si>
  <si>
    <t>MM-153</t>
  </si>
  <si>
    <t>MM-154</t>
  </si>
  <si>
    <t>MM-155</t>
  </si>
  <si>
    <t>MM-156</t>
  </si>
  <si>
    <t>MM-157</t>
  </si>
  <si>
    <t>MM-158</t>
  </si>
  <si>
    <t>MM-159</t>
  </si>
  <si>
    <t>MM-160</t>
  </si>
  <si>
    <t>MM-161</t>
  </si>
  <si>
    <t>MM-162</t>
  </si>
  <si>
    <t>MM-163</t>
  </si>
  <si>
    <t>MM-164</t>
  </si>
  <si>
    <t>MM-165</t>
  </si>
  <si>
    <t>MM-166</t>
  </si>
  <si>
    <t>MM-167</t>
  </si>
  <si>
    <t>MM-168</t>
  </si>
  <si>
    <t>MM-169</t>
  </si>
  <si>
    <t>MM-170</t>
  </si>
  <si>
    <t>MM-171</t>
  </si>
  <si>
    <t>MM-172</t>
  </si>
  <si>
    <t>MM-173</t>
  </si>
  <si>
    <t>MM-174</t>
  </si>
  <si>
    <t>MM-175</t>
  </si>
  <si>
    <t>MM-176</t>
  </si>
  <si>
    <t>MM-177</t>
  </si>
  <si>
    <t>MM-178</t>
  </si>
  <si>
    <t>MM-179</t>
  </si>
  <si>
    <t>MM-180</t>
  </si>
  <si>
    <t>MM-181</t>
  </si>
  <si>
    <t>MM-182</t>
  </si>
  <si>
    <t>MM-183</t>
  </si>
  <si>
    <t>MM-184</t>
  </si>
  <si>
    <t>MM-185</t>
  </si>
  <si>
    <t>MM-186</t>
  </si>
  <si>
    <t>MM-187</t>
  </si>
  <si>
    <t>MM-188</t>
  </si>
  <si>
    <t>MM-189</t>
  </si>
  <si>
    <t>MM-190</t>
  </si>
  <si>
    <t>MM-191</t>
  </si>
  <si>
    <t>MM-192</t>
  </si>
  <si>
    <t>MM-193</t>
  </si>
  <si>
    <t>MM-194</t>
  </si>
  <si>
    <t>MM-195</t>
  </si>
  <si>
    <t>MM-196</t>
  </si>
  <si>
    <t>MM-197</t>
  </si>
  <si>
    <t>MM-198</t>
  </si>
  <si>
    <t>MM-199</t>
  </si>
  <si>
    <t>MM-200</t>
  </si>
  <si>
    <t>MM-201</t>
  </si>
  <si>
    <t>MM-202</t>
  </si>
  <si>
    <t>MM-203</t>
  </si>
  <si>
    <t>MM-204</t>
  </si>
  <si>
    <t>MM-205</t>
  </si>
  <si>
    <t>MM-206</t>
  </si>
  <si>
    <t>MM-207</t>
  </si>
  <si>
    <t>MM-208</t>
  </si>
  <si>
    <t>MM-209</t>
  </si>
  <si>
    <t>MM-210</t>
  </si>
  <si>
    <t>MM-211</t>
  </si>
  <si>
    <t>MM-212</t>
  </si>
  <si>
    <t>MM-213</t>
  </si>
  <si>
    <t>MM-214</t>
  </si>
  <si>
    <t>MM-215</t>
  </si>
  <si>
    <t>MM-216</t>
  </si>
  <si>
    <t>MM-217</t>
  </si>
  <si>
    <t>MM-218</t>
  </si>
  <si>
    <t>MM-219</t>
  </si>
  <si>
    <t>MM-220</t>
  </si>
  <si>
    <t>MM-221</t>
  </si>
  <si>
    <t>MM-222</t>
  </si>
  <si>
    <t>MM-223</t>
  </si>
  <si>
    <t>MM-224</t>
  </si>
  <si>
    <t>MM-225</t>
  </si>
  <si>
    <t>MM-226</t>
  </si>
  <si>
    <t>MM-227</t>
  </si>
  <si>
    <t>MM-228</t>
  </si>
  <si>
    <t>MM-229</t>
  </si>
  <si>
    <t>MM-230</t>
  </si>
  <si>
    <t>MM-231</t>
  </si>
  <si>
    <t>MM-232</t>
  </si>
  <si>
    <t>MM-233</t>
  </si>
  <si>
    <t>MM-234</t>
  </si>
  <si>
    <t>MM-235</t>
  </si>
  <si>
    <t>MM-236</t>
  </si>
  <si>
    <t>MM-237</t>
  </si>
  <si>
    <t>MM-238</t>
  </si>
  <si>
    <t>MM-239</t>
  </si>
  <si>
    <t>MM-240</t>
  </si>
  <si>
    <t>MM-241</t>
  </si>
  <si>
    <t>MM-242</t>
  </si>
  <si>
    <t>MM-243</t>
  </si>
  <si>
    <t>MM-244</t>
  </si>
  <si>
    <t>MM-245</t>
  </si>
  <si>
    <t>MM-246</t>
  </si>
  <si>
    <t>MM-247</t>
  </si>
  <si>
    <t>MM-248</t>
  </si>
  <si>
    <t>MM-249</t>
  </si>
  <si>
    <t>MM-250</t>
  </si>
  <si>
    <t>MM-251</t>
  </si>
  <si>
    <t>MM-252</t>
  </si>
  <si>
    <t>MM-253</t>
  </si>
  <si>
    <t>MM-254</t>
  </si>
  <si>
    <t>MM-255</t>
  </si>
  <si>
    <t>MM-256</t>
  </si>
  <si>
    <t>MM-257</t>
  </si>
  <si>
    <t>MM-258</t>
  </si>
  <si>
    <t>MM-259</t>
  </si>
  <si>
    <t>MM-260</t>
  </si>
  <si>
    <t>MM-261</t>
  </si>
  <si>
    <t>MM-262</t>
  </si>
  <si>
    <t>MM-263</t>
  </si>
  <si>
    <t>MM-264</t>
  </si>
  <si>
    <t>MM-265</t>
  </si>
  <si>
    <t>MM-266</t>
  </si>
  <si>
    <t>MM-267</t>
  </si>
  <si>
    <t>MM-268</t>
  </si>
  <si>
    <t>MM-269</t>
  </si>
  <si>
    <t>MM-270</t>
  </si>
  <si>
    <t>MM-271</t>
  </si>
  <si>
    <t>MM-272</t>
  </si>
  <si>
    <t>MM-273</t>
  </si>
  <si>
    <t>MM-274</t>
  </si>
  <si>
    <t>MM-275</t>
  </si>
  <si>
    <t>MM-276</t>
  </si>
  <si>
    <t>MM-277</t>
  </si>
  <si>
    <t>MM-278</t>
  </si>
  <si>
    <t>MM-279</t>
  </si>
  <si>
    <t>MM-280</t>
  </si>
  <si>
    <t>MM-281</t>
  </si>
  <si>
    <t>MM-282</t>
  </si>
  <si>
    <t>MM-283</t>
  </si>
  <si>
    <t>MM-284</t>
  </si>
  <si>
    <t>MM-285</t>
  </si>
  <si>
    <t>MM-286</t>
  </si>
  <si>
    <t>MM-287</t>
  </si>
  <si>
    <t>MM-288</t>
  </si>
  <si>
    <t>MM-289</t>
  </si>
  <si>
    <t>MM-290</t>
  </si>
  <si>
    <t>MM-291</t>
  </si>
  <si>
    <t>MM-292</t>
  </si>
  <si>
    <t>MM-293</t>
  </si>
  <si>
    <t>MM-294</t>
  </si>
  <si>
    <t>MM-295</t>
  </si>
  <si>
    <t>MM-296</t>
  </si>
  <si>
    <t>MM-297</t>
  </si>
  <si>
    <t>MM-298</t>
  </si>
  <si>
    <t>MM-299</t>
  </si>
  <si>
    <t>MM-300</t>
  </si>
  <si>
    <t>MM-301</t>
  </si>
  <si>
    <t>MM-302</t>
  </si>
  <si>
    <t>MM-303</t>
  </si>
  <si>
    <t>MM-304</t>
  </si>
  <si>
    <t>MM-305</t>
  </si>
  <si>
    <t>MM-306</t>
  </si>
  <si>
    <t>MM-307</t>
  </si>
  <si>
    <t>MM-308</t>
  </si>
  <si>
    <t>MM-309</t>
  </si>
  <si>
    <t>MM-310</t>
  </si>
  <si>
    <t>MM-311</t>
  </si>
  <si>
    <t>MM-312</t>
  </si>
  <si>
    <t>MM-313</t>
  </si>
  <si>
    <t>MM-314</t>
  </si>
  <si>
    <t>MM-315</t>
  </si>
  <si>
    <t>MM-316</t>
  </si>
  <si>
    <t>MM-317</t>
  </si>
  <si>
    <t>MM-318</t>
  </si>
  <si>
    <t>MM-319</t>
  </si>
  <si>
    <t>MM-320</t>
  </si>
  <si>
    <t>MM-321</t>
  </si>
  <si>
    <t>MM-322</t>
  </si>
  <si>
    <t>MM-323</t>
  </si>
  <si>
    <t>MM-324</t>
  </si>
  <si>
    <t>MM-325</t>
  </si>
  <si>
    <t>MM-326</t>
  </si>
  <si>
    <t>MM-327</t>
  </si>
  <si>
    <t>MM-328</t>
  </si>
  <si>
    <t>MM-329</t>
  </si>
  <si>
    <t>MM-330</t>
  </si>
  <si>
    <t>MM-331</t>
  </si>
  <si>
    <t>MM-332</t>
  </si>
  <si>
    <t>MM-333</t>
  </si>
  <si>
    <t>MM-334</t>
  </si>
  <si>
    <t>MM-335</t>
  </si>
  <si>
    <t>MM-336</t>
  </si>
  <si>
    <t>MM-337</t>
  </si>
  <si>
    <t>MM-338</t>
  </si>
  <si>
    <t>MM-339</t>
  </si>
  <si>
    <t>MM-340</t>
  </si>
  <si>
    <t>MM-341</t>
  </si>
  <si>
    <t>MM-342</t>
  </si>
  <si>
    <t>MM-343</t>
  </si>
  <si>
    <t>MM-344</t>
  </si>
  <si>
    <t>MM-345</t>
  </si>
  <si>
    <t>MM-346</t>
  </si>
  <si>
    <t>MM-347</t>
  </si>
  <si>
    <t>MM-348</t>
  </si>
  <si>
    <t>MM-349</t>
  </si>
  <si>
    <t>MM-350</t>
  </si>
  <si>
    <t>MM-351</t>
  </si>
  <si>
    <t>MM-352</t>
  </si>
  <si>
    <t>MM-353</t>
  </si>
  <si>
    <t>MM-354</t>
  </si>
  <si>
    <t>MM-355</t>
  </si>
  <si>
    <t>MM-356</t>
  </si>
  <si>
    <t>MM-357</t>
  </si>
  <si>
    <t>MM-358</t>
  </si>
  <si>
    <t>MM-359</t>
  </si>
  <si>
    <t>MM-360</t>
  </si>
  <si>
    <t>MM-361</t>
  </si>
  <si>
    <t>MM-362</t>
  </si>
  <si>
    <t>MM-363</t>
  </si>
  <si>
    <t>MM-364</t>
  </si>
  <si>
    <t>MM-365</t>
  </si>
  <si>
    <t>MM-366</t>
  </si>
  <si>
    <t>MM-367</t>
  </si>
  <si>
    <t>MM-368</t>
  </si>
  <si>
    <t>MM-369</t>
  </si>
  <si>
    <t>MM-370</t>
  </si>
  <si>
    <t>MM-371</t>
  </si>
  <si>
    <t>MM-372</t>
  </si>
  <si>
    <t>MM-373</t>
  </si>
  <si>
    <t>MM-374</t>
  </si>
  <si>
    <t>MM-375</t>
  </si>
  <si>
    <t>MM-376</t>
  </si>
  <si>
    <t>MM-377</t>
  </si>
  <si>
    <t>MM-378</t>
  </si>
  <si>
    <t>MM-379</t>
  </si>
  <si>
    <t>MM-380</t>
  </si>
  <si>
    <t>MM-381</t>
  </si>
  <si>
    <t>MM-382</t>
  </si>
  <si>
    <t>MM-383</t>
  </si>
  <si>
    <t>MM-384</t>
  </si>
  <si>
    <t>MM-385</t>
  </si>
  <si>
    <t>MM-386</t>
  </si>
  <si>
    <t>MM-387</t>
  </si>
  <si>
    <t>MM-388</t>
  </si>
  <si>
    <t>MM-389</t>
  </si>
  <si>
    <t>MM-390</t>
  </si>
  <si>
    <t>MM-391</t>
  </si>
  <si>
    <t>MM-392</t>
  </si>
  <si>
    <t>MM-393</t>
  </si>
  <si>
    <t>MM-394</t>
  </si>
  <si>
    <t>MM-395</t>
  </si>
  <si>
    <t>MM-396</t>
  </si>
  <si>
    <t>MM-397</t>
  </si>
  <si>
    <t>MM-398</t>
  </si>
  <si>
    <t>MM-399</t>
  </si>
  <si>
    <t>MM-400</t>
  </si>
  <si>
    <t>MM-401</t>
  </si>
  <si>
    <t>MM-402</t>
  </si>
  <si>
    <t>MM-403</t>
  </si>
  <si>
    <t>MM-404</t>
  </si>
  <si>
    <t>MM-405</t>
  </si>
  <si>
    <t>MM-406</t>
  </si>
  <si>
    <t>MM-407</t>
  </si>
  <si>
    <t>MM-408</t>
  </si>
  <si>
    <t>MM-409</t>
  </si>
  <si>
    <t>MM-410</t>
  </si>
  <si>
    <t>MM-411</t>
  </si>
  <si>
    <t>MM-412</t>
  </si>
  <si>
    <t>MM-413</t>
  </si>
  <si>
    <t>MM-414</t>
  </si>
  <si>
    <t>MM-415</t>
  </si>
  <si>
    <t>MM-416</t>
  </si>
  <si>
    <t>MM-417</t>
  </si>
  <si>
    <t>MM-418</t>
  </si>
  <si>
    <t>MM-419</t>
  </si>
  <si>
    <t>MM-420</t>
  </si>
  <si>
    <t>MM-421</t>
  </si>
  <si>
    <t>MM-422</t>
  </si>
  <si>
    <t>MM-423</t>
  </si>
  <si>
    <t>MM-424</t>
  </si>
  <si>
    <t>MM-425</t>
  </si>
  <si>
    <t>MM-426</t>
  </si>
  <si>
    <t>MM-427</t>
  </si>
  <si>
    <t>MM-428</t>
  </si>
  <si>
    <t>MM-429</t>
  </si>
  <si>
    <t>MM-430</t>
  </si>
  <si>
    <t>MM-431</t>
  </si>
  <si>
    <t>MM-432</t>
  </si>
  <si>
    <t>MM-433</t>
  </si>
  <si>
    <t>MM-434</t>
  </si>
  <si>
    <t>MM-435</t>
  </si>
  <si>
    <t>MM-436</t>
  </si>
  <si>
    <t>MM-437</t>
  </si>
  <si>
    <t>SS-2</t>
  </si>
  <si>
    <t>SS-3</t>
  </si>
  <si>
    <t>SS-4</t>
  </si>
  <si>
    <t>SS-5</t>
  </si>
  <si>
    <t>SS-6</t>
  </si>
  <si>
    <t>SS-7</t>
  </si>
  <si>
    <t>SS-8</t>
  </si>
  <si>
    <t>SS-9</t>
  </si>
  <si>
    <t>SS-10</t>
  </si>
  <si>
    <t>SS-11</t>
  </si>
  <si>
    <t>SS-12</t>
  </si>
  <si>
    <t>SS-13</t>
  </si>
  <si>
    <t>SS-14</t>
  </si>
  <si>
    <t>SS-15</t>
  </si>
  <si>
    <t>SS-16</t>
  </si>
  <si>
    <t>SS-17</t>
  </si>
  <si>
    <t>SS-18</t>
  </si>
  <si>
    <t>SS-19</t>
  </si>
  <si>
    <t>SS-20</t>
  </si>
  <si>
    <t>SS-21</t>
  </si>
  <si>
    <t>SS-22</t>
  </si>
  <si>
    <t>SS-23</t>
  </si>
  <si>
    <t>SS-24</t>
  </si>
  <si>
    <t>SS-25</t>
  </si>
  <si>
    <t>SS-26</t>
  </si>
  <si>
    <t>SS-27</t>
  </si>
  <si>
    <t>SS-28</t>
  </si>
  <si>
    <t>SS-29</t>
  </si>
  <si>
    <t>SS-30</t>
  </si>
  <si>
    <t>SS-31</t>
  </si>
  <si>
    <t>SS-32</t>
  </si>
  <si>
    <t>SS-33</t>
  </si>
  <si>
    <t>SS-34</t>
  </si>
  <si>
    <t>SS-35</t>
  </si>
  <si>
    <t>SS-36</t>
  </si>
  <si>
    <t>SS-37</t>
  </si>
  <si>
    <t>SS-38</t>
  </si>
  <si>
    <t>SS-39</t>
  </si>
  <si>
    <t>SS-40</t>
  </si>
  <si>
    <t>SS-41</t>
  </si>
  <si>
    <t>SS-42</t>
  </si>
  <si>
    <t>SS-43</t>
  </si>
  <si>
    <t>SS-44</t>
  </si>
  <si>
    <t>SS-45</t>
  </si>
  <si>
    <t>SS-46</t>
  </si>
  <si>
    <t>SS-47</t>
  </si>
  <si>
    <t>SS-48</t>
  </si>
  <si>
    <t>SS-49</t>
  </si>
  <si>
    <t>SS-50</t>
  </si>
  <si>
    <t>SS-51</t>
  </si>
  <si>
    <t>SS-52</t>
  </si>
  <si>
    <t>SS-53</t>
  </si>
  <si>
    <t>SS-54</t>
  </si>
  <si>
    <t>SS-55</t>
  </si>
  <si>
    <t>SS-56</t>
  </si>
  <si>
    <t>SS-57</t>
  </si>
  <si>
    <t>SS-58</t>
  </si>
  <si>
    <t>SS-59</t>
  </si>
  <si>
    <t>SS-60</t>
  </si>
  <si>
    <t>SS-61</t>
  </si>
  <si>
    <t>SS-62</t>
  </si>
  <si>
    <t>SS-63</t>
  </si>
  <si>
    <t>SS-64</t>
  </si>
  <si>
    <t>SS-65</t>
  </si>
  <si>
    <t>SS-66</t>
  </si>
  <si>
    <t>SS-67</t>
  </si>
  <si>
    <t>SS-68</t>
  </si>
  <si>
    <t>SS-69</t>
  </si>
  <si>
    <t>SS-70</t>
  </si>
  <si>
    <t>SS-71</t>
  </si>
  <si>
    <t>SS-72</t>
  </si>
  <si>
    <t>SS-73</t>
  </si>
  <si>
    <t>SS-74</t>
  </si>
  <si>
    <t>SS-75</t>
  </si>
  <si>
    <t>SS-76</t>
  </si>
  <si>
    <t>SS-77</t>
  </si>
  <si>
    <t>SS-78</t>
  </si>
  <si>
    <t>SS-79</t>
  </si>
  <si>
    <t>SS-80</t>
  </si>
  <si>
    <t>SS-81</t>
  </si>
  <si>
    <t>SS-82</t>
  </si>
  <si>
    <t>SS-83</t>
  </si>
  <si>
    <t>SS-84</t>
  </si>
  <si>
    <t>SS-85</t>
  </si>
  <si>
    <t>SS-86</t>
  </si>
  <si>
    <t>SS-87</t>
  </si>
  <si>
    <t>SS-88</t>
  </si>
  <si>
    <t>SS-89</t>
  </si>
  <si>
    <t>SS-90</t>
  </si>
  <si>
    <t>SS-91</t>
  </si>
  <si>
    <t>SS-92</t>
  </si>
  <si>
    <t>SS-93</t>
  </si>
  <si>
    <t>SS-94</t>
  </si>
  <si>
    <t>SS-95</t>
  </si>
  <si>
    <t>SS-96</t>
  </si>
  <si>
    <t>SS-97</t>
  </si>
  <si>
    <t>SS-98</t>
  </si>
  <si>
    <t>SS-99</t>
  </si>
  <si>
    <t>SS-100</t>
  </si>
  <si>
    <t>SS-101</t>
  </si>
  <si>
    <t>SS-102</t>
  </si>
  <si>
    <t>SS-103</t>
  </si>
  <si>
    <t>SS-104</t>
  </si>
  <si>
    <t>SS-105</t>
  </si>
  <si>
    <t>SS-106</t>
  </si>
  <si>
    <t>SS-107</t>
  </si>
  <si>
    <t>SS-108</t>
  </si>
  <si>
    <t>SS-109</t>
  </si>
  <si>
    <t>SS-110</t>
  </si>
  <si>
    <t>SS-111</t>
  </si>
  <si>
    <t>SS-112</t>
  </si>
  <si>
    <t>SS-113</t>
  </si>
  <si>
    <t>SS-114</t>
  </si>
  <si>
    <t>SS-115</t>
  </si>
  <si>
    <t>SS-116</t>
  </si>
  <si>
    <t>SS-117</t>
  </si>
  <si>
    <t>SS-118</t>
  </si>
  <si>
    <t>SS-119</t>
  </si>
  <si>
    <t>SS-120</t>
  </si>
  <si>
    <t>SS-121</t>
  </si>
  <si>
    <t>SS-122</t>
  </si>
  <si>
    <t>SS-123</t>
  </si>
  <si>
    <t>SS-124</t>
  </si>
  <si>
    <t>SS-125</t>
  </si>
  <si>
    <t>SS-126</t>
  </si>
  <si>
    <t>SS-127</t>
  </si>
  <si>
    <t>SS-128</t>
  </si>
  <si>
    <t>SS-129</t>
  </si>
  <si>
    <t>SS-130</t>
  </si>
  <si>
    <t>SS-131</t>
  </si>
  <si>
    <t>SS-132</t>
  </si>
  <si>
    <t>SS-133</t>
  </si>
  <si>
    <t>SS-134</t>
  </si>
  <si>
    <t>SS-135</t>
  </si>
  <si>
    <t>SS-136</t>
  </si>
  <si>
    <t>SS-137</t>
  </si>
  <si>
    <t>SS-138</t>
  </si>
  <si>
    <t>SS-139</t>
  </si>
  <si>
    <t>SS-140</t>
  </si>
  <si>
    <t>SS-141</t>
  </si>
  <si>
    <t>SS-142</t>
  </si>
  <si>
    <t>SS-143</t>
  </si>
  <si>
    <t>SS-144</t>
  </si>
  <si>
    <t>SS-145</t>
  </si>
  <si>
    <t>SS-146</t>
  </si>
  <si>
    <t>SS-147</t>
  </si>
  <si>
    <t>SS-148</t>
  </si>
  <si>
    <t>SS-149</t>
  </si>
  <si>
    <t>SS-150</t>
  </si>
  <si>
    <t>SS-151</t>
  </si>
  <si>
    <t>SS-152</t>
  </si>
  <si>
    <t>SS-153</t>
  </si>
  <si>
    <t>SS-154</t>
  </si>
  <si>
    <t>SS-155</t>
  </si>
  <si>
    <t>SS-156</t>
  </si>
  <si>
    <t>SS-157</t>
  </si>
  <si>
    <t>SS-158</t>
  </si>
  <si>
    <t>SS-159</t>
  </si>
  <si>
    <t>SS-160</t>
  </si>
  <si>
    <t>SS-161</t>
  </si>
  <si>
    <t>SS-162</t>
  </si>
  <si>
    <t>SS-163</t>
  </si>
  <si>
    <t>SS-164</t>
  </si>
  <si>
    <t>SS-165</t>
  </si>
  <si>
    <t>SS-166</t>
  </si>
  <si>
    <t>SS-167</t>
  </si>
  <si>
    <t>SS-168</t>
  </si>
  <si>
    <t>SS-169</t>
  </si>
  <si>
    <t>SS-170</t>
  </si>
  <si>
    <t>SS-171</t>
  </si>
  <si>
    <t>SS-172</t>
  </si>
  <si>
    <t>SS-173</t>
  </si>
  <si>
    <t>SS-174</t>
  </si>
  <si>
    <t>SS-175</t>
  </si>
  <si>
    <t>SS-176</t>
  </si>
  <si>
    <t>SS-177</t>
  </si>
  <si>
    <t>SS-178</t>
  </si>
  <si>
    <t>SS-179</t>
  </si>
  <si>
    <t>SS-180</t>
  </si>
  <si>
    <t>SS-181</t>
  </si>
  <si>
    <t>SS-182</t>
  </si>
  <si>
    <t>SS-183</t>
  </si>
  <si>
    <t>SS-184</t>
  </si>
  <si>
    <t>SS-185</t>
  </si>
  <si>
    <t>SS-186</t>
  </si>
  <si>
    <t>SS-187</t>
  </si>
  <si>
    <t>SS-188</t>
  </si>
  <si>
    <t>SS-189</t>
  </si>
  <si>
    <t>SS-190</t>
  </si>
  <si>
    <t>SS-191</t>
  </si>
  <si>
    <t>SS-192</t>
  </si>
  <si>
    <t>SS-193</t>
  </si>
  <si>
    <t>SS-194</t>
  </si>
  <si>
    <t>SS-195</t>
  </si>
  <si>
    <t>SS-196</t>
  </si>
  <si>
    <t>SS-197</t>
  </si>
  <si>
    <t>SS-198</t>
  </si>
  <si>
    <t>SS-199</t>
  </si>
  <si>
    <t>SS-200</t>
  </si>
  <si>
    <t>SS-201</t>
  </si>
  <si>
    <t>SS-202</t>
  </si>
  <si>
    <t>SS-203</t>
  </si>
  <si>
    <t>SS-204</t>
  </si>
  <si>
    <t>SS-205</t>
  </si>
  <si>
    <t>SS-206</t>
  </si>
  <si>
    <t>SS-207</t>
  </si>
  <si>
    <t>SS-208</t>
  </si>
  <si>
    <t>SS-209</t>
  </si>
  <si>
    <t>SS-210</t>
  </si>
  <si>
    <t>SS-211</t>
  </si>
  <si>
    <t>SS-212</t>
  </si>
  <si>
    <t>SS-213</t>
  </si>
  <si>
    <t>SS-214</t>
  </si>
  <si>
    <t>SS-215</t>
  </si>
  <si>
    <t>SS-216</t>
  </si>
  <si>
    <t>SS-217</t>
  </si>
  <si>
    <t>SS-218</t>
  </si>
  <si>
    <t>SS-219</t>
  </si>
  <si>
    <t>SS-220</t>
  </si>
  <si>
    <t>SS-221</t>
  </si>
  <si>
    <t>SS-222</t>
  </si>
  <si>
    <t>SS-223</t>
  </si>
  <si>
    <t>SS-224</t>
  </si>
  <si>
    <t>SS-225</t>
  </si>
  <si>
    <t>SS-226</t>
  </si>
  <si>
    <t>SS-227</t>
  </si>
  <si>
    <t>SS-228</t>
  </si>
  <si>
    <t>SS-229</t>
  </si>
  <si>
    <t>SS-230</t>
  </si>
  <si>
    <t>SS-231</t>
  </si>
  <si>
    <t>SS-232</t>
  </si>
  <si>
    <t>SS-233</t>
  </si>
  <si>
    <t>SS-234</t>
  </si>
  <si>
    <t>SS-235</t>
  </si>
  <si>
    <t>SS-236</t>
  </si>
  <si>
    <t>SS-237</t>
  </si>
  <si>
    <t>SS-238</t>
  </si>
  <si>
    <t>SS-239</t>
  </si>
  <si>
    <t>SS-240</t>
  </si>
  <si>
    <t>SS-241</t>
  </si>
  <si>
    <t>SS-242</t>
  </si>
  <si>
    <t>SS-243</t>
  </si>
  <si>
    <t>SS-244</t>
  </si>
  <si>
    <t>SS-245</t>
  </si>
  <si>
    <t>SS-246</t>
  </si>
  <si>
    <t>SS-247</t>
  </si>
  <si>
    <t>SS-248</t>
  </si>
  <si>
    <t>SS-249</t>
  </si>
  <si>
    <t>SS-250</t>
  </si>
  <si>
    <t>SS-251</t>
  </si>
  <si>
    <t>SS-252</t>
  </si>
  <si>
    <t>SS-253</t>
  </si>
  <si>
    <t>SS-254</t>
  </si>
  <si>
    <t>SS-255</t>
  </si>
  <si>
    <t>SS-256</t>
  </si>
  <si>
    <t>SS-257</t>
  </si>
  <si>
    <t>SS-258</t>
  </si>
  <si>
    <t>SS-259</t>
  </si>
  <si>
    <t>SS-260</t>
  </si>
  <si>
    <t>SS-261</t>
  </si>
  <si>
    <t>SS-262</t>
  </si>
  <si>
    <t>SS-263</t>
  </si>
  <si>
    <t>SS-264</t>
  </si>
  <si>
    <t>SS-265</t>
  </si>
  <si>
    <t>SS-266</t>
  </si>
  <si>
    <t>SS-267</t>
  </si>
  <si>
    <t>SS-268</t>
  </si>
  <si>
    <t>SS-269</t>
  </si>
  <si>
    <t>SS-270</t>
  </si>
  <si>
    <t>SS-271</t>
  </si>
  <si>
    <t>SS-272</t>
  </si>
  <si>
    <t>SS-273</t>
  </si>
  <si>
    <t>SS-274</t>
  </si>
  <si>
    <t>SS-275</t>
  </si>
  <si>
    <t>SS-276</t>
  </si>
  <si>
    <t>SS-277</t>
  </si>
  <si>
    <t>SS-278</t>
  </si>
  <si>
    <t>SS-279</t>
  </si>
  <si>
    <t>SS-280</t>
  </si>
  <si>
    <t>SS-281</t>
  </si>
  <si>
    <t>SS-282</t>
  </si>
  <si>
    <t>SS-283</t>
  </si>
  <si>
    <t>https://res.cloudinary.com/hni-corporation/image/upload/v1588177892/HON/Marketing%20Resources/hon.com/Files/HON%20Workspaces%202023%20List%20Pricer-%20Warranty</t>
  </si>
  <si>
    <t>3 boxes of 4 total 12 units</t>
  </si>
  <si>
    <t>R9 Added Casters 06/16/2025</t>
  </si>
  <si>
    <t>Item is already in Swing Space</t>
  </si>
  <si>
    <t>R9 Cost increase 06/16/2025</t>
  </si>
  <si>
    <t>06/20/2025 Client requested Workstation panels to have tackable panel. Waiting for final cost 06/24/2025 and quote. Received 6/24.</t>
  </si>
  <si>
    <t>6/25/2025 OAC Open item. Need Vendor, POC, Budget Delivery info from Lance/ Aurora client</t>
  </si>
  <si>
    <t>Facilities to process Order. July 1st  price increase per Rose IT. Contract signed 07/07 but Pending Board approval per Rose 07/08</t>
  </si>
  <si>
    <t>Rose IT is waiting for the quote As of 07/08 No update on UPS quote per Rose</t>
  </si>
  <si>
    <t>Need Purchase Order for budget and POC info. Furniture pre owned,  In various areas of Suite 200. Will this be sold back to Vendor? If not what are we doing with it?  Waiting for Jennifer, Lance per Molly</t>
  </si>
  <si>
    <t>Request to Aurora to connect PPS to the SDCCD Asset Management Team</t>
  </si>
  <si>
    <t>In Process</t>
  </si>
  <si>
    <t>Partition could not work up against the wall between columns. Solution to put the returns by the wall instead. Plan approval sent to Jennifer for signature. 07/09</t>
  </si>
  <si>
    <t>Site walk with jennifer, Lance, Mark, Russell,  Doug. Came up with solutions. Waiting for RFI 07/09</t>
  </si>
  <si>
    <t>In process review all FFE and their final destination. Ie. Move to Suite 500, Buy back, dispose, move to SDCCD storage?</t>
  </si>
  <si>
    <t>Per Aurora email 7/21. 6 reserved spots for the district. When will they be marked?</t>
  </si>
  <si>
    <t>Per Aurora email 07/21 to Tom</t>
  </si>
  <si>
    <t>Molly G.</t>
  </si>
  <si>
    <t>Cummings Group</t>
  </si>
  <si>
    <t>Office # 7 Steve</t>
  </si>
  <si>
    <t>Office # 14 Phone Booth</t>
  </si>
  <si>
    <t>Copy/Supply Room</t>
  </si>
  <si>
    <t>Workstation A - Ryan</t>
  </si>
  <si>
    <t>Workstation B</t>
  </si>
  <si>
    <t>Workstation C</t>
  </si>
  <si>
    <t>Workstation D - CJ</t>
  </si>
  <si>
    <t>Workstation E - Mike</t>
  </si>
  <si>
    <t>Workstation F</t>
  </si>
  <si>
    <t>Workstation G - Ursula</t>
  </si>
  <si>
    <t>Workstation H - Phil</t>
  </si>
  <si>
    <t>Workstation I - Brian - Gafcon</t>
  </si>
  <si>
    <t>Workstation J - Penny - Gafcon</t>
  </si>
  <si>
    <t>Workstation K - Joshua - Gafcon</t>
  </si>
  <si>
    <t>Workstation L - Eileen</t>
  </si>
  <si>
    <t xml:space="preserve">Workstation M </t>
  </si>
  <si>
    <t>Workstation N - Jimmy</t>
  </si>
  <si>
    <t>Workstation O - Julian</t>
  </si>
  <si>
    <t>Workstation P</t>
  </si>
  <si>
    <t>Workstation Area</t>
  </si>
  <si>
    <t>Issac Trevisan contact info Received</t>
  </si>
  <si>
    <t>Aurora requested clarity on parking space locations</t>
  </si>
  <si>
    <t xml:space="preserve">Mover Swing Space Packing Material Boxes and Labels </t>
  </si>
  <si>
    <t xml:space="preserve">Mover Swing Space Move </t>
  </si>
  <si>
    <t>San Diego Community College District: 
SDCCD 1450 Frazee</t>
  </si>
  <si>
    <t xml:space="preserve"> Verkpleys</t>
  </si>
  <si>
    <t>Alexander's</t>
  </si>
  <si>
    <t>Steve</t>
  </si>
  <si>
    <t>David</t>
  </si>
  <si>
    <t>Included</t>
  </si>
  <si>
    <t xml:space="preserve">Break Room </t>
  </si>
  <si>
    <t>Rose IT</t>
  </si>
  <si>
    <t>Commscope</t>
  </si>
  <si>
    <t>M101SMB-262</t>
  </si>
  <si>
    <t>Guest chairs to remian and be transferred to Warehouse</t>
  </si>
  <si>
    <t>Open Office Area</t>
  </si>
  <si>
    <t>3375 Camino Del Rio S</t>
  </si>
  <si>
    <t>Offices</t>
  </si>
  <si>
    <t>Open Office 518</t>
  </si>
  <si>
    <t>Desk Damaged. Being replaced.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</si>
</sst>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7" formatCode="&quot;$&quot;#,##0.00_);\(&quot;$&quot;#,##0.00\)"/>
    <numFmt numFmtId="44" formatCode="_(&quot;$&quot;* #,##0.00_);_(&quot;$&quot;* \(#,##0.00\);_(&quot;$&quot;* &quot;-&quot;??_);_(@_)"/>
    <numFmt numFmtId="164" formatCode="mmm\-dd"/>
  </numFmts>
  <fonts count="17" x14ac:knownFonts="1">
    <font>
      <sz val="11"/>
      <color theme="1"/>
      <name val="Calibri"/>
      <family val="2"/>
      <scheme val="minor"/>
    </font>
    <font>
      <b/>
      <sz val="20"/>
      <color theme="3" tint="-0.499984740745262"/>
      <name val="Arial"/>
      <family val="2"/>
    </font>
    <font>
      <b/>
      <sz val="11"/>
      <color theme="0"/>
      <name val="Calibri"/>
      <family val="2"/>
      <scheme val="minor"/>
    </font>
    <font>
      <sz val="11"/>
      <color theme="1"/>
      <name val="Calibri"/>
      <family val="2"/>
      <scheme val="minor"/>
    </font>
    <font>
      <b/>
      <sz val="11"/>
      <color theme="1"/>
      <name val="Calibri"/>
      <family val="2"/>
      <scheme val="minor"/>
    </font>
    <font>
      <sz val="8"/>
      <name val="Calibri"/>
      <family val="2"/>
      <scheme val="minor"/>
    </font>
    <font>
      <b/>
      <sz val="10"/>
      <name val="Calibri"/>
      <family val="2"/>
      <scheme val="minor"/>
    </font>
    <font>
      <b/>
      <sz val="10"/>
      <color theme="1"/>
      <name val="Calibri"/>
      <family val="2"/>
      <scheme val="minor"/>
    </font>
    <font>
      <sz val="10"/>
      <name val="Calibri"/>
      <family val="2"/>
      <scheme val="minor"/>
    </font>
    <font>
      <sz val="10"/>
      <color theme="1"/>
      <name val="Calibri"/>
      <family val="2"/>
      <scheme val="minor"/>
    </font>
    <font>
      <sz val="12"/>
      <color theme="1"/>
      <name val="Calibri"/>
      <family val="2"/>
      <scheme val="minor"/>
    </font>
    <font>
      <sz val="11"/>
      <color rgb="FF000000"/>
      <name val="Calibri"/>
      <family val="2"/>
      <scheme val="minor"/>
    </font>
    <font>
      <sz val="11"/>
      <name val="Calibri"/>
      <family val="2"/>
      <scheme val="minor"/>
    </font>
    <font>
      <b/>
      <sz val="11"/>
      <name val="Calibri"/>
      <family val="2"/>
      <scheme val="minor"/>
    </font>
    <font>
      <b/>
      <sz val="11"/>
      <color theme="0"/>
      <name val="Calibri"/>
      <family val="2"/>
    </font>
    <font>
      <b/>
      <sz val="11"/>
      <color theme="0"/>
      <name val="Calibri"/>
      <family val="2"/>
    </font>
    <font>
      <sz val="11"/>
      <name val="Calibri"/>
      <family val="2"/>
    </font>
  </fonts>
  <fills count="23">
    <fill>
      <patternFill patternType="none"/>
    </fill>
    <fill>
      <patternFill patternType="gray125"/>
    </fill>
    <fill>
      <patternFill patternType="solid">
        <fgColor theme="1"/>
        <bgColor indexed="64"/>
      </patternFill>
    </fill>
    <fill>
      <patternFill patternType="solid">
        <fgColor rgb="FF660033"/>
        <bgColor indexed="64"/>
      </patternFill>
    </fill>
    <fill>
      <patternFill patternType="solid">
        <fgColor rgb="FF243917"/>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FFFF00"/>
        <bgColor indexed="64"/>
      </patternFill>
    </fill>
    <fill>
      <patternFill patternType="solid">
        <fgColor rgb="FFDDEBF7"/>
        <bgColor indexed="64"/>
      </patternFill>
    </fill>
    <fill>
      <patternFill patternType="solid">
        <fgColor rgb="FF757171"/>
        <bgColor indexed="64"/>
      </patternFill>
    </fill>
    <fill>
      <patternFill patternType="solid">
        <fgColor theme="4" tint="0.79998168889431442"/>
        <bgColor indexed="64"/>
      </patternFill>
    </fill>
    <fill>
      <patternFill patternType="solid">
        <fgColor rgb="FFB36F25"/>
        <bgColor rgb="FF1F3864"/>
      </patternFill>
    </fill>
    <fill>
      <patternFill patternType="solid">
        <fgColor theme="0" tint="-4.9989318521683403E-2"/>
        <bgColor indexed="64"/>
      </patternFill>
    </fill>
    <fill>
      <patternFill patternType="solid">
        <fgColor rgb="FFFFFF8F"/>
        <bgColor indexed="64"/>
      </patternFill>
    </fill>
    <fill>
      <patternFill patternType="solid">
        <fgColor rgb="FF00F8F2"/>
        <bgColor indexed="64"/>
      </patternFill>
    </fill>
    <fill>
      <patternFill patternType="solid">
        <fgColor rgb="FFE2EFDA"/>
        <bgColor indexed="64"/>
      </patternFill>
    </fill>
    <fill>
      <patternFill patternType="solid">
        <fgColor rgb="FFFF0066"/>
        <bgColor indexed="64"/>
      </patternFill>
    </fill>
    <fill>
      <patternFill patternType="solid">
        <fgColor rgb="FF7030A0"/>
        <bgColor indexed="64"/>
      </patternFill>
    </fill>
    <fill>
      <patternFill patternType="solid">
        <fgColor rgb="FF548235"/>
        <bgColor indexed="64"/>
      </patternFill>
    </fill>
    <fill>
      <patternFill patternType="solid">
        <fgColor rgb="FFFFC000"/>
        <bgColor indexed="64"/>
      </patternFill>
    </fill>
  </fills>
  <borders count="40">
    <border>
      <left/>
      <right/>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style="thin">
        <color auto="1"/>
      </left>
      <right style="thin">
        <color auto="1"/>
      </right>
      <top/>
      <bottom style="thin">
        <color auto="1"/>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theme="0"/>
      </right>
      <top/>
      <bottom/>
      <diagonal/>
    </border>
    <border>
      <left style="thin">
        <color rgb="FF000000"/>
      </left>
      <right style="thin">
        <color rgb="FF000000"/>
      </right>
      <top style="thin">
        <color rgb="FF000000"/>
      </top>
      <bottom style="thin">
        <color rgb="FF000000"/>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rgb="FF000000"/>
      </right>
      <top style="thin">
        <color rgb="FF000000"/>
      </top>
      <bottom style="thin">
        <color rgb="FF000000"/>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s>
  <cellStyleXfs count="3">
    <xf numFmtId="0" fontId="0" fillId="0" borderId="0"/>
    <xf numFmtId="44" fontId="3" fillId="0" borderId="0" applyFont="0" applyFill="0" applyBorder="0" applyAlignment="0" applyProtection="0"/>
    <xf numFmtId="9" fontId="3" fillId="0" borderId="0" applyFont="0" applyFill="0" applyBorder="0" applyAlignment="0" applyProtection="0"/>
  </cellStyleXfs>
  <cellXfs count="125">
    <xf numFmtId="0" fontId="0" fillId="0" borderId="0" xfId="0"/>
    <xf numFmtId="0" fontId="0" fillId="0" borderId="0" xfId="0" applyAlignment="1">
      <alignment vertical="top"/>
    </xf>
    <xf numFmtId="0" fontId="0" fillId="0" borderId="0" xfId="0" applyAlignment="1">
      <alignment horizontal="left" vertical="top" wrapText="1"/>
    </xf>
    <xf numFmtId="0" fontId="1" fillId="0" borderId="0" xfId="0" applyFont="1"/>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center" vertical="center" wrapText="1"/>
    </xf>
    <xf numFmtId="0" fontId="2" fillId="3" borderId="0" xfId="0" applyFont="1" applyFill="1" applyAlignment="1">
      <alignment horizontal="center" vertical="center"/>
    </xf>
    <xf numFmtId="0" fontId="0" fillId="0" borderId="0" xfId="0" applyAlignment="1">
      <alignment wrapText="1"/>
    </xf>
    <xf numFmtId="0" fontId="2" fillId="3" borderId="0" xfId="0" applyFont="1" applyFill="1" applyAlignment="1">
      <alignment horizontal="center" vertical="center" wrapText="1"/>
    </xf>
    <xf numFmtId="0" fontId="2" fillId="4" borderId="5" xfId="0" applyFont="1" applyFill="1" applyBorder="1" applyAlignment="1">
      <alignment horizontal="center" vertical="center" wrapText="1"/>
    </xf>
    <xf numFmtId="0" fontId="2" fillId="4" borderId="6" xfId="0" applyFont="1" applyFill="1" applyBorder="1" applyAlignment="1">
      <alignment horizontal="center" vertical="center"/>
    </xf>
    <xf numFmtId="0" fontId="2" fillId="4" borderId="6" xfId="0" applyFont="1" applyFill="1" applyBorder="1" applyAlignment="1">
      <alignment horizontal="center" vertical="center" wrapText="1"/>
    </xf>
    <xf numFmtId="44" fontId="8" fillId="0" borderId="7" xfId="1" applyFont="1" applyFill="1" applyBorder="1" applyAlignment="1">
      <alignment vertical="center" wrapText="1"/>
    </xf>
    <xf numFmtId="44" fontId="6" fillId="0" borderId="7" xfId="0" applyNumberFormat="1" applyFont="1" applyBorder="1" applyAlignment="1">
      <alignment vertical="center" wrapText="1"/>
    </xf>
    <xf numFmtId="0" fontId="0" fillId="0" borderId="9" xfId="0" applyBorder="1"/>
    <xf numFmtId="44" fontId="9" fillId="7" borderId="0" xfId="1" applyFont="1" applyFill="1" applyBorder="1" applyAlignment="1">
      <alignment vertical="center" wrapText="1"/>
    </xf>
    <xf numFmtId="44" fontId="9" fillId="0" borderId="0" xfId="0" applyNumberFormat="1" applyFont="1" applyAlignment="1">
      <alignment horizontal="left" vertical="center" wrapText="1"/>
    </xf>
    <xf numFmtId="0" fontId="0" fillId="0" borderId="10" xfId="0" applyBorder="1"/>
    <xf numFmtId="44" fontId="7" fillId="7" borderId="12" xfId="1" applyFont="1" applyFill="1" applyBorder="1" applyAlignment="1">
      <alignment vertical="center" wrapText="1"/>
    </xf>
    <xf numFmtId="44" fontId="9" fillId="0" borderId="12" xfId="0" applyNumberFormat="1" applyFont="1" applyBorder="1" applyAlignment="1">
      <alignment horizontal="left" vertical="center" wrapText="1"/>
    </xf>
    <xf numFmtId="0" fontId="0" fillId="0" borderId="13" xfId="0" applyBorder="1"/>
    <xf numFmtId="44" fontId="0" fillId="5" borderId="0" xfId="0" applyNumberFormat="1" applyFill="1" applyAlignment="1">
      <alignment vertical="center" wrapText="1"/>
    </xf>
    <xf numFmtId="44" fontId="7" fillId="5" borderId="0" xfId="0" applyNumberFormat="1" applyFont="1" applyFill="1" applyAlignment="1">
      <alignment vertical="center" wrapText="1"/>
    </xf>
    <xf numFmtId="0" fontId="7" fillId="5" borderId="0" xfId="0" applyFont="1" applyFill="1" applyAlignment="1">
      <alignment vertical="center"/>
    </xf>
    <xf numFmtId="44" fontId="0" fillId="5" borderId="10" xfId="1" applyFont="1" applyFill="1" applyBorder="1" applyAlignment="1">
      <alignment vertical="center"/>
    </xf>
    <xf numFmtId="44" fontId="6" fillId="7" borderId="15" xfId="0" applyNumberFormat="1" applyFont="1" applyFill="1" applyBorder="1" applyAlignment="1">
      <alignment vertical="center" wrapText="1"/>
    </xf>
    <xf numFmtId="0" fontId="7" fillId="7" borderId="15" xfId="0" applyFont="1" applyFill="1" applyBorder="1" applyAlignment="1">
      <alignment horizontal="left" vertical="center" wrapText="1"/>
    </xf>
    <xf numFmtId="0" fontId="2" fillId="8" borderId="17" xfId="0" applyFont="1" applyFill="1" applyBorder="1" applyAlignment="1">
      <alignment horizontal="center" vertical="center" wrapText="1"/>
    </xf>
    <xf numFmtId="0" fontId="2" fillId="8" borderId="17" xfId="0" applyFont="1" applyFill="1" applyBorder="1" applyAlignment="1">
      <alignment horizontal="center" vertical="center"/>
    </xf>
    <xf numFmtId="0" fontId="2" fillId="8" borderId="6" xfId="0" applyFont="1" applyFill="1" applyBorder="1" applyAlignment="1">
      <alignment horizontal="center" vertical="center"/>
    </xf>
    <xf numFmtId="0" fontId="2" fillId="8" borderId="6" xfId="0" applyFont="1" applyFill="1" applyBorder="1" applyAlignment="1">
      <alignment horizontal="center" vertical="center" wrapText="1"/>
    </xf>
    <xf numFmtId="0" fontId="2" fillId="8" borderId="5" xfId="0" applyFont="1" applyFill="1" applyBorder="1" applyAlignment="1">
      <alignment horizontal="center" vertical="center"/>
    </xf>
    <xf numFmtId="0" fontId="2" fillId="9" borderId="2" xfId="0" applyFont="1" applyFill="1" applyBorder="1" applyAlignment="1">
      <alignment horizontal="center" vertical="center" wrapText="1"/>
    </xf>
    <xf numFmtId="0" fontId="10" fillId="0" borderId="0" xfId="0" applyFont="1" applyAlignment="1">
      <alignment horizontal="left" vertical="center"/>
    </xf>
    <xf numFmtId="0" fontId="0" fillId="10" borderId="0" xfId="0" applyFill="1"/>
    <xf numFmtId="0" fontId="10" fillId="0" borderId="0" xfId="0" applyFont="1" applyAlignment="1">
      <alignment vertical="center"/>
    </xf>
    <xf numFmtId="16" fontId="0" fillId="0" borderId="0" xfId="0" applyNumberFormat="1"/>
    <xf numFmtId="0" fontId="0" fillId="0" borderId="0" xfId="0" applyAlignment="1">
      <alignment vertical="center" wrapText="1"/>
    </xf>
    <xf numFmtId="0" fontId="0" fillId="0" borderId="0" xfId="0" applyAlignment="1">
      <alignment horizontal="center" vertical="center" wrapText="1"/>
    </xf>
    <xf numFmtId="44" fontId="0" fillId="0" borderId="0" xfId="1" applyFont="1" applyAlignment="1">
      <alignment vertical="center" wrapText="1"/>
    </xf>
    <xf numFmtId="0" fontId="2" fillId="12" borderId="2" xfId="0" applyFont="1" applyFill="1" applyBorder="1" applyAlignment="1">
      <alignment horizontal="center" vertical="center" wrapText="1"/>
    </xf>
    <xf numFmtId="0" fontId="2" fillId="12" borderId="3" xfId="0" applyFont="1" applyFill="1" applyBorder="1" applyAlignment="1">
      <alignment horizontal="center" vertical="center" wrapText="1"/>
    </xf>
    <xf numFmtId="7" fontId="4" fillId="0" borderId="16" xfId="0" applyNumberFormat="1" applyFont="1" applyBorder="1"/>
    <xf numFmtId="164" fontId="0" fillId="0" borderId="19" xfId="0" applyNumberFormat="1" applyBorder="1" applyAlignment="1">
      <alignment textRotation="45"/>
    </xf>
    <xf numFmtId="164" fontId="0" fillId="0" borderId="20" xfId="0" applyNumberFormat="1" applyBorder="1" applyAlignment="1">
      <alignment textRotation="45"/>
    </xf>
    <xf numFmtId="164" fontId="0" fillId="0" borderId="21" xfId="0" applyNumberFormat="1" applyBorder="1" applyAlignment="1">
      <alignment textRotation="45"/>
    </xf>
    <xf numFmtId="9" fontId="0" fillId="0" borderId="0" xfId="0" applyNumberFormat="1"/>
    <xf numFmtId="0" fontId="4" fillId="11" borderId="24" xfId="0" applyFont="1" applyFill="1" applyBorder="1" applyAlignment="1">
      <alignment horizontal="center" vertical="center"/>
    </xf>
    <xf numFmtId="0" fontId="0" fillId="0" borderId="22" xfId="0" applyBorder="1" applyAlignment="1">
      <alignment horizontal="center" vertical="center" wrapText="1"/>
    </xf>
    <xf numFmtId="0" fontId="4" fillId="11" borderId="24" xfId="0" applyFont="1" applyFill="1" applyBorder="1" applyAlignment="1">
      <alignment horizontal="center" vertical="center" wrapText="1"/>
    </xf>
    <xf numFmtId="0" fontId="2" fillId="9" borderId="0" xfId="0" applyFont="1" applyFill="1" applyAlignment="1">
      <alignment horizontal="center" vertical="center"/>
    </xf>
    <xf numFmtId="0" fontId="4" fillId="0" borderId="25" xfId="0" applyFont="1" applyBorder="1"/>
    <xf numFmtId="0" fontId="4" fillId="0" borderId="26" xfId="0" applyFont="1" applyBorder="1"/>
    <xf numFmtId="7" fontId="4" fillId="0" borderId="27" xfId="0" applyNumberFormat="1" applyFont="1" applyBorder="1"/>
    <xf numFmtId="7" fontId="6" fillId="7" borderId="15" xfId="1" applyNumberFormat="1" applyFont="1" applyFill="1" applyBorder="1" applyAlignment="1">
      <alignment vertical="center" wrapText="1"/>
    </xf>
    <xf numFmtId="0" fontId="0" fillId="0" borderId="22" xfId="0" applyBorder="1" applyAlignment="1">
      <alignment horizontal="left" vertical="center" wrapText="1"/>
    </xf>
    <xf numFmtId="0" fontId="12" fillId="0" borderId="23" xfId="0" applyFont="1" applyBorder="1" applyAlignment="1">
      <alignment horizontal="center" vertical="center" wrapText="1"/>
    </xf>
    <xf numFmtId="0" fontId="12" fillId="0" borderId="23" xfId="0" applyFont="1" applyBorder="1" applyAlignment="1">
      <alignment horizontal="left" vertical="center" wrapText="1"/>
    </xf>
    <xf numFmtId="0" fontId="11" fillId="0" borderId="18" xfId="0" applyFont="1" applyBorder="1" applyAlignment="1">
      <alignment horizontal="left" vertical="center" wrapText="1"/>
    </xf>
    <xf numFmtId="0" fontId="0" fillId="0" borderId="0" xfId="0" applyAlignment="1">
      <alignment horizontal="left" vertical="center" wrapText="1"/>
    </xf>
    <xf numFmtId="0" fontId="12" fillId="0" borderId="23" xfId="0" applyFont="1" applyBorder="1" applyAlignment="1">
      <alignment vertical="center" wrapText="1"/>
    </xf>
    <xf numFmtId="14" fontId="0" fillId="0" borderId="0" xfId="0" applyNumberFormat="1" applyAlignment="1">
      <alignment horizontal="center" vertical="center" wrapText="1"/>
    </xf>
    <xf numFmtId="1" fontId="0" fillId="0" borderId="22" xfId="0" applyNumberFormat="1" applyBorder="1" applyAlignment="1">
      <alignment horizontal="center" vertical="center" wrapText="1"/>
    </xf>
    <xf numFmtId="9" fontId="0" fillId="0" borderId="22" xfId="2" applyFont="1" applyBorder="1" applyAlignment="1">
      <alignment horizontal="center" vertical="center" wrapText="1"/>
    </xf>
    <xf numFmtId="44" fontId="0" fillId="0" borderId="0" xfId="0" applyNumberFormat="1" applyAlignment="1">
      <alignment vertical="center" wrapText="1"/>
    </xf>
    <xf numFmtId="15" fontId="0" fillId="0" borderId="22" xfId="0" applyNumberFormat="1" applyBorder="1" applyAlignment="1">
      <alignment horizontal="center" vertical="center" wrapText="1"/>
    </xf>
    <xf numFmtId="0" fontId="14" fillId="14" borderId="2" xfId="0" applyFont="1" applyFill="1" applyBorder="1" applyAlignment="1">
      <alignment horizontal="center" vertical="center" wrapText="1"/>
    </xf>
    <xf numFmtId="0" fontId="15" fillId="14" borderId="2" xfId="0" applyFont="1" applyFill="1" applyBorder="1" applyAlignment="1">
      <alignment horizontal="center" vertical="center"/>
    </xf>
    <xf numFmtId="0" fontId="14" fillId="14" borderId="2" xfId="0" applyFont="1" applyFill="1" applyBorder="1" applyAlignment="1">
      <alignment horizontal="center" vertical="center"/>
    </xf>
    <xf numFmtId="0" fontId="16" fillId="0" borderId="0" xfId="0" applyFont="1" applyAlignment="1">
      <alignment horizontal="center" vertical="center" wrapText="1"/>
    </xf>
    <xf numFmtId="7" fontId="16" fillId="0" borderId="0" xfId="0" applyNumberFormat="1" applyFont="1" applyAlignment="1">
      <alignment horizontal="center" vertical="center" wrapText="1"/>
    </xf>
    <xf numFmtId="0" fontId="16" fillId="0" borderId="0" xfId="0" applyFont="1" applyAlignment="1">
      <alignment horizontal="left" vertical="center" wrapText="1"/>
    </xf>
    <xf numFmtId="7" fontId="0" fillId="0" borderId="0" xfId="0" applyNumberFormat="1"/>
    <xf numFmtId="0" fontId="0" fillId="0" borderId="29" xfId="0" applyBorder="1" applyAlignment="1">
      <alignment horizontal="left" vertical="center" wrapText="1"/>
    </xf>
    <xf numFmtId="0" fontId="0" fillId="0" borderId="29" xfId="0" applyBorder="1" applyAlignment="1">
      <alignment horizontal="center" vertical="center" wrapText="1"/>
    </xf>
    <xf numFmtId="1" fontId="0" fillId="0" borderId="29" xfId="0" applyNumberFormat="1" applyBorder="1" applyAlignment="1">
      <alignment horizontal="center" vertical="center" wrapText="1"/>
    </xf>
    <xf numFmtId="9" fontId="0" fillId="0" borderId="29" xfId="2" applyFont="1" applyBorder="1" applyAlignment="1">
      <alignment horizontal="center" vertical="center" wrapText="1"/>
    </xf>
    <xf numFmtId="0" fontId="0" fillId="0" borderId="29" xfId="0" applyBorder="1"/>
    <xf numFmtId="0" fontId="0" fillId="17" borderId="8" xfId="0" applyFill="1" applyBorder="1"/>
    <xf numFmtId="0" fontId="0" fillId="16" borderId="29" xfId="0" applyFill="1" applyBorder="1"/>
    <xf numFmtId="0" fontId="0" fillId="17" borderId="29" xfId="0" applyFill="1" applyBorder="1"/>
    <xf numFmtId="0" fontId="0" fillId="18" borderId="29" xfId="0" applyFill="1" applyBorder="1"/>
    <xf numFmtId="0" fontId="11" fillId="0" borderId="30" xfId="0" applyFont="1" applyBorder="1" applyAlignment="1">
      <alignment horizontal="left" vertical="center" wrapText="1"/>
    </xf>
    <xf numFmtId="17" fontId="0" fillId="0" borderId="0" xfId="0" applyNumberFormat="1" applyAlignment="1">
      <alignment horizontal="center" vertical="center" wrapText="1"/>
    </xf>
    <xf numFmtId="0" fontId="6" fillId="6" borderId="31" xfId="0" applyFont="1" applyFill="1" applyBorder="1" applyAlignment="1">
      <alignment horizontal="center" vertical="center"/>
    </xf>
    <xf numFmtId="0" fontId="6" fillId="6" borderId="32" xfId="0" applyFont="1" applyFill="1" applyBorder="1" applyAlignment="1">
      <alignment horizontal="center" vertical="center"/>
    </xf>
    <xf numFmtId="44" fontId="6" fillId="6" borderId="32" xfId="1" applyFont="1" applyFill="1" applyBorder="1" applyAlignment="1">
      <alignment horizontal="center" vertical="center" wrapText="1"/>
    </xf>
    <xf numFmtId="0" fontId="6" fillId="6" borderId="32" xfId="0" applyFont="1" applyFill="1" applyBorder="1" applyAlignment="1">
      <alignment horizontal="center" vertical="center" wrapText="1"/>
    </xf>
    <xf numFmtId="0" fontId="6" fillId="6" borderId="33" xfId="0" applyFont="1" applyFill="1" applyBorder="1" applyAlignment="1">
      <alignment horizontal="center" vertical="center" wrapText="1"/>
    </xf>
    <xf numFmtId="0" fontId="0" fillId="0" borderId="34" xfId="0" applyBorder="1"/>
    <xf numFmtId="0" fontId="0" fillId="0" borderId="35" xfId="0" applyBorder="1"/>
    <xf numFmtId="44" fontId="0" fillId="0" borderId="35" xfId="0" applyNumberFormat="1" applyBorder="1"/>
    <xf numFmtId="0" fontId="0" fillId="0" borderId="36" xfId="0" applyBorder="1"/>
    <xf numFmtId="0" fontId="0" fillId="0" borderId="37" xfId="0" applyBorder="1"/>
    <xf numFmtId="0" fontId="0" fillId="0" borderId="38" xfId="0" applyBorder="1"/>
    <xf numFmtId="44" fontId="0" fillId="0" borderId="38" xfId="0" applyNumberFormat="1" applyBorder="1"/>
    <xf numFmtId="0" fontId="0" fillId="0" borderId="39" xfId="0" applyBorder="1"/>
    <xf numFmtId="0" fontId="0" fillId="15" borderId="29" xfId="0" applyFill="1" applyBorder="1" applyAlignment="1">
      <alignment horizontal="left" vertical="center" wrapText="1"/>
    </xf>
    <xf numFmtId="0" fontId="0" fillId="15" borderId="29" xfId="0" applyFill="1" applyBorder="1" applyAlignment="1">
      <alignment horizontal="center" vertical="center" wrapText="1"/>
    </xf>
    <xf numFmtId="15" fontId="0" fillId="15" borderId="28" xfId="0" applyNumberFormat="1" applyFill="1" applyBorder="1" applyAlignment="1">
      <alignment horizontal="center" vertical="center" wrapText="1"/>
    </xf>
    <xf numFmtId="1" fontId="0" fillId="15" borderId="29" xfId="0" applyNumberFormat="1" applyFill="1" applyBorder="1" applyAlignment="1">
      <alignment horizontal="center" vertical="center" wrapText="1"/>
    </xf>
    <xf numFmtId="9" fontId="0" fillId="15" borderId="29" xfId="2" applyFont="1" applyFill="1" applyBorder="1" applyAlignment="1">
      <alignment horizontal="center" vertical="center" wrapText="1"/>
    </xf>
    <xf numFmtId="15" fontId="0" fillId="0" borderId="28" xfId="0" applyNumberFormat="1" applyBorder="1" applyAlignment="1">
      <alignment horizontal="center" vertical="center" wrapText="1"/>
    </xf>
    <xf numFmtId="9" fontId="0" fillId="0" borderId="29" xfId="2" applyFont="1" applyFill="1" applyBorder="1" applyAlignment="1">
      <alignment horizontal="center" vertical="center" wrapText="1"/>
    </xf>
    <xf numFmtId="0" fontId="0" fillId="19" borderId="29" xfId="0" applyFill="1" applyBorder="1"/>
    <xf numFmtId="0" fontId="0" fillId="20" borderId="29" xfId="0" applyFill="1" applyBorder="1"/>
    <xf numFmtId="0" fontId="0" fillId="21" borderId="29" xfId="0" applyFill="1" applyBorder="1"/>
    <xf numFmtId="0" fontId="0" fillId="22" borderId="29" xfId="0" applyFill="1" applyBorder="1"/>
    <xf numFmtId="44" fontId="0" fillId="0" borderId="0" xfId="1" applyFont="1"/>
    <xf numFmtId="44" fontId="4" fillId="0" borderId="25" xfId="1" applyFont="1" applyBorder="1"/>
    <xf numFmtId="0" fontId="0" fillId="0" borderId="8" xfId="0" applyBorder="1"/>
    <xf numFmtId="0" fontId="13" fillId="13" borderId="0" xfId="0" applyFont="1" applyFill="1" applyAlignment="1">
      <alignment horizontal="center"/>
    </xf>
    <xf numFmtId="0" fontId="7" fillId="0" borderId="4" xfId="0" applyFont="1" applyBorder="1"/>
    <xf numFmtId="0" fontId="7" fillId="0" borderId="7" xfId="0" applyFont="1" applyBorder="1"/>
    <xf numFmtId="0" fontId="7" fillId="7" borderId="5" xfId="0" applyFont="1" applyFill="1" applyBorder="1" applyAlignment="1">
      <alignment horizontal="left" vertical="center"/>
    </xf>
    <xf numFmtId="0" fontId="7" fillId="7" borderId="0" xfId="0" applyFont="1" applyFill="1" applyAlignment="1">
      <alignment horizontal="left" vertical="center"/>
    </xf>
    <xf numFmtId="0" fontId="7" fillId="7" borderId="11" xfId="0" applyFont="1" applyFill="1" applyBorder="1" applyAlignment="1">
      <alignment horizontal="left" vertical="center"/>
    </xf>
    <xf numFmtId="0" fontId="7" fillId="7" borderId="12" xfId="0" applyFont="1" applyFill="1" applyBorder="1" applyAlignment="1">
      <alignment horizontal="left" vertical="center"/>
    </xf>
    <xf numFmtId="0" fontId="7" fillId="5" borderId="5" xfId="0" applyFont="1" applyFill="1" applyBorder="1" applyAlignment="1">
      <alignment horizontal="left" vertical="center"/>
    </xf>
    <xf numFmtId="0" fontId="7" fillId="5" borderId="0" xfId="0" applyFont="1" applyFill="1" applyAlignment="1">
      <alignment horizontal="left" vertical="center"/>
    </xf>
    <xf numFmtId="0" fontId="6" fillId="7" borderId="14" xfId="0" applyFont="1" applyFill="1" applyBorder="1" applyAlignment="1">
      <alignment horizontal="left" vertical="center"/>
    </xf>
    <xf numFmtId="0" fontId="6" fillId="7" borderId="15" xfId="0" applyFont="1" applyFill="1" applyBorder="1" applyAlignment="1">
      <alignment horizontal="left" vertical="center"/>
    </xf>
  </cellXfs>
  <cellStyles count="3">
    <cellStyle name="Currency" xfId="1" builtinId="4"/>
    <cellStyle name="Normal" xfId="0" builtinId="0"/>
    <cellStyle name="Percent" xfId="2" builtinId="5"/>
  </cellStyles>
  <dxfs count="607">
    <dxf>
      <border diagonalUp="0" diagonalDown="0" outline="0">
        <left style="thin">
          <color auto="1"/>
        </left>
        <right/>
        <top style="thin">
          <color auto="1"/>
        </top>
        <bottom style="thin">
          <color auto="1"/>
        </bottom>
      </border>
    </dxf>
    <dxf>
      <numFmt numFmtId="34" formatCode="_(&quot;$&quot;* #,##0.00_);_(&quot;$&quot;* \(#,##0.00\);_(&quot;$&quot;* &quot;-&quot;??_);_(@_)"/>
      <border diagonalUp="0" diagonalDown="0" outline="0">
        <left style="thin">
          <color auto="1"/>
        </left>
        <right style="thin">
          <color auto="1"/>
        </right>
        <top style="thin">
          <color auto="1"/>
        </top>
        <bottom style="thin">
          <color auto="1"/>
        </bottom>
      </border>
    </dxf>
    <dxf>
      <numFmt numFmtId="34" formatCode="_(&quot;$&quot;* #,##0.00_);_(&quot;$&quot;* \(#,##0.00\);_(&quot;$&quot;* &quot;-&quot;??_);_(@_)"/>
      <border diagonalUp="0" diagonalDown="0" outline="0">
        <left style="thin">
          <color auto="1"/>
        </left>
        <right style="thin">
          <color auto="1"/>
        </right>
        <top style="thin">
          <color auto="1"/>
        </top>
        <bottom style="thin">
          <color auto="1"/>
        </bottom>
      </border>
    </dxf>
    <dxf>
      <border diagonalUp="0" diagonalDown="0" outline="0">
        <left style="thin">
          <color auto="1"/>
        </left>
        <right style="thin">
          <color auto="1"/>
        </right>
        <top style="thin">
          <color auto="1"/>
        </top>
        <bottom style="thin">
          <color auto="1"/>
        </bottom>
      </border>
    </dxf>
    <dxf>
      <border diagonalUp="0" diagonalDown="0" outline="0">
        <left style="thin">
          <color auto="1"/>
        </left>
        <right style="thin">
          <color auto="1"/>
        </right>
        <top style="thin">
          <color auto="1"/>
        </top>
        <bottom style="thin">
          <color auto="1"/>
        </bottom>
      </border>
    </dxf>
    <dxf>
      <border diagonalUp="0" diagonalDown="0" outline="0">
        <left style="thin">
          <color auto="1"/>
        </left>
        <right style="thin">
          <color auto="1"/>
        </right>
        <top style="thin">
          <color auto="1"/>
        </top>
        <bottom style="thin">
          <color auto="1"/>
        </bottom>
      </border>
    </dxf>
    <dxf>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auto="1"/>
        <name val="Calibri"/>
        <family val="2"/>
        <scheme val="minor"/>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thin">
          <color auto="1"/>
        </left>
        <right style="thin">
          <color auto="1"/>
        </right>
        <top/>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dxf>
    <dxf>
      <border>
        <bottom style="medium">
          <color indexed="64"/>
        </bottom>
      </border>
    </dxf>
    <dxf>
      <numFmt numFmtId="164" formatCode="mmm\-dd"/>
      <alignment horizontal="general" vertical="bottom" textRotation="45" wrapText="0" indent="0" justifyLastLine="0" shrinkToFit="0" readingOrder="0"/>
      <border diagonalUp="0" diagonalDown="0">
        <left style="thin">
          <color auto="1"/>
        </left>
        <right style="thin">
          <color auto="1"/>
        </right>
        <top/>
        <bottom/>
        <vertical style="thin">
          <color auto="1"/>
        </vertical>
        <horizontal/>
      </border>
    </dxf>
    <dxf>
      <numFmt numFmtId="13" formatCode="0%"/>
      <alignment horizontal="center"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dxf>
    <dxf>
      <numFmt numFmtId="1" formatCode="0"/>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dxf>
    <dxf>
      <numFmt numFmtId="1" formatCode="0"/>
      <alignment horizontal="center" vertical="center" textRotation="0" wrapText="1" indent="0" justifyLastLine="0" shrinkToFit="0" readingOrder="0"/>
      <border diagonalUp="0" diagonalDown="0" outline="0">
        <left style="thin">
          <color indexed="64"/>
        </left>
        <right style="thin">
          <color auto="1"/>
        </right>
        <top style="thin">
          <color indexed="64"/>
        </top>
        <bottom style="thin">
          <color indexed="64"/>
        </bottom>
      </border>
    </dxf>
    <dxf>
      <numFmt numFmtId="19" formatCode="m/d/yyyy"/>
      <alignment horizontal="center" vertical="center" textRotation="0" wrapText="1" indent="0" justifyLastLine="0" shrinkToFit="0" readingOrder="0"/>
      <border diagonalUp="0" diagonalDown="0" outline="0">
        <left style="thin">
          <color indexed="64"/>
        </left>
        <right style="thin">
          <color auto="1"/>
        </right>
        <top style="thin">
          <color indexed="64"/>
        </top>
        <bottom style="thin">
          <color indexed="64"/>
        </bottom>
      </border>
    </dxf>
    <dxf>
      <numFmt numFmtId="19" formatCode="m/d/yyyy"/>
      <alignment horizontal="center"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dxf>
    <dxf>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auto="1"/>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textRotation="0" wrapText="1" indent="0" justifyLastLine="0" shrinkToFit="0" readingOrder="0"/>
    </dxf>
    <dxf>
      <fill>
        <patternFill patternType="solid">
          <fgColor indexed="64"/>
          <bgColor rgb="FFDDEBF7"/>
        </patternFill>
      </fill>
      <alignment horizontal="center" vertical="center" textRotation="0" wrapText="0"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vertical="center" textRotation="0" wrapText="1" indent="0" justifyLastLine="0" shrinkToFit="0" readingOrder="0"/>
    </dxf>
    <dxf>
      <alignment vertical="center" textRotation="0" wrapText="1" indent="0" justifyLastLine="0" shrinkToFit="0" readingOrder="0"/>
    </dxf>
    <dxf>
      <alignment vertical="center" textRotation="0" wrapText="1" indent="0" justifyLastLine="0" shrinkToFit="0" readingOrder="0"/>
    </dxf>
    <dxf>
      <alignment vertical="center" textRotation="0" wrapText="1" indent="0" justifyLastLine="0" shrinkToFit="0" readingOrder="0"/>
    </dxf>
    <dxf>
      <alignment vertical="center" textRotation="0" wrapText="1" indent="0" justifyLastLine="0" shrinkToFit="0" readingOrder="0"/>
    </dxf>
    <dxf>
      <alignment horizontal="general" vertical="center" textRotation="0" wrapText="1" indent="0" justifyLastLine="0" shrinkToFit="0" readingOrder="0"/>
    </dxf>
    <dxf>
      <alignment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center" vertical="center" textRotation="0" wrapText="1" indent="0" justifyLastLine="0" shrinkToFit="0" readingOrder="0"/>
      <border diagonalUp="0" diagonalDown="0" outline="0">
        <left style="thin">
          <color theme="0"/>
        </left>
        <right style="thin">
          <color theme="0"/>
        </right>
        <top/>
        <bottom/>
      </border>
    </dxf>
    <dxf>
      <font>
        <color rgb="FFFFFFFF"/>
      </font>
      <fill>
        <patternFill>
          <bgColor rgb="FF637B9B"/>
        </patternFill>
      </fill>
    </dxf>
    <dxf>
      <fill>
        <patternFill>
          <bgColor rgb="FFBDD7EE"/>
        </patternFill>
      </fill>
    </dxf>
    <dxf>
      <fill>
        <patternFill>
          <bgColor rgb="FFF38989"/>
        </patternFill>
      </fill>
    </dxf>
    <dxf>
      <font>
        <b val="0"/>
        <strike val="0"/>
        <outline val="0"/>
        <shadow val="0"/>
        <u val="none"/>
        <vertAlign val="baseline"/>
        <sz val="11"/>
        <color auto="1"/>
        <name val="Calibri"/>
        <family val="2"/>
        <scheme val="none"/>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1"/>
        <color auto="1"/>
        <name val="Calibri"/>
        <family val="2"/>
        <scheme val="none"/>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1"/>
        <color auto="1"/>
        <name val="Calibri"/>
        <family val="2"/>
        <scheme val="none"/>
      </font>
      <fill>
        <patternFill patternType="none">
          <fgColor indexed="64"/>
          <bgColor auto="1"/>
        </patternFill>
      </fill>
      <alignment textRotation="0" wrapText="1" justifyLastLine="0" shrinkToFit="0" readingOrder="0"/>
    </dxf>
    <dxf>
      <font>
        <b val="0"/>
        <strike val="0"/>
        <outline val="0"/>
        <shadow val="0"/>
        <u val="none"/>
        <vertAlign val="baseline"/>
        <sz val="11"/>
        <color auto="1"/>
        <name val="Calibri"/>
        <family val="2"/>
        <scheme val="none"/>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1"/>
        <color auto="1"/>
        <name val="Calibri"/>
        <family val="2"/>
        <scheme val="none"/>
      </font>
      <fill>
        <patternFill patternType="none">
          <fgColor indexed="64"/>
          <bgColor auto="1"/>
        </patternFill>
      </fill>
      <alignment textRotation="0" wrapText="1" justifyLastLine="0" shrinkToFit="0" readingOrder="0"/>
    </dxf>
    <dxf>
      <font>
        <b val="0"/>
        <strike val="0"/>
        <outline val="0"/>
        <shadow val="0"/>
        <u val="none"/>
        <vertAlign val="baseline"/>
        <sz val="11"/>
        <color auto="1"/>
        <name val="Calibri"/>
        <family val="2"/>
        <scheme val="none"/>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1"/>
        <color auto="1"/>
        <name val="Calibri"/>
        <family val="2"/>
        <scheme val="none"/>
      </font>
      <fill>
        <patternFill patternType="none">
          <fgColor indexed="64"/>
          <bgColor auto="1"/>
        </patternFill>
      </fill>
      <alignment textRotation="0" wrapText="1" justifyLastLine="0" shrinkToFit="0" readingOrder="0"/>
    </dxf>
    <dxf>
      <font>
        <b val="0"/>
        <strike val="0"/>
        <outline val="0"/>
        <shadow val="0"/>
        <u val="none"/>
        <vertAlign val="baseline"/>
        <sz val="11"/>
        <color auto="1"/>
        <name val="Calibri"/>
        <family val="2"/>
        <scheme val="none"/>
      </font>
      <fill>
        <patternFill patternType="none">
          <fgColor indexed="64"/>
          <bgColor auto="1"/>
        </patternFill>
      </fill>
      <alignment textRotation="0" wrapText="1" justifyLastLine="0" shrinkToFit="0" readingOrder="0"/>
    </dxf>
    <dxf>
      <font>
        <b val="0"/>
        <strike val="0"/>
        <outline val="0"/>
        <shadow val="0"/>
        <u val="none"/>
        <vertAlign val="baseline"/>
        <sz val="11"/>
        <color auto="1"/>
        <name val="Calibri"/>
        <family val="2"/>
        <scheme val="none"/>
      </font>
      <fill>
        <patternFill patternType="none">
          <fgColor indexed="64"/>
          <bgColor auto="1"/>
        </patternFill>
      </fill>
      <alignment textRotation="0" wrapText="1" justifyLastLine="0" shrinkToFit="0" readingOrder="0"/>
    </dxf>
    <dxf>
      <font>
        <b val="0"/>
        <strike val="0"/>
        <outline val="0"/>
        <shadow val="0"/>
        <u val="none"/>
        <vertAlign val="baseline"/>
        <sz val="11"/>
        <color auto="1"/>
        <name val="Calibri"/>
        <family val="2"/>
        <scheme val="none"/>
      </font>
      <fill>
        <patternFill patternType="none">
          <fgColor indexed="64"/>
          <bgColor auto="1"/>
        </patternFill>
      </fill>
      <alignment textRotation="0" wrapText="1" justifyLastLine="0" shrinkToFit="0" readingOrder="0"/>
    </dxf>
    <dxf>
      <font>
        <b val="0"/>
        <strike val="0"/>
        <outline val="0"/>
        <shadow val="0"/>
        <u val="none"/>
        <vertAlign val="baseline"/>
        <sz val="11"/>
        <color auto="1"/>
        <name val="Calibri"/>
        <family val="2"/>
        <scheme val="none"/>
      </font>
      <fill>
        <patternFill patternType="none">
          <fgColor indexed="64"/>
          <bgColor auto="1"/>
        </patternFill>
      </fill>
      <alignment textRotation="0" wrapText="1" justifyLastLine="0" shrinkToFit="0" readingOrder="0"/>
    </dxf>
    <dxf>
      <font>
        <b val="0"/>
        <strike val="0"/>
        <outline val="0"/>
        <shadow val="0"/>
        <u val="none"/>
        <vertAlign val="baseline"/>
        <sz val="11"/>
        <color auto="1"/>
        <name val="Calibri"/>
        <family val="2"/>
        <scheme val="none"/>
      </font>
      <fill>
        <patternFill patternType="none">
          <fgColor indexed="64"/>
          <bgColor auto="1"/>
        </patternFill>
      </fill>
      <alignment textRotation="0" wrapText="1" justifyLastLine="0" shrinkToFit="0" readingOrder="0"/>
    </dxf>
    <dxf>
      <font>
        <b val="0"/>
        <strike val="0"/>
        <outline val="0"/>
        <shadow val="0"/>
        <u val="none"/>
        <vertAlign val="baseline"/>
        <sz val="11"/>
        <color auto="1"/>
        <name val="Calibri"/>
        <family val="2"/>
        <scheme val="none"/>
      </font>
      <fill>
        <patternFill patternType="none">
          <fgColor indexed="64"/>
          <bgColor auto="1"/>
        </patternFill>
      </fill>
      <alignment textRotation="0" wrapText="1" justifyLastLine="0" shrinkToFit="0" readingOrder="0"/>
    </dxf>
    <dxf>
      <font>
        <b/>
        <i val="0"/>
        <strike val="0"/>
        <condense val="0"/>
        <extend val="0"/>
        <outline val="0"/>
        <shadow val="0"/>
        <u val="none"/>
        <vertAlign val="baseline"/>
        <sz val="11"/>
        <color theme="0"/>
        <name val="Calibri"/>
        <family val="2"/>
        <scheme val="none"/>
      </font>
      <fill>
        <patternFill patternType="solid">
          <fgColor rgb="FF1F3864"/>
          <bgColor rgb="FFB36F25"/>
        </patternFill>
      </fill>
      <alignment horizontal="center" vertical="center" textRotation="0" wrapText="0" indent="0" justifyLastLine="0" shrinkToFit="0" readingOrder="0"/>
      <border diagonalUp="0" diagonalDown="0" outline="0">
        <left style="thin">
          <color theme="0"/>
        </left>
        <right style="thin">
          <color theme="0"/>
        </right>
        <top/>
        <bottom/>
      </border>
    </dxf>
    <dxf>
      <fill>
        <patternFill>
          <bgColor rgb="FFBDD7EE"/>
        </patternFill>
      </fill>
    </dxf>
    <dxf>
      <fill>
        <patternFill>
          <bgColor rgb="FFF38989"/>
        </patternFill>
      </fill>
    </dxf>
    <dxf>
      <fill>
        <patternFill>
          <bgColor rgb="FFC6E0B4"/>
        </patternFill>
      </fill>
    </dxf>
    <dxf>
      <fill>
        <patternFill>
          <bgColor rgb="FFBDD7EE"/>
        </patternFill>
      </fill>
    </dxf>
    <dxf>
      <fill>
        <patternFill>
          <bgColor rgb="FFF38989"/>
        </patternFill>
      </fill>
    </dxf>
    <dxf>
      <fill>
        <patternFill>
          <bgColor rgb="FFC6E0B4"/>
        </patternFill>
      </fill>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vertical="center" textRotation="0" wrapText="1" indent="0" justifyLastLine="0" shrinkToFit="0" readingOrder="0"/>
    </dxf>
    <dxf>
      <alignment vertical="center" textRotation="0" wrapText="1" indent="0" justifyLastLine="0" shrinkToFit="0" readingOrder="0"/>
    </dxf>
    <dxf>
      <alignmen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vertical="center" textRotation="0" wrapText="1" indent="0" justifyLastLine="0" shrinkToFit="0" readingOrder="0"/>
    </dxf>
    <dxf>
      <alignment horizontal="general" vertical="center" textRotation="0" wrapText="1" indent="0" justifyLastLine="0" shrinkToFit="0" readingOrder="0"/>
    </dxf>
    <dxf>
      <border outline="0">
        <top style="medium">
          <color indexed="64"/>
        </top>
      </border>
    </dxf>
    <dxf>
      <alignment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fill>
        <patternFill>
          <bgColor rgb="FFBDD7EE"/>
        </patternFill>
      </fill>
    </dxf>
    <dxf>
      <fill>
        <patternFill>
          <bgColor rgb="FFF38989"/>
        </patternFill>
      </fill>
    </dxf>
    <dxf>
      <fill>
        <patternFill>
          <bgColor rgb="FFC6E0B4"/>
        </patternFill>
      </fill>
    </dxf>
    <dxf>
      <fill>
        <patternFill>
          <bgColor rgb="FFBDD7EE"/>
        </patternFill>
      </fill>
    </dxf>
    <dxf>
      <fill>
        <patternFill>
          <bgColor rgb="FFF38989"/>
        </patternFill>
      </fill>
    </dxf>
    <dxf>
      <fill>
        <patternFill>
          <bgColor rgb="FFC6E0B4"/>
        </patternFill>
      </fill>
    </dxf>
    <dxf>
      <fill>
        <patternFill>
          <bgColor rgb="FFBDD7EE"/>
        </patternFill>
      </fill>
    </dxf>
    <dxf>
      <fill>
        <patternFill>
          <bgColor rgb="FFF38989"/>
        </patternFill>
      </fill>
    </dxf>
    <dxf>
      <fill>
        <patternFill>
          <bgColor rgb="FFC6E0B4"/>
        </patternFill>
      </fill>
    </dxf>
    <dxf>
      <fill>
        <patternFill>
          <bgColor rgb="FFFFFF71"/>
        </patternFill>
      </fill>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border outline="0">
        <top style="medium">
          <color indexed="64"/>
        </top>
      </border>
    </dxf>
    <dxf>
      <alignment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243917"/>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fill>
        <patternFill>
          <bgColor rgb="FFBDD7EE"/>
        </patternFill>
      </fill>
    </dxf>
    <dxf>
      <fill>
        <patternFill>
          <bgColor rgb="FFF38989"/>
        </patternFill>
      </fill>
    </dxf>
    <dxf>
      <fill>
        <patternFill>
          <bgColor rgb="FFC6E0B4"/>
        </patternFill>
      </fill>
    </dxf>
    <dxf>
      <fill>
        <patternFill>
          <bgColor rgb="FF008DF6"/>
        </patternFill>
      </fill>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indexed="64"/>
        </left>
        <right style="thin">
          <color auto="1"/>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indexed="64"/>
        </left>
        <right style="thin">
          <color auto="1"/>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indexed="64"/>
        </left>
        <right style="thin">
          <color auto="1"/>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auto="1"/>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border diagonalUp="0" diagonalDown="0" outline="0">
        <left style="thin">
          <color auto="1"/>
        </left>
        <right style="thin">
          <color auto="1"/>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horizontal="general" textRotation="0" wrapText="1" indent="0" justifyLastLine="0" shrinkToFit="0" readingOrder="0"/>
      <border diagonalUp="0" diagonalDown="0" outline="0">
        <left style="thin">
          <color auto="1"/>
        </left>
        <right style="thin">
          <color auto="1"/>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horizontal="general"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1"/>
        <color auto="1"/>
        <name val="Calibri"/>
        <family val="2"/>
        <scheme val="minor"/>
      </font>
      <fill>
        <patternFill patternType="none">
          <fgColor indexed="64"/>
          <bgColor indexed="65"/>
        </patternFill>
      </fill>
      <alignment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757171"/>
        </patternFill>
      </fill>
      <alignment horizontal="center" vertical="center" textRotation="0" wrapText="1" indent="0" justifyLastLine="0" shrinkToFit="0" readingOrder="0"/>
      <border diagonalUp="0" diagonalDown="0" outline="0">
        <left style="thin">
          <color theme="0"/>
        </left>
        <right style="thin">
          <color theme="0"/>
        </right>
        <top/>
        <bottom/>
      </border>
    </dxf>
    <dxf>
      <font>
        <color rgb="FFFFFFFF"/>
      </font>
      <fill>
        <patternFill>
          <bgColor rgb="FF637B9B"/>
        </patternFill>
      </fill>
    </dxf>
    <dxf>
      <fill>
        <patternFill>
          <bgColor rgb="FFBDD7EE"/>
        </patternFill>
      </fill>
    </dxf>
    <dxf>
      <fill>
        <patternFill>
          <bgColor rgb="FFF38989"/>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660033"/>
        </patternFill>
      </fill>
      <alignment horizontal="center" vertical="center" textRotation="0" wrapText="0" indent="0" justifyLastLine="0" shrinkToFit="0" readingOrder="0"/>
      <border diagonalUp="0" diagonalDown="0" outline="0">
        <left style="thin">
          <color theme="0"/>
        </left>
        <right style="thin">
          <color theme="0"/>
        </right>
        <top/>
        <bottom/>
      </border>
    </dxf>
    <dxf>
      <fill>
        <patternFill>
          <bgColor rgb="FFBDD7EE"/>
        </patternFill>
      </fill>
    </dxf>
    <dxf>
      <fill>
        <patternFill>
          <bgColor rgb="FFF38989"/>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font>
        <color rgb="FF000000"/>
      </font>
      <alignment horizontal="left" vertical="center" textRotation="0" wrapText="1" indent="0" justifyLastLine="0" shrinkToFit="0" readingOrder="0"/>
      <border diagonalUp="0" diagonalDown="0" outline="0">
        <left/>
        <right style="thin">
          <color rgb="FF000000"/>
        </right>
        <top style="thin">
          <color rgb="FF000000"/>
        </top>
        <bottom style="thin">
          <color rgb="FF000000"/>
        </bottom>
      </border>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0"/>
        </left>
        <right style="thin">
          <color theme="0"/>
        </right>
        <top/>
        <bottom/>
      </border>
    </dxf>
    <dxf>
      <fill>
        <patternFill>
          <bgColor rgb="FFBDD7EE"/>
        </patternFill>
      </fill>
    </dxf>
    <dxf>
      <fill>
        <patternFill>
          <bgColor rgb="FFF38989"/>
        </patternFill>
      </fill>
    </dxf>
    <dxf>
      <fill>
        <patternFill>
          <bgColor rgb="FFC6E0B4"/>
        </patternFill>
      </fill>
    </dxf>
    <dxf>
      <fill>
        <patternFill>
          <bgColor rgb="FFBDD7EE"/>
        </patternFill>
      </fill>
    </dxf>
    <dxf>
      <fill>
        <patternFill>
          <bgColor rgb="FFF38989"/>
        </patternFill>
      </fill>
    </dxf>
    <dxf>
      <fill>
        <patternFill>
          <bgColor rgb="FFC6E0B4"/>
        </patternFill>
      </fill>
    </dxf>
    <dxf>
      <fill>
        <patternFill>
          <bgColor rgb="FF008DF6"/>
        </patternFill>
      </fill>
    </dxf>
    <dxf>
      <fill>
        <patternFill>
          <bgColor rgb="FFFFFF71"/>
        </patternFill>
      </fill>
    </dxf>
    <dxf>
      <font>
        <b/>
        <strike val="0"/>
        <outline val="0"/>
        <shadow val="0"/>
        <u val="none"/>
        <vertAlign val="baseline"/>
        <sz val="11"/>
        <color theme="0"/>
        <name val="Calibri"/>
        <family val="2"/>
        <scheme val="minor"/>
      </font>
      <fill>
        <patternFill patternType="solid">
          <fgColor indexed="64"/>
          <bgColor theme="4" tint="-0.499984740745262"/>
        </patternFill>
      </fill>
      <alignment horizontal="center" vertical="center" textRotation="0" wrapText="0" indent="0" justifyLastLine="0" shrinkToFit="0" readingOrder="0"/>
    </dxf>
    <dxf>
      <font>
        <color rgb="FF375623"/>
      </font>
    </dxf>
    <dxf>
      <font>
        <color rgb="FF9C0006"/>
      </font>
    </dxf>
    <dxf>
      <font>
        <color rgb="FF375623"/>
      </font>
    </dxf>
    <dxf>
      <font>
        <color rgb="FF9C0006"/>
      </font>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ill>
        <patternFill patternType="solid">
          <fgColor indexed="64"/>
          <bgColor rgb="FFFFFF00"/>
        </patternFill>
      </fill>
    </dxf>
    <dxf>
      <fill>
        <patternFill>
          <bgColor theme="0" tint="-4.9989318521683403E-2"/>
        </patternFill>
      </fill>
      <border>
        <bottom style="thin">
          <color theme="2" tint="-0.499984740745262"/>
        </bottom>
      </border>
    </dxf>
    <dxf>
      <fill>
        <patternFill patternType="none">
          <bgColor auto="1"/>
        </patternFill>
      </fill>
      <border>
        <bottom style="thin">
          <color theme="2" tint="-0.499984740745262"/>
        </bottom>
      </border>
    </dxf>
    <dxf>
      <border>
        <left style="thin">
          <color theme="0"/>
        </left>
        <right style="thin">
          <color theme="0"/>
        </right>
      </border>
    </dxf>
    <dxf>
      <fill>
        <patternFill patternType="none">
          <bgColor auto="1"/>
        </patternFill>
      </fill>
    </dxf>
    <dxf>
      <fill>
        <patternFill patternType="none">
          <bgColor auto="1"/>
        </patternFill>
      </fill>
    </dxf>
    <dxf>
      <fill>
        <patternFill patternType="solid">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1"/>
        </patternFill>
      </fill>
      <border>
        <left style="thin">
          <color theme="0"/>
        </left>
        <right style="thin">
          <color theme="0"/>
        </right>
        <vertical style="thin">
          <color theme="0"/>
        </vertical>
        <horizontal style="thin">
          <color theme="0"/>
        </horizontal>
      </border>
    </dxf>
  </dxfs>
  <tableStyles count="4" defaultTableStyle="PPS Table Style Master" defaultPivotStyle="PivotStyleLight16">
    <tableStyle name="Master FFE Table Style" pivot="0" count="3" xr9:uid="{C29755DA-B27A-460B-BC37-D03F679C29F7}">
      <tableStyleElement type="headerRow" dxfId="606"/>
      <tableStyleElement type="firstRowStripe" dxfId="605"/>
      <tableStyleElement type="secondRowStripe" dxfId="604"/>
    </tableStyle>
    <tableStyle name="PPS Table Style 1" pivot="0" count="2" xr9:uid="{E40BC439-360F-461D-B4D5-170DA1D2CF35}">
      <tableStyleElement type="firstRowStripe" dxfId="603"/>
      <tableStyleElement type="secondRowStripe" dxfId="602"/>
    </tableStyle>
    <tableStyle name="PPS Table Style Master" pivot="0" count="1" xr9:uid="{062CE822-1859-406C-A5F3-0CA0126AFB5D}">
      <tableStyleElement type="headerRow" dxfId="601"/>
    </tableStyle>
    <tableStyle name="Schedule Table" pivot="0" count="2" xr9:uid="{9BFCECDA-7C8F-4870-8DAA-14F50861EA84}">
      <tableStyleElement type="firstRowStripe" dxfId="600"/>
      <tableStyleElement type="secondRowStripe" dxfId="599"/>
    </tableStyle>
  </tableStyles>
  <colors>
    <mruColors>
      <color rgb="FFB36F25"/>
      <color rgb="FF384B70"/>
      <color rgb="FFFFFF8F"/>
      <color rgb="FF1278D4"/>
      <color rgb="FFFFF299"/>
      <color rgb="FF660033"/>
      <color rgb="FFDDEBF7"/>
      <color rgb="FF243917"/>
      <color rgb="FF29421A"/>
      <color rgb="FF314D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1300" b="1"/>
            </a:pPr>
            <a:r>
              <a:rPr lang="en-US" sz="1300" b="1"/>
              <a:t>FF&amp;E PROJECT PERCENTAGE COMPLETE</a:t>
            </a:r>
          </a:p>
        </c:rich>
      </c:tx>
      <c:overlay val="0"/>
    </c:title>
    <c:autoTitleDeleted val="0"/>
    <c:plotArea>
      <c:layout/>
      <c:doughnutChart>
        <c:varyColors val="1"/>
        <c:ser>
          <c:idx val="0"/>
          <c:order val="0"/>
          <c:dPt>
            <c:idx val="0"/>
            <c:bubble3D val="0"/>
            <c:spPr>
              <a:solidFill>
                <a:srgbClr val="203764"/>
              </a:solidFill>
            </c:spPr>
            <c:extLst>
              <c:ext xmlns:c16="http://schemas.microsoft.com/office/drawing/2014/chart" uri="{C3380CC4-5D6E-409C-BE32-E72D297353CC}">
                <c16:uniqueId val="{00000001-B1CC-4E50-9B0D-1E72408BF119}"/>
              </c:ext>
            </c:extLst>
          </c:dPt>
          <c:dPt>
            <c:idx val="1"/>
            <c:bubble3D val="0"/>
            <c:spPr>
              <a:solidFill>
                <a:srgbClr val="B4C6E7"/>
              </a:solidFill>
            </c:spPr>
            <c:extLst>
              <c:ext xmlns:c16="http://schemas.microsoft.com/office/drawing/2014/chart" uri="{C3380CC4-5D6E-409C-BE32-E72D297353CC}">
                <c16:uniqueId val="{00000002-B1CC-4E50-9B0D-1E72408BF119}"/>
              </c:ext>
            </c:extLst>
          </c:dPt>
          <c:val>
            <c:numLit>
              <c:formatCode>General</c:formatCode>
              <c:ptCount val="2"/>
              <c:pt idx="0">
                <c:v>0.34090909090909088</c:v>
              </c:pt>
              <c:pt idx="1">
                <c:v>0.65909090909090917</c:v>
              </c:pt>
            </c:numLit>
          </c:val>
          <c:extLst>
            <c:ext xmlns:c16="http://schemas.microsoft.com/office/drawing/2014/chart" uri="{C3380CC4-5D6E-409C-BE32-E72D297353CC}">
              <c16:uniqueId val="{00000000-B1CC-4E50-9B0D-1E72408BF119}"/>
            </c:ext>
          </c:extLst>
        </c:ser>
        <c:dLbls>
          <c:showLegendKey val="0"/>
          <c:showVal val="0"/>
          <c:showCatName val="0"/>
          <c:showSerName val="0"/>
          <c:showPercent val="0"/>
          <c:showBubbleSize val="0"/>
          <c:showLeaderLines val="1"/>
        </c:dLbls>
        <c:firstSliceAng val="0"/>
        <c:holeSize val="70"/>
      </c:doughnutChart>
      <c:spPr>
        <a:noFill/>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1300" b="1"/>
            </a:pPr>
            <a:r>
              <a:rPr lang="en-US" sz="1300" b="1"/>
              <a:t>PERCENTAGE OF FF&amp;E FUNDS SPENT</a:t>
            </a:r>
          </a:p>
        </c:rich>
      </c:tx>
      <c:overlay val="0"/>
    </c:title>
    <c:autoTitleDeleted val="0"/>
    <c:plotArea>
      <c:layout/>
      <c:doughnutChart>
        <c:varyColors val="1"/>
        <c:ser>
          <c:idx val="0"/>
          <c:order val="0"/>
          <c:dPt>
            <c:idx val="0"/>
            <c:bubble3D val="0"/>
            <c:spPr>
              <a:solidFill>
                <a:srgbClr val="203764"/>
              </a:solidFill>
            </c:spPr>
            <c:extLst>
              <c:ext xmlns:c16="http://schemas.microsoft.com/office/drawing/2014/chart" uri="{C3380CC4-5D6E-409C-BE32-E72D297353CC}">
                <c16:uniqueId val="{00000001-F515-47DE-8CA8-D2387A26C8FD}"/>
              </c:ext>
            </c:extLst>
          </c:dPt>
          <c:dPt>
            <c:idx val="1"/>
            <c:bubble3D val="0"/>
            <c:spPr>
              <a:solidFill>
                <a:srgbClr val="B4C6E7"/>
              </a:solidFill>
            </c:spPr>
            <c:extLst>
              <c:ext xmlns:c16="http://schemas.microsoft.com/office/drawing/2014/chart" uri="{C3380CC4-5D6E-409C-BE32-E72D297353CC}">
                <c16:uniqueId val="{00000002-F515-47DE-8CA8-D2387A26C8FD}"/>
              </c:ext>
            </c:extLst>
          </c:dPt>
          <c:val>
            <c:numLit>
              <c:formatCode>General</c:formatCode>
              <c:ptCount val="2"/>
              <c:pt idx="0">
                <c:v>0</c:v>
              </c:pt>
              <c:pt idx="1">
                <c:v>1</c:v>
              </c:pt>
            </c:numLit>
          </c:val>
          <c:extLst>
            <c:ext xmlns:c16="http://schemas.microsoft.com/office/drawing/2014/chart" uri="{C3380CC4-5D6E-409C-BE32-E72D297353CC}">
              <c16:uniqueId val="{00000000-F515-47DE-8CA8-D2387A26C8FD}"/>
            </c:ext>
          </c:extLst>
        </c:ser>
        <c:dLbls>
          <c:showLegendKey val="0"/>
          <c:showVal val="0"/>
          <c:showCatName val="0"/>
          <c:showSerName val="0"/>
          <c:showPercent val="0"/>
          <c:showBubbleSize val="0"/>
          <c:showLeaderLines val="1"/>
        </c:dLbls>
        <c:firstSliceAng val="0"/>
        <c:holeSize val="70"/>
      </c:doughnutChart>
      <c:spPr>
        <a:noFill/>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Planned</c:v>
          </c:tx>
          <c:spPr>
            <a:solidFill>
              <a:srgbClr val="D9E1F2"/>
            </a:solidFill>
          </c:spPr>
          <c:invertIfNegative val="0"/>
          <c:cat>
            <c:strRef>
              <c:f>Dashboard!$H$10:$H$17</c:f>
              <c:strCache>
                <c:ptCount val="8"/>
                <c:pt idx="0">
                  <c:v>FF&amp;E (Non Ed-Tech/IT)</c:v>
                </c:pt>
                <c:pt idx="1">
                  <c:v>IT</c:v>
                </c:pt>
                <c:pt idx="2">
                  <c:v>AV/Ed-Tech</c:v>
                </c:pt>
                <c:pt idx="3">
                  <c:v>Other</c:v>
                </c:pt>
                <c:pt idx="4">
                  <c:v>Move Management</c:v>
                </c:pt>
                <c:pt idx="5">
                  <c:v>Swing Space</c:v>
                </c:pt>
                <c:pt idx="6">
                  <c:v>Tenant Improvement</c:v>
                </c:pt>
                <c:pt idx="7">
                  <c:v>Misc. Item Fees/Taxes</c:v>
                </c:pt>
              </c:strCache>
            </c:strRef>
          </c:cat>
          <c:val>
            <c:numRef>
              <c:f>Dashboard!$I$10:$I$17</c:f>
              <c:numCache>
                <c:formatCode>_("$"* #,##0.00_);_("$"* \(#,##0.00\);_("$"* "-"??_);_(@_)</c:formatCode>
                <c:ptCount val="8"/>
                <c:pt idx="0">
                  <c:v>225208.72000000012</c:v>
                </c:pt>
                <c:pt idx="1">
                  <c:v>0</c:v>
                </c:pt>
                <c:pt idx="2">
                  <c:v>0</c:v>
                </c:pt>
                <c:pt idx="3">
                  <c:v>83819.27</c:v>
                </c:pt>
                <c:pt idx="4">
                  <c:v>0</c:v>
                </c:pt>
                <c:pt idx="5">
                  <c:v>0</c:v>
                </c:pt>
                <c:pt idx="6">
                  <c:v>0</c:v>
                </c:pt>
                <c:pt idx="7">
                  <c:v>0</c:v>
                </c:pt>
              </c:numCache>
            </c:numRef>
          </c:val>
          <c:extLst>
            <c:ext xmlns:c16="http://schemas.microsoft.com/office/drawing/2014/chart" uri="{C3380CC4-5D6E-409C-BE32-E72D297353CC}">
              <c16:uniqueId val="{00000000-538E-4B17-A447-02F8201F361B}"/>
            </c:ext>
          </c:extLst>
        </c:ser>
        <c:ser>
          <c:idx val="1"/>
          <c:order val="1"/>
          <c:tx>
            <c:v>Actual</c:v>
          </c:tx>
          <c:spPr>
            <a:solidFill>
              <a:srgbClr val="203764"/>
            </a:solidFill>
          </c:spPr>
          <c:invertIfNegative val="0"/>
          <c:cat>
            <c:strRef>
              <c:f>Dashboard!$H$10:$H$17</c:f>
              <c:strCache>
                <c:ptCount val="8"/>
                <c:pt idx="0">
                  <c:v>FF&amp;E (Non Ed-Tech/IT)</c:v>
                </c:pt>
                <c:pt idx="1">
                  <c:v>IT</c:v>
                </c:pt>
                <c:pt idx="2">
                  <c:v>AV/Ed-Tech</c:v>
                </c:pt>
                <c:pt idx="3">
                  <c:v>Other</c:v>
                </c:pt>
                <c:pt idx="4">
                  <c:v>Move Management</c:v>
                </c:pt>
                <c:pt idx="5">
                  <c:v>Swing Space</c:v>
                </c:pt>
                <c:pt idx="6">
                  <c:v>Tenant Improvement</c:v>
                </c:pt>
                <c:pt idx="7">
                  <c:v>Misc. Item Fees/Taxes</c:v>
                </c:pt>
              </c:strCache>
            </c:strRef>
          </c:cat>
          <c:val>
            <c:numRef>
              <c:f>Dashboard!$J$10:$J$17</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538E-4B17-A447-02F8201F361B}"/>
            </c:ext>
          </c:extLst>
        </c:ser>
        <c:dLbls>
          <c:showLegendKey val="0"/>
          <c:showVal val="0"/>
          <c:showCatName val="0"/>
          <c:showSerName val="0"/>
          <c:showPercent val="0"/>
          <c:showBubbleSize val="0"/>
        </c:dLbls>
        <c:gapWidth val="150"/>
        <c:axId val="2098003199"/>
        <c:axId val="2098007519"/>
      </c:barChart>
      <c:catAx>
        <c:axId val="2098003199"/>
        <c:scaling>
          <c:orientation val="minMax"/>
        </c:scaling>
        <c:delete val="0"/>
        <c:axPos val="b"/>
        <c:numFmt formatCode="General" sourceLinked="1"/>
        <c:majorTickMark val="out"/>
        <c:minorTickMark val="none"/>
        <c:tickLblPos val="nextTo"/>
        <c:crossAx val="2098007519"/>
        <c:crosses val="autoZero"/>
        <c:auto val="1"/>
        <c:lblAlgn val="ctr"/>
        <c:lblOffset val="100"/>
        <c:noMultiLvlLbl val="0"/>
      </c:catAx>
      <c:valAx>
        <c:axId val="2098007519"/>
        <c:scaling>
          <c:orientation val="minMax"/>
        </c:scaling>
        <c:delete val="0"/>
        <c:axPos val="l"/>
        <c:majorGridlines/>
        <c:numFmt formatCode="_(&quot;$&quot;* #,##0.00_);_(&quot;$&quot;* \(#,##0.00\);_(&quot;$&quot;* &quot;-&quot;??_);_(@_)" sourceLinked="1"/>
        <c:majorTickMark val="out"/>
        <c:minorTickMark val="none"/>
        <c:tickLblPos val="nextTo"/>
        <c:crossAx val="2098003199"/>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ITEM ISSUES/RISKS</a:t>
            </a:r>
          </a:p>
        </c:rich>
      </c:tx>
      <c:overlay val="0"/>
    </c:title>
    <c:autoTitleDeleted val="0"/>
    <c:plotArea>
      <c:layout/>
      <c:barChart>
        <c:barDir val="col"/>
        <c:grouping val="clustered"/>
        <c:varyColors val="0"/>
        <c:ser>
          <c:idx val="0"/>
          <c:order val="0"/>
          <c:tx>
            <c:v>Items with Issues</c:v>
          </c:tx>
          <c:spPr>
            <a:solidFill>
              <a:srgbClr val="C00000"/>
            </a:solidFill>
          </c:spPr>
          <c:invertIfNegative val="0"/>
          <c:cat>
            <c:strLit>
              <c:ptCount val="1"/>
              <c:pt idx="0">
                <c:v>Items with Issues</c:v>
              </c:pt>
            </c:strLit>
          </c:cat>
          <c:val>
            <c:numLit>
              <c:formatCode>General</c:formatCode>
              <c:ptCount val="1"/>
              <c:pt idx="0">
                <c:v>16</c:v>
              </c:pt>
            </c:numLit>
          </c:val>
          <c:extLst>
            <c:ext xmlns:c16="http://schemas.microsoft.com/office/drawing/2014/chart" uri="{C3380CC4-5D6E-409C-BE32-E72D297353CC}">
              <c16:uniqueId val="{00000000-7A32-4D5E-97D8-0538C82140D9}"/>
            </c:ext>
          </c:extLst>
        </c:ser>
        <c:ser>
          <c:idx val="1"/>
          <c:order val="1"/>
          <c:tx>
            <c:v>Items Resolved</c:v>
          </c:tx>
          <c:spPr>
            <a:solidFill>
              <a:srgbClr val="8FAADC"/>
            </a:solidFill>
          </c:spPr>
          <c:invertIfNegative val="0"/>
          <c:cat>
            <c:strLit>
              <c:ptCount val="1"/>
              <c:pt idx="0">
                <c:v>Items Resolved</c:v>
              </c:pt>
            </c:strLit>
          </c:cat>
          <c:val>
            <c:numLit>
              <c:formatCode>General</c:formatCode>
              <c:ptCount val="1"/>
              <c:pt idx="0">
                <c:v>1</c:v>
              </c:pt>
            </c:numLit>
          </c:val>
          <c:extLst>
            <c:ext xmlns:c16="http://schemas.microsoft.com/office/drawing/2014/chart" uri="{C3380CC4-5D6E-409C-BE32-E72D297353CC}">
              <c16:uniqueId val="{00000001-7A32-4D5E-97D8-0538C82140D9}"/>
            </c:ext>
          </c:extLst>
        </c:ser>
        <c:dLbls>
          <c:showLegendKey val="0"/>
          <c:showVal val="0"/>
          <c:showCatName val="0"/>
          <c:showSerName val="0"/>
          <c:showPercent val="0"/>
          <c:showBubbleSize val="0"/>
        </c:dLbls>
        <c:gapWidth val="300"/>
        <c:overlap val="-50"/>
        <c:axId val="1911231296"/>
        <c:axId val="1911229856"/>
      </c:barChart>
      <c:catAx>
        <c:axId val="1911231296"/>
        <c:scaling>
          <c:orientation val="minMax"/>
        </c:scaling>
        <c:delete val="1"/>
        <c:axPos val="b"/>
        <c:numFmt formatCode="General" sourceLinked="1"/>
        <c:majorTickMark val="out"/>
        <c:minorTickMark val="none"/>
        <c:tickLblPos val="nextTo"/>
        <c:crossAx val="1911229856"/>
        <c:crosses val="autoZero"/>
        <c:auto val="1"/>
        <c:lblAlgn val="ctr"/>
        <c:lblOffset val="100"/>
        <c:noMultiLvlLbl val="0"/>
      </c:catAx>
      <c:valAx>
        <c:axId val="1911229856"/>
        <c:scaling>
          <c:orientation val="minMax"/>
        </c:scaling>
        <c:delete val="0"/>
        <c:axPos val="l"/>
        <c:majorGridlines/>
        <c:numFmt formatCode="General" sourceLinked="1"/>
        <c:majorTickMark val="out"/>
        <c:minorTickMark val="none"/>
        <c:tickLblPos val="nextTo"/>
        <c:crossAx val="1911231296"/>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r"/>
      <c:layout>
        <c:manualLayout>
          <c:xMode val="edge"/>
          <c:yMode val="edge"/>
          <c:x val="0.77241071493785785"/>
          <c:y val="3.6543604035898285E-2"/>
          <c:w val="0.21756108172729091"/>
          <c:h val="0.1444466144174896"/>
        </c:manualLayout>
      </c:layou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Budget &amp; Costs'!A1"/><Relationship Id="rId13" Type="http://schemas.openxmlformats.org/officeDocument/2006/relationships/hyperlink" Target="#'Move Management'!A1"/><Relationship Id="rId3" Type="http://schemas.openxmlformats.org/officeDocument/2006/relationships/chart" Target="../charts/chart3.xml"/><Relationship Id="rId7" Type="http://schemas.openxmlformats.org/officeDocument/2006/relationships/hyperlink" Target="#Dashboard!A1"/><Relationship Id="rId12" Type="http://schemas.openxmlformats.org/officeDocument/2006/relationships/hyperlink" Target="#'Swing Space'!A1"/><Relationship Id="rId2" Type="http://schemas.openxmlformats.org/officeDocument/2006/relationships/chart" Target="../charts/chart2.xml"/><Relationship Id="rId16" Type="http://schemas.openxmlformats.org/officeDocument/2006/relationships/hyperlink" Target="#'Master FF&amp;E List'!A1"/><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hyperlink" Target="#'Tenant Improvement'!A1"/><Relationship Id="rId5" Type="http://schemas.openxmlformats.org/officeDocument/2006/relationships/image" Target="../media/image1.png"/><Relationship Id="rId15" Type="http://schemas.openxmlformats.org/officeDocument/2006/relationships/hyperlink" Target="#'Issue Log'!A1"/><Relationship Id="rId10" Type="http://schemas.openxmlformats.org/officeDocument/2006/relationships/hyperlink" Target="#'Swing Space Punch List'!A1"/><Relationship Id="rId4" Type="http://schemas.openxmlformats.org/officeDocument/2006/relationships/chart" Target="../charts/chart4.xml"/><Relationship Id="rId9" Type="http://schemas.openxmlformats.org/officeDocument/2006/relationships/hyperlink" Target="#Schedule!A1"/><Relationship Id="rId14" Type="http://schemas.openxmlformats.org/officeDocument/2006/relationships/hyperlink" Target="#'FF&amp;E Punch List'!A1"/></Relationships>
</file>

<file path=xl/drawings/_rels/drawing2.xml.rels><?xml version="1.0" encoding="UTF-8" standalone="yes"?>
<Relationships xmlns="http://schemas.openxmlformats.org/package/2006/relationships"><Relationship Id="rId8" Type="http://schemas.openxmlformats.org/officeDocument/2006/relationships/hyperlink" Target="#'Swing Space'!A1"/><Relationship Id="rId3" Type="http://schemas.openxmlformats.org/officeDocument/2006/relationships/hyperlink" Target="#Dashboard!A1"/><Relationship Id="rId7" Type="http://schemas.openxmlformats.org/officeDocument/2006/relationships/hyperlink" Target="#'Tenant Improvement'!A1"/><Relationship Id="rId12" Type="http://schemas.openxmlformats.org/officeDocument/2006/relationships/hyperlink" Target="#'Master FF&amp;E List'!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Swing Space Punch List'!A1"/><Relationship Id="rId11" Type="http://schemas.openxmlformats.org/officeDocument/2006/relationships/hyperlink" Target="#'Issue Log'!A1"/><Relationship Id="rId5" Type="http://schemas.openxmlformats.org/officeDocument/2006/relationships/hyperlink" Target="#Schedule!A1"/><Relationship Id="rId10" Type="http://schemas.openxmlformats.org/officeDocument/2006/relationships/hyperlink" Target="#'FF&amp;E Punch List'!A1"/><Relationship Id="rId4" Type="http://schemas.openxmlformats.org/officeDocument/2006/relationships/hyperlink" Target="#'Budget &amp; Costs'!A1"/><Relationship Id="rId9" Type="http://schemas.openxmlformats.org/officeDocument/2006/relationships/hyperlink" Target="#'Move Management'!A1"/></Relationships>
</file>

<file path=xl/drawings/_rels/drawing3.xml.rels><?xml version="1.0" encoding="UTF-8" standalone="yes"?>
<Relationships xmlns="http://schemas.openxmlformats.org/package/2006/relationships"><Relationship Id="rId8" Type="http://schemas.openxmlformats.org/officeDocument/2006/relationships/hyperlink" Target="#'Swing Space'!A1"/><Relationship Id="rId3" Type="http://schemas.openxmlformats.org/officeDocument/2006/relationships/hyperlink" Target="#Dashboard!A1"/><Relationship Id="rId7" Type="http://schemas.openxmlformats.org/officeDocument/2006/relationships/hyperlink" Target="#'Tenant Improvement'!A1"/><Relationship Id="rId12" Type="http://schemas.openxmlformats.org/officeDocument/2006/relationships/hyperlink" Target="#'Master FF&amp;E List'!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Swing Space Punch List'!A1"/><Relationship Id="rId11" Type="http://schemas.openxmlformats.org/officeDocument/2006/relationships/hyperlink" Target="#'Issue Log'!A1"/><Relationship Id="rId5" Type="http://schemas.openxmlformats.org/officeDocument/2006/relationships/hyperlink" Target="#Schedule!A1"/><Relationship Id="rId10" Type="http://schemas.openxmlformats.org/officeDocument/2006/relationships/hyperlink" Target="#'FF&amp;E Punch List'!A1"/><Relationship Id="rId4" Type="http://schemas.openxmlformats.org/officeDocument/2006/relationships/hyperlink" Target="#'Budget &amp; Costs'!A1"/><Relationship Id="rId9" Type="http://schemas.openxmlformats.org/officeDocument/2006/relationships/hyperlink" Target="#'Move Management'!A1"/></Relationships>
</file>

<file path=xl/drawings/_rels/drawing4.xml.rels><?xml version="1.0" encoding="UTF-8" standalone="yes"?>
<Relationships xmlns="http://schemas.openxmlformats.org/package/2006/relationships"><Relationship Id="rId8" Type="http://schemas.openxmlformats.org/officeDocument/2006/relationships/hyperlink" Target="#'Swing Space'!A1"/><Relationship Id="rId3" Type="http://schemas.openxmlformats.org/officeDocument/2006/relationships/hyperlink" Target="#Dashboard!A1"/><Relationship Id="rId7" Type="http://schemas.openxmlformats.org/officeDocument/2006/relationships/hyperlink" Target="#'Tenant Improvement'!A1"/><Relationship Id="rId12" Type="http://schemas.openxmlformats.org/officeDocument/2006/relationships/hyperlink" Target="#'Master FF&amp;E List'!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Swing Space Punch List'!A1"/><Relationship Id="rId11" Type="http://schemas.openxmlformats.org/officeDocument/2006/relationships/hyperlink" Target="#'Issue Log'!A1"/><Relationship Id="rId5" Type="http://schemas.openxmlformats.org/officeDocument/2006/relationships/hyperlink" Target="#Schedule!A1"/><Relationship Id="rId10" Type="http://schemas.openxmlformats.org/officeDocument/2006/relationships/hyperlink" Target="#'FF&amp;E Punch List'!A1"/><Relationship Id="rId4" Type="http://schemas.openxmlformats.org/officeDocument/2006/relationships/hyperlink" Target="#'Budget &amp; Costs'!A1"/><Relationship Id="rId9" Type="http://schemas.openxmlformats.org/officeDocument/2006/relationships/hyperlink" Target="#'Move Management'!A1"/></Relationships>
</file>

<file path=xl/drawings/_rels/drawing5.xml.rels><?xml version="1.0" encoding="UTF-8" standalone="yes"?>
<Relationships xmlns="http://schemas.openxmlformats.org/package/2006/relationships"><Relationship Id="rId8" Type="http://schemas.openxmlformats.org/officeDocument/2006/relationships/hyperlink" Target="#'Swing Space'!A1"/><Relationship Id="rId3" Type="http://schemas.openxmlformats.org/officeDocument/2006/relationships/hyperlink" Target="#Dashboard!A1"/><Relationship Id="rId7" Type="http://schemas.openxmlformats.org/officeDocument/2006/relationships/hyperlink" Target="#'Tenant Improvement'!A1"/><Relationship Id="rId12" Type="http://schemas.openxmlformats.org/officeDocument/2006/relationships/hyperlink" Target="#'Master FF&amp;E List'!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Swing Space Punch List'!A1"/><Relationship Id="rId11" Type="http://schemas.openxmlformats.org/officeDocument/2006/relationships/hyperlink" Target="#'Issue Log'!A1"/><Relationship Id="rId5" Type="http://schemas.openxmlformats.org/officeDocument/2006/relationships/hyperlink" Target="#Schedule!A1"/><Relationship Id="rId10" Type="http://schemas.openxmlformats.org/officeDocument/2006/relationships/hyperlink" Target="#'FF&amp;E Punch List'!A1"/><Relationship Id="rId4" Type="http://schemas.openxmlformats.org/officeDocument/2006/relationships/hyperlink" Target="#'Budget &amp; Costs'!A1"/><Relationship Id="rId9" Type="http://schemas.openxmlformats.org/officeDocument/2006/relationships/hyperlink" Target="#'Move Management'!A1"/></Relationships>
</file>

<file path=xl/drawings/_rels/drawing6.xml.rels><?xml version="1.0" encoding="UTF-8" standalone="yes"?>
<Relationships xmlns="http://schemas.openxmlformats.org/package/2006/relationships"><Relationship Id="rId8" Type="http://schemas.openxmlformats.org/officeDocument/2006/relationships/hyperlink" Target="#'Swing Space'!A1"/><Relationship Id="rId3" Type="http://schemas.openxmlformats.org/officeDocument/2006/relationships/hyperlink" Target="#Dashboard!A1"/><Relationship Id="rId7" Type="http://schemas.openxmlformats.org/officeDocument/2006/relationships/hyperlink" Target="#'Tenant Improvement'!A1"/><Relationship Id="rId12" Type="http://schemas.openxmlformats.org/officeDocument/2006/relationships/hyperlink" Target="#'Master FF&amp;E List'!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Swing Space Punch List'!A1"/><Relationship Id="rId11" Type="http://schemas.openxmlformats.org/officeDocument/2006/relationships/hyperlink" Target="#'Issue Log'!A1"/><Relationship Id="rId5" Type="http://schemas.openxmlformats.org/officeDocument/2006/relationships/hyperlink" Target="#Schedule!A1"/><Relationship Id="rId10" Type="http://schemas.openxmlformats.org/officeDocument/2006/relationships/hyperlink" Target="#'FF&amp;E Punch List'!A1"/><Relationship Id="rId4" Type="http://schemas.openxmlformats.org/officeDocument/2006/relationships/hyperlink" Target="#'Budget &amp; Costs'!A1"/><Relationship Id="rId9" Type="http://schemas.openxmlformats.org/officeDocument/2006/relationships/hyperlink" Target="#'Move Management'!A1"/></Relationships>
</file>

<file path=xl/drawings/_rels/drawing7.xml.rels><?xml version="1.0" encoding="UTF-8" standalone="yes"?>
<Relationships xmlns="http://schemas.openxmlformats.org/package/2006/relationships"><Relationship Id="rId8" Type="http://schemas.openxmlformats.org/officeDocument/2006/relationships/hyperlink" Target="#'Swing Space'!A1"/><Relationship Id="rId3" Type="http://schemas.openxmlformats.org/officeDocument/2006/relationships/hyperlink" Target="#Dashboard!A1"/><Relationship Id="rId7" Type="http://schemas.openxmlformats.org/officeDocument/2006/relationships/hyperlink" Target="#'Tenant Improvement'!A1"/><Relationship Id="rId12" Type="http://schemas.openxmlformats.org/officeDocument/2006/relationships/hyperlink" Target="#'Master FF&amp;E List'!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Swing Space Punch List'!A1"/><Relationship Id="rId11" Type="http://schemas.openxmlformats.org/officeDocument/2006/relationships/hyperlink" Target="#'Issue Log'!A1"/><Relationship Id="rId5" Type="http://schemas.openxmlformats.org/officeDocument/2006/relationships/hyperlink" Target="#Schedule!A1"/><Relationship Id="rId10" Type="http://schemas.openxmlformats.org/officeDocument/2006/relationships/hyperlink" Target="#'FF&amp;E Punch List'!A1"/><Relationship Id="rId4" Type="http://schemas.openxmlformats.org/officeDocument/2006/relationships/hyperlink" Target="#'Budget &amp; Costs'!A1"/><Relationship Id="rId9" Type="http://schemas.openxmlformats.org/officeDocument/2006/relationships/hyperlink" Target="#'Move Management'!A1"/></Relationships>
</file>

<file path=xl/drawings/_rels/drawing8.xml.rels><?xml version="1.0" encoding="UTF-8" standalone="yes"?>
<Relationships xmlns="http://schemas.openxmlformats.org/package/2006/relationships"><Relationship Id="rId8" Type="http://schemas.openxmlformats.org/officeDocument/2006/relationships/hyperlink" Target="#'Swing Space'!A1"/><Relationship Id="rId3" Type="http://schemas.openxmlformats.org/officeDocument/2006/relationships/hyperlink" Target="#Dashboard!A1"/><Relationship Id="rId7" Type="http://schemas.openxmlformats.org/officeDocument/2006/relationships/hyperlink" Target="#'Tenant Improvement'!A1"/><Relationship Id="rId12" Type="http://schemas.openxmlformats.org/officeDocument/2006/relationships/hyperlink" Target="#'Master FF&amp;E List'!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Swing Space Punch List'!A1"/><Relationship Id="rId11" Type="http://schemas.openxmlformats.org/officeDocument/2006/relationships/hyperlink" Target="#'Issue Log'!A1"/><Relationship Id="rId5" Type="http://schemas.openxmlformats.org/officeDocument/2006/relationships/hyperlink" Target="#Schedule!A1"/><Relationship Id="rId10" Type="http://schemas.openxmlformats.org/officeDocument/2006/relationships/hyperlink" Target="#'FF&amp;E Punch List'!A1"/><Relationship Id="rId4" Type="http://schemas.openxmlformats.org/officeDocument/2006/relationships/hyperlink" Target="#'Budget &amp; Costs'!A1"/><Relationship Id="rId9" Type="http://schemas.openxmlformats.org/officeDocument/2006/relationships/hyperlink" Target="#'Move Management'!A1"/></Relationships>
</file>

<file path=xl/drawings/_rels/drawing9.xml.rels><?xml version="1.0" encoding="UTF-8" standalone="yes"?>
<Relationships xmlns="http://schemas.openxmlformats.org/package/2006/relationships"><Relationship Id="rId8" Type="http://schemas.openxmlformats.org/officeDocument/2006/relationships/hyperlink" Target="#'Swing Space'!A1"/><Relationship Id="rId3" Type="http://schemas.openxmlformats.org/officeDocument/2006/relationships/hyperlink" Target="#Dashboard!A1"/><Relationship Id="rId7" Type="http://schemas.openxmlformats.org/officeDocument/2006/relationships/hyperlink" Target="#'Tenant Improvement'!A1"/><Relationship Id="rId12" Type="http://schemas.openxmlformats.org/officeDocument/2006/relationships/hyperlink" Target="#'Master FF&amp;E List'!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Swing Space Punch List'!A1"/><Relationship Id="rId11" Type="http://schemas.openxmlformats.org/officeDocument/2006/relationships/hyperlink" Target="#'Issue Log'!A1"/><Relationship Id="rId5" Type="http://schemas.openxmlformats.org/officeDocument/2006/relationships/hyperlink" Target="#Schedule!A1"/><Relationship Id="rId10" Type="http://schemas.openxmlformats.org/officeDocument/2006/relationships/hyperlink" Target="#'FF&amp;E Punch List'!A1"/><Relationship Id="rId4" Type="http://schemas.openxmlformats.org/officeDocument/2006/relationships/hyperlink" Target="#'Budget &amp; Costs'!A1"/><Relationship Id="rId9" Type="http://schemas.openxmlformats.org/officeDocument/2006/relationships/hyperlink" Target="#'Move Management'!A1"/></Relationships>
</file>

<file path=xl/drawings/_rels/drawing10.xml.rels><?xml version="1.0" encoding="UTF-8" standalone="yes"?>
<Relationships xmlns="http://schemas.openxmlformats.org/package/2006/relationships"><Relationship Id="rId8" Type="http://schemas.openxmlformats.org/officeDocument/2006/relationships/hyperlink" Target="#'Swing Space'!A1"/><Relationship Id="rId3" Type="http://schemas.openxmlformats.org/officeDocument/2006/relationships/hyperlink" Target="#Dashboard!A1"/><Relationship Id="rId7" Type="http://schemas.openxmlformats.org/officeDocument/2006/relationships/hyperlink" Target="#'Tenant Improvement'!A1"/><Relationship Id="rId12" Type="http://schemas.openxmlformats.org/officeDocument/2006/relationships/hyperlink" Target="#'Master FF&amp;E List'!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Swing Space Punch List'!A1"/><Relationship Id="rId11" Type="http://schemas.openxmlformats.org/officeDocument/2006/relationships/hyperlink" Target="#'Issue Log'!A1"/><Relationship Id="rId5" Type="http://schemas.openxmlformats.org/officeDocument/2006/relationships/hyperlink" Target="#Schedule!A1"/><Relationship Id="rId10" Type="http://schemas.openxmlformats.org/officeDocument/2006/relationships/hyperlink" Target="#'FF&amp;E Punch List'!A1"/><Relationship Id="rId4" Type="http://schemas.openxmlformats.org/officeDocument/2006/relationships/hyperlink" Target="#'Budget &amp; Costs'!A1"/><Relationship Id="rId9" Type="http://schemas.openxmlformats.org/officeDocument/2006/relationships/hyperlink" Target="#'Move Management'!A1"/></Relationships>
</file>

<file path=xl/drawings/drawing1.xml><?xml version="1.0" encoding="utf-8"?>
<xdr:wsDr xmlns:xdr="http://schemas.openxmlformats.org/drawingml/2006/spreadsheetDrawing" xmlns:a="http://schemas.openxmlformats.org/drawingml/2006/main">
  <xdr:twoCellAnchor editAs="absolute">
    <xdr:from>
      <xdr:col>4</xdr:col>
      <xdr:colOff>190500</xdr:colOff>
      <xdr:row>6</xdr:row>
      <xdr:rowOff>97631</xdr:rowOff>
    </xdr:from>
    <xdr:to>
      <xdr:col>6</xdr:col>
      <xdr:colOff>1885473</xdr:colOff>
      <xdr:row>22</xdr:row>
      <xdr:rowOff>40481</xdr:rowOff>
    </xdr:to>
    <xdr:grpSp>
      <xdr:nvGrpSpPr>
        <xdr:cNvPr id="72" name="CompletionDonutGroup">
          <a:extLst>
            <a:ext uri="{FF2B5EF4-FFF2-40B4-BE49-F238E27FC236}">
              <a16:creationId xmlns:a16="http://schemas.microsoft.com/office/drawing/2014/main" id="{E1E095BD-2967-F5C4-2427-8EC62071EC66}"/>
            </a:ext>
          </a:extLst>
        </xdr:cNvPr>
        <xdr:cNvGrpSpPr/>
      </xdr:nvGrpSpPr>
      <xdr:grpSpPr>
        <a:xfrm>
          <a:off x="2628900" y="1202531"/>
          <a:ext cx="3720623" cy="2901950"/>
          <a:chOff x="7867650" y="1333500"/>
          <a:chExt cx="4826000" cy="4419600"/>
        </a:xfrm>
      </xdr:grpSpPr>
      <xdr:graphicFrame macro="">
        <xdr:nvGraphicFramePr>
          <xdr:cNvPr id="69" name="CompletionDonut">
            <a:extLst>
              <a:ext uri="{FF2B5EF4-FFF2-40B4-BE49-F238E27FC236}">
                <a16:creationId xmlns:a16="http://schemas.microsoft.com/office/drawing/2014/main" id="{B8D79704-A64A-52CD-EFB0-BF998222AC19}"/>
              </a:ext>
            </a:extLst>
          </xdr:cNvPr>
          <xdr:cNvGraphicFramePr/>
        </xdr:nvGraphicFramePr>
        <xdr:xfrm>
          <a:off x="7867650" y="1333500"/>
          <a:ext cx="4826000" cy="406400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0" name="CompletionDonutLabel">
            <a:extLst>
              <a:ext uri="{FF2B5EF4-FFF2-40B4-BE49-F238E27FC236}">
                <a16:creationId xmlns:a16="http://schemas.microsoft.com/office/drawing/2014/main" id="{C698FE1E-95AB-2A15-2A5E-57398E5C971D}"/>
              </a:ext>
            </a:extLst>
          </xdr:cNvPr>
          <xdr:cNvSpPr txBox="1"/>
        </xdr:nvSpPr>
        <xdr:spPr>
          <a:xfrm>
            <a:off x="9195485" y="2351581"/>
            <a:ext cx="2428125" cy="242812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nchorCtr="1"/>
          <a:lstStyle/>
          <a:p>
            <a:pPr algn="ctr"/>
            <a:r>
              <a:rPr lang="en-US" sz="3200" b="1"/>
              <a:t>34%</a:t>
            </a:r>
          </a:p>
        </xdr:txBody>
      </xdr:sp>
      <xdr:sp macro="" textlink="">
        <xdr:nvSpPr>
          <xdr:cNvPr id="71" name="CompletionDonutNote">
            <a:extLst>
              <a:ext uri="{FF2B5EF4-FFF2-40B4-BE49-F238E27FC236}">
                <a16:creationId xmlns:a16="http://schemas.microsoft.com/office/drawing/2014/main" id="{DC282098-B92B-4674-C2B4-DAFFBF0C86B0}"/>
              </a:ext>
            </a:extLst>
          </xdr:cNvPr>
          <xdr:cNvSpPr txBox="1"/>
        </xdr:nvSpPr>
        <xdr:spPr>
          <a:xfrm>
            <a:off x="7867650" y="5499100"/>
            <a:ext cx="4826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900"/>
              <a:t>*Measured by Physical Percent Complete</a:t>
            </a:r>
          </a:p>
        </xdr:txBody>
      </xdr:sp>
    </xdr:grpSp>
    <xdr:clientData/>
  </xdr:twoCellAnchor>
  <xdr:twoCellAnchor editAs="absolute">
    <xdr:from>
      <xdr:col>5</xdr:col>
      <xdr:colOff>56197</xdr:colOff>
      <xdr:row>25</xdr:row>
      <xdr:rowOff>116679</xdr:rowOff>
    </xdr:from>
    <xdr:to>
      <xdr:col>6</xdr:col>
      <xdr:colOff>1661159</xdr:colOff>
      <xdr:row>40</xdr:row>
      <xdr:rowOff>59531</xdr:rowOff>
    </xdr:to>
    <xdr:grpSp>
      <xdr:nvGrpSpPr>
        <xdr:cNvPr id="81" name="FundsSpentDonutGroup">
          <a:extLst>
            <a:ext uri="{FF2B5EF4-FFF2-40B4-BE49-F238E27FC236}">
              <a16:creationId xmlns:a16="http://schemas.microsoft.com/office/drawing/2014/main" id="{19E37BC7-1D01-C093-AAAD-3D7AC3B6B3D0}"/>
            </a:ext>
          </a:extLst>
        </xdr:cNvPr>
        <xdr:cNvGrpSpPr/>
      </xdr:nvGrpSpPr>
      <xdr:grpSpPr>
        <a:xfrm>
          <a:off x="2742247" y="4733129"/>
          <a:ext cx="3382962" cy="2705102"/>
          <a:chOff x="7867650" y="1333500"/>
          <a:chExt cx="4826000" cy="4064000"/>
        </a:xfrm>
      </xdr:grpSpPr>
      <xdr:graphicFrame macro="">
        <xdr:nvGraphicFramePr>
          <xdr:cNvPr id="79" name="FundsSpentDonut">
            <a:extLst>
              <a:ext uri="{FF2B5EF4-FFF2-40B4-BE49-F238E27FC236}">
                <a16:creationId xmlns:a16="http://schemas.microsoft.com/office/drawing/2014/main" id="{21532092-64C4-CF3C-5018-A99D7607AE2B}"/>
              </a:ext>
            </a:extLst>
          </xdr:cNvPr>
          <xdr:cNvGraphicFramePr/>
        </xdr:nvGraphicFramePr>
        <xdr:xfrm>
          <a:off x="7867650" y="1333500"/>
          <a:ext cx="4826000" cy="40640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0" name="FundsSpentLabel">
            <a:extLst>
              <a:ext uri="{FF2B5EF4-FFF2-40B4-BE49-F238E27FC236}">
                <a16:creationId xmlns:a16="http://schemas.microsoft.com/office/drawing/2014/main" id="{0D15F5D0-5BD5-610E-8F88-932637EC9502}"/>
              </a:ext>
            </a:extLst>
          </xdr:cNvPr>
          <xdr:cNvSpPr txBox="1"/>
        </xdr:nvSpPr>
        <xdr:spPr>
          <a:xfrm>
            <a:off x="9138063" y="2346149"/>
            <a:ext cx="2428126" cy="24281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3200" b="1"/>
              <a:t>0%</a:t>
            </a:r>
          </a:p>
        </xdr:txBody>
      </xdr:sp>
    </xdr:grpSp>
    <xdr:clientData/>
  </xdr:twoCellAnchor>
  <xdr:twoCellAnchor editAs="absolute">
    <xdr:from>
      <xdr:col>6</xdr:col>
      <xdr:colOff>3070066</xdr:colOff>
      <xdr:row>23</xdr:row>
      <xdr:rowOff>97896</xdr:rowOff>
    </xdr:from>
    <xdr:to>
      <xdr:col>11</xdr:col>
      <xdr:colOff>742791</xdr:colOff>
      <xdr:row>42</xdr:row>
      <xdr:rowOff>60431</xdr:rowOff>
    </xdr:to>
    <xdr:graphicFrame macro="">
      <xdr:nvGraphicFramePr>
        <xdr:cNvPr id="85" name="PlannedActualBarChart">
          <a:extLst>
            <a:ext uri="{FF2B5EF4-FFF2-40B4-BE49-F238E27FC236}">
              <a16:creationId xmlns:a16="http://schemas.microsoft.com/office/drawing/2014/main" id="{D3EF3DDB-6F5E-BE5A-F8FA-B5E582FE63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591026</xdr:colOff>
      <xdr:row>22</xdr:row>
      <xdr:rowOff>168275</xdr:rowOff>
    </xdr:from>
    <xdr:to>
      <xdr:col>21</xdr:col>
      <xdr:colOff>59373</xdr:colOff>
      <xdr:row>39</xdr:row>
      <xdr:rowOff>92393</xdr:rowOff>
    </xdr:to>
    <xdr:graphicFrame macro="">
      <xdr:nvGraphicFramePr>
        <xdr:cNvPr id="11" name="IssueRiskBarChart">
          <a:extLst>
            <a:ext uri="{FF2B5EF4-FFF2-40B4-BE49-F238E27FC236}">
              <a16:creationId xmlns:a16="http://schemas.microsoft.com/office/drawing/2014/main" id="{140B2FCE-1ACC-B843-A5D4-482092CB66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xdr:colOff>
      <xdr:row>45</xdr:row>
      <xdr:rowOff>147633</xdr:rowOff>
    </xdr:from>
    <xdr:to>
      <xdr:col>12</xdr:col>
      <xdr:colOff>345284</xdr:colOff>
      <xdr:row>51</xdr:row>
      <xdr:rowOff>23382</xdr:rowOff>
    </xdr:to>
    <xdr:grpSp>
      <xdr:nvGrpSpPr>
        <xdr:cNvPr id="22" name="Group 21">
          <a:extLst>
            <a:ext uri="{FF2B5EF4-FFF2-40B4-BE49-F238E27FC236}">
              <a16:creationId xmlns:a16="http://schemas.microsoft.com/office/drawing/2014/main" id="{ED449F1A-D2B8-2463-3ECA-68B6B883F6D6}"/>
            </a:ext>
          </a:extLst>
        </xdr:cNvPr>
        <xdr:cNvGrpSpPr/>
      </xdr:nvGrpSpPr>
      <xdr:grpSpPr>
        <a:xfrm>
          <a:off x="2686053" y="8447083"/>
          <a:ext cx="11248231" cy="980649"/>
          <a:chOff x="2678909" y="8858249"/>
          <a:chExt cx="10739438" cy="1013306"/>
        </a:xfrm>
      </xdr:grpSpPr>
      <xdr:sp macro="" textlink="">
        <xdr:nvSpPr>
          <xdr:cNvPr id="4" name="Rectangle 3">
            <a:extLst>
              <a:ext uri="{FF2B5EF4-FFF2-40B4-BE49-F238E27FC236}">
                <a16:creationId xmlns:a16="http://schemas.microsoft.com/office/drawing/2014/main" id="{B8D2E523-1FB0-C2B1-CB14-3A7614741F4F}"/>
              </a:ext>
            </a:extLst>
          </xdr:cNvPr>
          <xdr:cNvSpPr/>
        </xdr:nvSpPr>
        <xdr:spPr>
          <a:xfrm>
            <a:off x="2678909" y="8858249"/>
            <a:ext cx="10739438" cy="1013306"/>
          </a:xfrm>
          <a:prstGeom prst="rect">
            <a:avLst/>
          </a:prstGeom>
          <a:no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5" name="Rectangle 4">
            <a:extLst>
              <a:ext uri="{FF2B5EF4-FFF2-40B4-BE49-F238E27FC236}">
                <a16:creationId xmlns:a16="http://schemas.microsoft.com/office/drawing/2014/main" id="{E3938B59-F489-33BA-5496-40699554CEF9}"/>
              </a:ext>
            </a:extLst>
          </xdr:cNvPr>
          <xdr:cNvSpPr/>
        </xdr:nvSpPr>
        <xdr:spPr>
          <a:xfrm>
            <a:off x="2918404" y="9083817"/>
            <a:ext cx="600417" cy="136077"/>
          </a:xfrm>
          <a:prstGeom prst="rect">
            <a:avLst/>
          </a:prstGeom>
          <a:solidFill>
            <a:srgbClr val="D8EA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4CB0F172-F45A-5E47-3707-E54172958EC4}"/>
              </a:ext>
            </a:extLst>
          </xdr:cNvPr>
          <xdr:cNvSpPr/>
        </xdr:nvSpPr>
        <xdr:spPr>
          <a:xfrm>
            <a:off x="2918404" y="9289777"/>
            <a:ext cx="600417" cy="128509"/>
          </a:xfrm>
          <a:prstGeom prst="rect">
            <a:avLst/>
          </a:prstGeom>
          <a:solidFill>
            <a:srgbClr val="1278D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5F670727-9346-FF72-BD12-E6DB71DEC76B}"/>
              </a:ext>
            </a:extLst>
          </xdr:cNvPr>
          <xdr:cNvSpPr/>
        </xdr:nvSpPr>
        <xdr:spPr>
          <a:xfrm>
            <a:off x="2918404" y="9485312"/>
            <a:ext cx="600417" cy="127870"/>
          </a:xfrm>
          <a:prstGeom prst="rect">
            <a:avLst/>
          </a:prstGeom>
          <a:solidFill>
            <a:srgbClr val="54823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A732D4AD-BF72-92EC-D663-B09F3BEDE3A8}"/>
              </a:ext>
            </a:extLst>
          </xdr:cNvPr>
          <xdr:cNvSpPr/>
        </xdr:nvSpPr>
        <xdr:spPr>
          <a:xfrm>
            <a:off x="6283511" y="9079546"/>
            <a:ext cx="568274" cy="137824"/>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38BD4D25-0515-555C-CC7B-F4104D837565}"/>
              </a:ext>
            </a:extLst>
          </xdr:cNvPr>
          <xdr:cNvSpPr/>
        </xdr:nvSpPr>
        <xdr:spPr>
          <a:xfrm>
            <a:off x="6283511" y="9287253"/>
            <a:ext cx="568274" cy="133750"/>
          </a:xfrm>
          <a:prstGeom prst="rect">
            <a:avLst/>
          </a:prstGeom>
          <a:solidFill>
            <a:srgbClr val="FF006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C42F4E8F-1DD9-0B48-45AC-68E6D45DD687}"/>
              </a:ext>
            </a:extLst>
          </xdr:cNvPr>
          <xdr:cNvSpPr/>
        </xdr:nvSpPr>
        <xdr:spPr>
          <a:xfrm>
            <a:off x="6283511" y="9485312"/>
            <a:ext cx="568274" cy="130587"/>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F0E33599-0F19-ADAE-2FE4-D86D3BEF02EF}"/>
              </a:ext>
            </a:extLst>
          </xdr:cNvPr>
          <xdr:cNvSpPr/>
        </xdr:nvSpPr>
        <xdr:spPr>
          <a:xfrm>
            <a:off x="9446158" y="9079546"/>
            <a:ext cx="604018" cy="137824"/>
          </a:xfrm>
          <a:prstGeom prst="rect">
            <a:avLst/>
          </a:prstGeom>
          <a:solidFill>
            <a:srgbClr val="00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B2B74DA7-9747-C34F-074F-C4E862B0B1C5}"/>
              </a:ext>
            </a:extLst>
          </xdr:cNvPr>
          <xdr:cNvSpPr txBox="1"/>
        </xdr:nvSpPr>
        <xdr:spPr>
          <a:xfrm>
            <a:off x="3599702" y="9079546"/>
            <a:ext cx="2230660" cy="1378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N/A (Non-FF&amp;E</a:t>
            </a:r>
            <a:r>
              <a:rPr lang="en-US" sz="1100" baseline="0"/>
              <a:t> Activities)</a:t>
            </a:r>
            <a:endParaRPr lang="en-US" sz="1100"/>
          </a:p>
        </xdr:txBody>
      </xdr:sp>
      <xdr:sp macro="" textlink="">
        <xdr:nvSpPr>
          <xdr:cNvPr id="14" name="TextBox 13">
            <a:extLst>
              <a:ext uri="{FF2B5EF4-FFF2-40B4-BE49-F238E27FC236}">
                <a16:creationId xmlns:a16="http://schemas.microsoft.com/office/drawing/2014/main" id="{67E61382-4017-0E95-36FF-72C25304D77B}"/>
              </a:ext>
            </a:extLst>
          </xdr:cNvPr>
          <xdr:cNvSpPr txBox="1"/>
        </xdr:nvSpPr>
        <xdr:spPr>
          <a:xfrm>
            <a:off x="3598862" y="9287253"/>
            <a:ext cx="2230660" cy="133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aseline="0"/>
              <a:t>Swing Space</a:t>
            </a:r>
            <a:endParaRPr lang="en-US" sz="1100"/>
          </a:p>
        </xdr:txBody>
      </xdr:sp>
      <xdr:sp macro="" textlink="">
        <xdr:nvSpPr>
          <xdr:cNvPr id="15" name="TextBox 14">
            <a:extLst>
              <a:ext uri="{FF2B5EF4-FFF2-40B4-BE49-F238E27FC236}">
                <a16:creationId xmlns:a16="http://schemas.microsoft.com/office/drawing/2014/main" id="{AA58B444-E549-7C87-A7A6-1CD4EECACD0F}"/>
              </a:ext>
            </a:extLst>
          </xdr:cNvPr>
          <xdr:cNvSpPr txBox="1"/>
        </xdr:nvSpPr>
        <xdr:spPr>
          <a:xfrm>
            <a:off x="3598862" y="9488030"/>
            <a:ext cx="2230660" cy="1253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Move Management</a:t>
            </a:r>
          </a:p>
        </xdr:txBody>
      </xdr:sp>
      <xdr:sp macro="" textlink="">
        <xdr:nvSpPr>
          <xdr:cNvPr id="16" name="TextBox 15">
            <a:extLst>
              <a:ext uri="{FF2B5EF4-FFF2-40B4-BE49-F238E27FC236}">
                <a16:creationId xmlns:a16="http://schemas.microsoft.com/office/drawing/2014/main" id="{14753498-AA0A-C3B4-1276-BD0783CEAD55}"/>
              </a:ext>
            </a:extLst>
          </xdr:cNvPr>
          <xdr:cNvSpPr txBox="1"/>
        </xdr:nvSpPr>
        <xdr:spPr>
          <a:xfrm>
            <a:off x="6928461" y="9084010"/>
            <a:ext cx="2218894" cy="1360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AV/Ed-Tech</a:t>
            </a:r>
          </a:p>
        </xdr:txBody>
      </xdr:sp>
      <xdr:sp macro="" textlink="">
        <xdr:nvSpPr>
          <xdr:cNvPr id="17" name="TextBox 16">
            <a:extLst>
              <a:ext uri="{FF2B5EF4-FFF2-40B4-BE49-F238E27FC236}">
                <a16:creationId xmlns:a16="http://schemas.microsoft.com/office/drawing/2014/main" id="{93B4566A-4BE9-DD68-3787-C5B0FFCF841D}"/>
              </a:ext>
            </a:extLst>
          </xdr:cNvPr>
          <xdr:cNvSpPr txBox="1"/>
        </xdr:nvSpPr>
        <xdr:spPr>
          <a:xfrm>
            <a:off x="6927415" y="9289970"/>
            <a:ext cx="2251037" cy="1250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IT</a:t>
            </a:r>
          </a:p>
        </xdr:txBody>
      </xdr:sp>
      <xdr:sp macro="" textlink="">
        <xdr:nvSpPr>
          <xdr:cNvPr id="18" name="TextBox 17">
            <a:extLst>
              <a:ext uri="{FF2B5EF4-FFF2-40B4-BE49-F238E27FC236}">
                <a16:creationId xmlns:a16="http://schemas.microsoft.com/office/drawing/2014/main" id="{129C0E8B-8972-B71F-8EC6-9D0A26DED8A5}"/>
              </a:ext>
            </a:extLst>
          </xdr:cNvPr>
          <xdr:cNvSpPr txBox="1"/>
        </xdr:nvSpPr>
        <xdr:spPr>
          <a:xfrm>
            <a:off x="6927415" y="9490748"/>
            <a:ext cx="2251037" cy="1253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Other</a:t>
            </a:r>
          </a:p>
        </xdr:txBody>
      </xdr:sp>
      <xdr:sp macro="" textlink="">
        <xdr:nvSpPr>
          <xdr:cNvPr id="19" name="TextBox 18">
            <a:extLst>
              <a:ext uri="{FF2B5EF4-FFF2-40B4-BE49-F238E27FC236}">
                <a16:creationId xmlns:a16="http://schemas.microsoft.com/office/drawing/2014/main" id="{6C42B3CA-4C38-EA15-53EB-7262D36D5161}"/>
              </a:ext>
            </a:extLst>
          </xdr:cNvPr>
          <xdr:cNvSpPr txBox="1"/>
        </xdr:nvSpPr>
        <xdr:spPr>
          <a:xfrm>
            <a:off x="10118313" y="9060196"/>
            <a:ext cx="3136868" cy="1935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aseline="0">
                <a:solidFill>
                  <a:schemeClr val="dk1"/>
                </a:solidFill>
                <a:effectLst/>
                <a:latin typeface="+mn-lt"/>
                <a:ea typeface="+mn-ea"/>
                <a:cs typeface="+mn-cs"/>
              </a:rPr>
              <a:t>Furniture, Fixtures, Equipment (Non AV/Ed-Tech/IT) </a:t>
            </a:r>
            <a:endParaRPr lang="en-US">
              <a:effectLst/>
            </a:endParaRPr>
          </a:p>
        </xdr:txBody>
      </xdr:sp>
      <xdr:sp macro="" textlink="">
        <xdr:nvSpPr>
          <xdr:cNvPr id="20" name="Rectangle 19">
            <a:extLst>
              <a:ext uri="{FF2B5EF4-FFF2-40B4-BE49-F238E27FC236}">
                <a16:creationId xmlns:a16="http://schemas.microsoft.com/office/drawing/2014/main" id="{EDD9D9F3-7B88-4FF3-A746-F1E2D10CEDB5}"/>
              </a:ext>
            </a:extLst>
          </xdr:cNvPr>
          <xdr:cNvSpPr/>
        </xdr:nvSpPr>
        <xdr:spPr>
          <a:xfrm>
            <a:off x="9441646" y="9294319"/>
            <a:ext cx="604018" cy="137824"/>
          </a:xfrm>
          <a:prstGeom prst="rect">
            <a:avLst/>
          </a:prstGeom>
          <a:solidFill>
            <a:srgbClr val="FFFF8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TextBox 20">
            <a:extLst>
              <a:ext uri="{FF2B5EF4-FFF2-40B4-BE49-F238E27FC236}">
                <a16:creationId xmlns:a16="http://schemas.microsoft.com/office/drawing/2014/main" id="{B4EB1342-A264-457B-811A-A2B2A907797C}"/>
              </a:ext>
            </a:extLst>
          </xdr:cNvPr>
          <xdr:cNvSpPr txBox="1"/>
        </xdr:nvSpPr>
        <xdr:spPr>
          <a:xfrm>
            <a:off x="10113801" y="9274969"/>
            <a:ext cx="3136868" cy="1935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aseline="0">
                <a:solidFill>
                  <a:schemeClr val="dk1"/>
                </a:solidFill>
                <a:effectLst/>
                <a:latin typeface="+mn-lt"/>
                <a:ea typeface="+mn-ea"/>
                <a:cs typeface="+mn-cs"/>
              </a:rPr>
              <a:t>Planned Activity Timeframe </a:t>
            </a:r>
            <a:endParaRPr lang="en-US">
              <a:effectLst/>
            </a:endParaRPr>
          </a:p>
        </xdr:txBody>
      </xdr:sp>
    </xdr:grpSp>
    <xdr:clientData/>
  </xdr:twoCellAnchor>
  <xdr:twoCellAnchor>
    <xdr:from>
      <xdr:col>6</xdr:col>
      <xdr:colOff>2286000</xdr:colOff>
      <xdr:row>7</xdr:row>
      <xdr:rowOff>43543</xdr:rowOff>
    </xdr:from>
    <xdr:to>
      <xdr:col>6</xdr:col>
      <xdr:colOff>2286000</xdr:colOff>
      <xdr:row>42</xdr:row>
      <xdr:rowOff>174172</xdr:rowOff>
    </xdr:to>
    <xdr:cxnSp macro="">
      <xdr:nvCxnSpPr>
        <xdr:cNvPr id="24" name="Straight Connector 23">
          <a:extLst>
            <a:ext uri="{FF2B5EF4-FFF2-40B4-BE49-F238E27FC236}">
              <a16:creationId xmlns:a16="http://schemas.microsoft.com/office/drawing/2014/main" id="{8769B909-94D2-B06A-D1E9-E5B482C63B00}"/>
            </a:ext>
          </a:extLst>
        </xdr:cNvPr>
        <xdr:cNvCxnSpPr/>
      </xdr:nvCxnSpPr>
      <xdr:spPr>
        <a:xfrm>
          <a:off x="6716486" y="1338943"/>
          <a:ext cx="0" cy="66294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195943</xdr:colOff>
      <xdr:row>7</xdr:row>
      <xdr:rowOff>43539</xdr:rowOff>
    </xdr:from>
    <xdr:to>
      <xdr:col>12</xdr:col>
      <xdr:colOff>195943</xdr:colOff>
      <xdr:row>42</xdr:row>
      <xdr:rowOff>174168</xdr:rowOff>
    </xdr:to>
    <xdr:cxnSp macro="">
      <xdr:nvCxnSpPr>
        <xdr:cNvPr id="25" name="Straight Connector 24">
          <a:extLst>
            <a:ext uri="{FF2B5EF4-FFF2-40B4-BE49-F238E27FC236}">
              <a16:creationId xmlns:a16="http://schemas.microsoft.com/office/drawing/2014/main" id="{E273422A-6307-482E-A7CC-0C92A0BF475D}"/>
            </a:ext>
          </a:extLst>
        </xdr:cNvPr>
        <xdr:cNvCxnSpPr/>
      </xdr:nvCxnSpPr>
      <xdr:spPr>
        <a:xfrm>
          <a:off x="13585372" y="1338939"/>
          <a:ext cx="0" cy="66294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10886</xdr:colOff>
      <xdr:row>43</xdr:row>
      <xdr:rowOff>2</xdr:rowOff>
    </xdr:from>
    <xdr:to>
      <xdr:col>24</xdr:col>
      <xdr:colOff>250372</xdr:colOff>
      <xdr:row>43</xdr:row>
      <xdr:rowOff>2</xdr:rowOff>
    </xdr:to>
    <xdr:cxnSp macro="">
      <xdr:nvCxnSpPr>
        <xdr:cNvPr id="27" name="Straight Connector 26">
          <a:extLst>
            <a:ext uri="{FF2B5EF4-FFF2-40B4-BE49-F238E27FC236}">
              <a16:creationId xmlns:a16="http://schemas.microsoft.com/office/drawing/2014/main" id="{147EB856-EADE-9444-8EAF-62EEE7D7B644}"/>
            </a:ext>
          </a:extLst>
        </xdr:cNvPr>
        <xdr:cNvCxnSpPr/>
      </xdr:nvCxnSpPr>
      <xdr:spPr>
        <a:xfrm>
          <a:off x="2699657" y="7979231"/>
          <a:ext cx="18113829"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0</xdr:col>
      <xdr:colOff>0</xdr:colOff>
      <xdr:row>479</xdr:row>
      <xdr:rowOff>19870</xdr:rowOff>
    </xdr:from>
    <xdr:to>
      <xdr:col>4</xdr:col>
      <xdr:colOff>0</xdr:colOff>
      <xdr:row>30959</xdr:row>
      <xdr:rowOff>171450</xdr:rowOff>
    </xdr:to>
    <xdr:sp macro="" textlink="">
      <xdr:nvSpPr>
        <xdr:cNvPr id="23" name="Rectangle 22">
          <a:extLst>
            <a:ext uri="{FF2B5EF4-FFF2-40B4-BE49-F238E27FC236}">
              <a16:creationId xmlns:a16="http://schemas.microsoft.com/office/drawing/2014/main" id="{A0F42526-00EA-865E-6A60-22D7551BB479}"/>
            </a:ext>
          </a:extLst>
        </xdr:cNvPr>
        <xdr:cNvSpPr/>
      </xdr:nvSpPr>
      <xdr:spPr>
        <a:xfrm>
          <a:off x="0" y="93385825"/>
          <a:ext cx="2286000" cy="5806589675"/>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clientData/>
  </xdr:twoCellAnchor>
  <xdr:twoCellAnchor editAs="absolute">
    <xdr:from>
      <xdr:col>0</xdr:col>
      <xdr:colOff>0</xdr:colOff>
      <xdr:row>0</xdr:row>
      <xdr:rowOff>0</xdr:rowOff>
    </xdr:from>
    <xdr:to>
      <xdr:col>34</xdr:col>
      <xdr:colOff>247438</xdr:colOff>
      <xdr:row>161</xdr:row>
      <xdr:rowOff>172538</xdr:rowOff>
    </xdr:to>
    <xdr:grpSp>
      <xdr:nvGrpSpPr>
        <xdr:cNvPr id="2" name="Group 1">
          <a:extLst>
            <a:ext uri="{FF2B5EF4-FFF2-40B4-BE49-F238E27FC236}">
              <a16:creationId xmlns:a16="http://schemas.microsoft.com/office/drawing/2014/main" id="{84F85CC5-1278-45B0-AC21-264A7DA2A793}"/>
            </a:ext>
          </a:extLst>
        </xdr:cNvPr>
        <xdr:cNvGrpSpPr/>
      </xdr:nvGrpSpPr>
      <xdr:grpSpPr>
        <a:xfrm>
          <a:off x="0" y="0"/>
          <a:ext cx="26009388" cy="31871738"/>
          <a:chOff x="0" y="0"/>
          <a:chExt cx="25515773" cy="31344053"/>
        </a:xfrm>
      </xdr:grpSpPr>
      <xdr:sp macro="" textlink="">
        <xdr:nvSpPr>
          <xdr:cNvPr id="33" name="Rectangle 32">
            <a:extLst>
              <a:ext uri="{FF2B5EF4-FFF2-40B4-BE49-F238E27FC236}">
                <a16:creationId xmlns:a16="http://schemas.microsoft.com/office/drawing/2014/main" id="{91D476B5-19C2-DA6C-2BB5-F7DFD9B9261D}"/>
              </a:ext>
            </a:extLst>
          </xdr:cNvPr>
          <xdr:cNvSpPr/>
        </xdr:nvSpPr>
        <xdr:spPr>
          <a:xfrm>
            <a:off x="16218395" y="0"/>
            <a:ext cx="9138381" cy="1085982"/>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7612D68B-787F-8B92-3238-F03F7980D53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3463390" y="136538"/>
            <a:ext cx="2052383" cy="77054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8" name="Rectangle 27">
            <a:extLst>
              <a:ext uri="{FF2B5EF4-FFF2-40B4-BE49-F238E27FC236}">
                <a16:creationId xmlns:a16="http://schemas.microsoft.com/office/drawing/2014/main" id="{39681A4A-28C1-000B-AD15-A48AB1247F89}"/>
              </a:ext>
            </a:extLst>
          </xdr:cNvPr>
          <xdr:cNvSpPr/>
        </xdr:nvSpPr>
        <xdr:spPr>
          <a:xfrm>
            <a:off x="0" y="0"/>
            <a:ext cx="2689828" cy="31344053"/>
          </a:xfrm>
          <a:prstGeom prst="rect">
            <a:avLst/>
          </a:prstGeom>
          <a:gradFill>
            <a:gsLst>
              <a:gs pos="73000">
                <a:srgbClr val="507687"/>
              </a:gs>
              <a:gs pos="88000">
                <a:srgbClr val="ACBCC3"/>
              </a:gs>
              <a:gs pos="97000">
                <a:srgbClr val="EEEEEE"/>
              </a:gs>
              <a:gs pos="71000">
                <a:srgbClr val="384B70"/>
              </a:gs>
            </a:gsLst>
            <a:lin ang="162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Rectangle 29">
            <a:extLst>
              <a:ext uri="{FF2B5EF4-FFF2-40B4-BE49-F238E27FC236}">
                <a16:creationId xmlns:a16="http://schemas.microsoft.com/office/drawing/2014/main" id="{FE88448E-4606-99E9-3213-2921A4E320E0}"/>
              </a:ext>
            </a:extLst>
          </xdr:cNvPr>
          <xdr:cNvSpPr>
            <a:spLocks noChangeAspect="1"/>
          </xdr:cNvSpPr>
        </xdr:nvSpPr>
        <xdr:spPr>
          <a:xfrm>
            <a:off x="2494806" y="0"/>
            <a:ext cx="15558710" cy="1085982"/>
          </a:xfrm>
          <a:prstGeom prst="rect">
            <a:avLst/>
          </a:prstGeom>
          <a:gradFill flip="none" rotWithShape="1">
            <a:gsLst>
              <a:gs pos="38000">
                <a:srgbClr val="507687"/>
              </a:gs>
              <a:gs pos="90000">
                <a:srgbClr val="EEEEEE"/>
              </a:gs>
              <a:gs pos="15000">
                <a:srgbClr val="384B70"/>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n-US" sz="1100"/>
          </a:p>
        </xdr:txBody>
      </xdr:sp>
      <xdr:sp macro="" textlink="Settings!B1">
        <xdr:nvSpPr>
          <xdr:cNvPr id="32" name="TextBox 31">
            <a:extLst>
              <a:ext uri="{FF2B5EF4-FFF2-40B4-BE49-F238E27FC236}">
                <a16:creationId xmlns:a16="http://schemas.microsoft.com/office/drawing/2014/main" id="{E5371AC2-3304-6A89-A0A9-770E324E8DAC}"/>
              </a:ext>
            </a:extLst>
          </xdr:cNvPr>
          <xdr:cNvSpPr txBox="1">
            <a:spLocks noChangeAspect="1"/>
          </xdr:cNvSpPr>
        </xdr:nvSpPr>
        <xdr:spPr>
          <a:xfrm>
            <a:off x="4577763" y="129999"/>
            <a:ext cx="8357611" cy="75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ctr"/>
            <a:fld id="{4B73E5BE-2416-4AC7-B863-EDA3E9EE13C9}" type="TxLink">
              <a:rPr lang="en-US" sz="2000" b="1" i="0" u="none" strike="noStrike">
                <a:ln>
                  <a:noFill/>
                </a:ln>
                <a:solidFill>
                  <a:srgbClr val="222B35"/>
                </a:solidFill>
                <a:latin typeface="Arial"/>
                <a:cs typeface="Arial"/>
              </a:rPr>
              <a:pPr algn="ctr"/>
              <a:t>San Diego Community College District: 
SDCCD 1450 Frazee Project Dashboard</a:t>
            </a:fld>
            <a:endParaRPr lang="en-US" sz="1100" b="0" i="0" u="none" strike="noStrike">
              <a:ln>
                <a:noFill/>
              </a:ln>
              <a:solidFill>
                <a:schemeClr val="tx2">
                  <a:lumMod val="50000"/>
                </a:schemeClr>
              </a:solidFill>
              <a:latin typeface="Arial" panose="020B0604020202020204" pitchFamily="34" charset="0"/>
              <a:cs typeface="Arial" panose="020B0604020202020204" pitchFamily="34" charset="0"/>
            </a:endParaRPr>
          </a:p>
        </xdr:txBody>
      </xdr:sp>
      <xdr:pic>
        <xdr:nvPicPr>
          <xdr:cNvPr id="34" name="Picture 33">
            <a:extLst>
              <a:ext uri="{FF2B5EF4-FFF2-40B4-BE49-F238E27FC236}">
                <a16:creationId xmlns:a16="http://schemas.microsoft.com/office/drawing/2014/main" id="{65952C14-688F-5ECE-FCCF-C9E1540A611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055" y="257206"/>
            <a:ext cx="2591503" cy="459108"/>
          </a:xfrm>
          <a:prstGeom prst="rect">
            <a:avLst/>
          </a:prstGeom>
        </xdr:spPr>
      </xdr:pic>
      <xdr:sp macro="" textlink="">
        <xdr:nvSpPr>
          <xdr:cNvPr id="35" name="Rectangle: Rounded Corners 34">
            <a:extLst>
              <a:ext uri="{FF2B5EF4-FFF2-40B4-BE49-F238E27FC236}">
                <a16:creationId xmlns:a16="http://schemas.microsoft.com/office/drawing/2014/main" id="{68D8A3B6-6987-0AE0-6DE1-5A73BFED7847}"/>
              </a:ext>
            </a:extLst>
          </xdr:cNvPr>
          <xdr:cNvSpPr/>
        </xdr:nvSpPr>
        <xdr:spPr>
          <a:xfrm>
            <a:off x="19817" y="1436228"/>
            <a:ext cx="2553838" cy="361181"/>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TextBox 36">
            <a:hlinkClick xmlns:r="http://schemas.openxmlformats.org/officeDocument/2006/relationships" r:id="rId7"/>
            <a:extLst>
              <a:ext uri="{FF2B5EF4-FFF2-40B4-BE49-F238E27FC236}">
                <a16:creationId xmlns:a16="http://schemas.microsoft.com/office/drawing/2014/main" id="{6CDC9502-726F-121F-5FC0-06D9924E6749}"/>
              </a:ext>
            </a:extLst>
          </xdr:cNvPr>
          <xdr:cNvSpPr txBox="1"/>
        </xdr:nvSpPr>
        <xdr:spPr>
          <a:xfrm>
            <a:off x="0" y="1455589"/>
            <a:ext cx="1334637" cy="359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bg1"/>
                </a:solidFill>
                <a:latin typeface="Arial" panose="020B0604020202020204" pitchFamily="34" charset="0"/>
                <a:cs typeface="Arial" panose="020B0604020202020204" pitchFamily="34" charset="0"/>
              </a:rPr>
              <a:t>Dashboard</a:t>
            </a:r>
          </a:p>
        </xdr:txBody>
      </xdr:sp>
      <xdr:sp macro="" textlink="">
        <xdr:nvSpPr>
          <xdr:cNvPr id="38" name="Rectangle: Rounded Corners 37">
            <a:extLst>
              <a:ext uri="{FF2B5EF4-FFF2-40B4-BE49-F238E27FC236}">
                <a16:creationId xmlns:a16="http://schemas.microsoft.com/office/drawing/2014/main" id="{28A39326-E004-C297-ADCD-16EE5F656223}"/>
              </a:ext>
            </a:extLst>
          </xdr:cNvPr>
          <xdr:cNvSpPr/>
        </xdr:nvSpPr>
        <xdr:spPr>
          <a:xfrm>
            <a:off x="2530565" y="1086843"/>
            <a:ext cx="155775" cy="5143834"/>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a:hlinkClick xmlns:r="http://schemas.openxmlformats.org/officeDocument/2006/relationships" r:id="rId8"/>
            <a:extLst>
              <a:ext uri="{FF2B5EF4-FFF2-40B4-BE49-F238E27FC236}">
                <a16:creationId xmlns:a16="http://schemas.microsoft.com/office/drawing/2014/main" id="{D3ED3524-80C6-DF40-EC69-FCA78145EDFF}"/>
              </a:ext>
            </a:extLst>
          </xdr:cNvPr>
          <xdr:cNvSpPr txBox="1"/>
        </xdr:nvSpPr>
        <xdr:spPr>
          <a:xfrm>
            <a:off x="0" y="5433377"/>
            <a:ext cx="1628775"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Budget &amp; Costs</a:t>
            </a:r>
          </a:p>
        </xdr:txBody>
      </xdr:sp>
      <xdr:sp macro="" textlink="">
        <xdr:nvSpPr>
          <xdr:cNvPr id="40" name="TextBox 39">
            <a:hlinkClick xmlns:r="http://schemas.openxmlformats.org/officeDocument/2006/relationships" r:id="rId9"/>
            <a:extLst>
              <a:ext uri="{FF2B5EF4-FFF2-40B4-BE49-F238E27FC236}">
                <a16:creationId xmlns:a16="http://schemas.microsoft.com/office/drawing/2014/main" id="{66F20D79-FB4D-EB02-6F3C-9076A77B7E19}"/>
              </a:ext>
            </a:extLst>
          </xdr:cNvPr>
          <xdr:cNvSpPr txBox="1"/>
        </xdr:nvSpPr>
        <xdr:spPr>
          <a:xfrm>
            <a:off x="0" y="4996901"/>
            <a:ext cx="1336542" cy="348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Schedule</a:t>
            </a:r>
          </a:p>
        </xdr:txBody>
      </xdr:sp>
      <xdr:sp macro="" textlink="">
        <xdr:nvSpPr>
          <xdr:cNvPr id="41" name="TextBox 40">
            <a:hlinkClick xmlns:r="http://schemas.openxmlformats.org/officeDocument/2006/relationships" r:id="rId10"/>
            <a:extLst>
              <a:ext uri="{FF2B5EF4-FFF2-40B4-BE49-F238E27FC236}">
                <a16:creationId xmlns:a16="http://schemas.microsoft.com/office/drawing/2014/main" id="{472C9DD4-13CC-EB69-EAE6-AAAB0F56933E}"/>
              </a:ext>
            </a:extLst>
          </xdr:cNvPr>
          <xdr:cNvSpPr txBox="1"/>
        </xdr:nvSpPr>
        <xdr:spPr>
          <a:xfrm>
            <a:off x="0" y="4543284"/>
            <a:ext cx="2449830"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 Punch List</a:t>
            </a:r>
          </a:p>
        </xdr:txBody>
      </xdr:sp>
      <xdr:sp macro="" textlink="">
        <xdr:nvSpPr>
          <xdr:cNvPr id="42" name="TextBox 41">
            <a:hlinkClick xmlns:r="http://schemas.openxmlformats.org/officeDocument/2006/relationships" r:id="rId11"/>
            <a:extLst>
              <a:ext uri="{FF2B5EF4-FFF2-40B4-BE49-F238E27FC236}">
                <a16:creationId xmlns:a16="http://schemas.microsoft.com/office/drawing/2014/main" id="{57387F61-CDF3-B1BC-960E-FE0C765D33DD}"/>
              </a:ext>
            </a:extLst>
          </xdr:cNvPr>
          <xdr:cNvSpPr txBox="1"/>
        </xdr:nvSpPr>
        <xdr:spPr>
          <a:xfrm>
            <a:off x="0" y="4104909"/>
            <a:ext cx="2110740" cy="354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Tenant Improvement</a:t>
            </a:r>
          </a:p>
        </xdr:txBody>
      </xdr:sp>
      <xdr:sp macro="" textlink="">
        <xdr:nvSpPr>
          <xdr:cNvPr id="43" name="TextBox 42">
            <a:hlinkClick xmlns:r="http://schemas.openxmlformats.org/officeDocument/2006/relationships" r:id="rId12"/>
            <a:extLst>
              <a:ext uri="{FF2B5EF4-FFF2-40B4-BE49-F238E27FC236}">
                <a16:creationId xmlns:a16="http://schemas.microsoft.com/office/drawing/2014/main" id="{7042B052-38F5-0C02-5698-EB2200B85B68}"/>
              </a:ext>
            </a:extLst>
          </xdr:cNvPr>
          <xdr:cNvSpPr txBox="1"/>
        </xdr:nvSpPr>
        <xdr:spPr>
          <a:xfrm>
            <a:off x="0" y="3666536"/>
            <a:ext cx="1336542" cy="35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a:t>
            </a:r>
          </a:p>
        </xdr:txBody>
      </xdr:sp>
      <xdr:sp macro="" textlink="">
        <xdr:nvSpPr>
          <xdr:cNvPr id="44" name="TextBox 43">
            <a:hlinkClick xmlns:r="http://schemas.openxmlformats.org/officeDocument/2006/relationships" r:id="rId13"/>
            <a:extLst>
              <a:ext uri="{FF2B5EF4-FFF2-40B4-BE49-F238E27FC236}">
                <a16:creationId xmlns:a16="http://schemas.microsoft.com/office/drawing/2014/main" id="{B67911EB-BD20-D6CA-21C4-3663DEBB937D}"/>
              </a:ext>
            </a:extLst>
          </xdr:cNvPr>
          <xdr:cNvSpPr txBox="1"/>
        </xdr:nvSpPr>
        <xdr:spPr>
          <a:xfrm>
            <a:off x="0" y="3230062"/>
            <a:ext cx="2055495" cy="356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Move Management</a:t>
            </a:r>
          </a:p>
        </xdr:txBody>
      </xdr:sp>
      <xdr:sp macro="" textlink="">
        <xdr:nvSpPr>
          <xdr:cNvPr id="45" name="TextBox 44">
            <a:hlinkClick xmlns:r="http://schemas.openxmlformats.org/officeDocument/2006/relationships" r:id="rId14"/>
            <a:extLst>
              <a:ext uri="{FF2B5EF4-FFF2-40B4-BE49-F238E27FC236}">
                <a16:creationId xmlns:a16="http://schemas.microsoft.com/office/drawing/2014/main" id="{BF503FA8-8A13-F4A7-82C7-5591A5138CB6}"/>
              </a:ext>
            </a:extLst>
          </xdr:cNvPr>
          <xdr:cNvSpPr txBox="1"/>
        </xdr:nvSpPr>
        <xdr:spPr>
          <a:xfrm>
            <a:off x="0" y="2787870"/>
            <a:ext cx="1735455"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FF&amp;E Punch List</a:t>
            </a:r>
          </a:p>
        </xdr:txBody>
      </xdr:sp>
      <xdr:sp macro="" textlink="">
        <xdr:nvSpPr>
          <xdr:cNvPr id="46" name="TextBox 45">
            <a:hlinkClick xmlns:r="http://schemas.openxmlformats.org/officeDocument/2006/relationships" r:id="rId15"/>
            <a:extLst>
              <a:ext uri="{FF2B5EF4-FFF2-40B4-BE49-F238E27FC236}">
                <a16:creationId xmlns:a16="http://schemas.microsoft.com/office/drawing/2014/main" id="{BB4E4E40-E9F6-7523-686B-7F1BA7BCBB9D}"/>
              </a:ext>
            </a:extLst>
          </xdr:cNvPr>
          <xdr:cNvSpPr txBox="1"/>
        </xdr:nvSpPr>
        <xdr:spPr>
          <a:xfrm>
            <a:off x="0" y="2357108"/>
            <a:ext cx="1336542"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Issue Log</a:t>
            </a:r>
          </a:p>
        </xdr:txBody>
      </xdr:sp>
      <xdr:sp macro="" textlink="">
        <xdr:nvSpPr>
          <xdr:cNvPr id="48" name="TextBox 47">
            <a:hlinkClick xmlns:r="http://schemas.openxmlformats.org/officeDocument/2006/relationships" r:id="rId16"/>
            <a:extLst>
              <a:ext uri="{FF2B5EF4-FFF2-40B4-BE49-F238E27FC236}">
                <a16:creationId xmlns:a16="http://schemas.microsoft.com/office/drawing/2014/main" id="{54681261-A805-6016-C065-798689589448}"/>
              </a:ext>
            </a:extLst>
          </xdr:cNvPr>
          <xdr:cNvSpPr txBox="1"/>
        </xdr:nvSpPr>
        <xdr:spPr>
          <a:xfrm>
            <a:off x="0" y="1903491"/>
            <a:ext cx="1733549"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Master FF&amp;E List</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170</xdr:row>
      <xdr:rowOff>203200</xdr:rowOff>
    </xdr:from>
    <xdr:to>
      <xdr:col>4</xdr:col>
      <xdr:colOff>98425</xdr:colOff>
      <xdr:row>29856</xdr:row>
      <xdr:rowOff>154331</xdr:rowOff>
    </xdr:to>
    <xdr:sp macro="" textlink="">
      <xdr:nvSpPr>
        <xdr:cNvPr id="23" name="Rectangle 22">
          <a:extLst>
            <a:ext uri="{FF2B5EF4-FFF2-40B4-BE49-F238E27FC236}">
              <a16:creationId xmlns:a16="http://schemas.microsoft.com/office/drawing/2014/main" id="{7699E45E-0A37-4D62-A6FC-D607B690B756}"/>
            </a:ext>
          </a:extLst>
        </xdr:cNvPr>
        <xdr:cNvSpPr/>
      </xdr:nvSpPr>
      <xdr:spPr>
        <a:xfrm>
          <a:off x="0" y="61995050"/>
          <a:ext cx="2546350" cy="5589426025"/>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clientData/>
  </xdr:twoCellAnchor>
  <xdr:twoCellAnchor editAs="absolute">
    <xdr:from>
      <xdr:col>0</xdr:col>
      <xdr:colOff>0</xdr:colOff>
      <xdr:row>0</xdr:row>
      <xdr:rowOff>0</xdr:rowOff>
    </xdr:from>
    <xdr:to>
      <xdr:col>52</xdr:col>
      <xdr:colOff>3528059</xdr:colOff>
      <xdr:row>88</xdr:row>
      <xdr:rowOff>279218</xdr:rowOff>
    </xdr:to>
    <xdr:grpSp>
      <xdr:nvGrpSpPr>
        <xdr:cNvPr id="32" name="Group 31">
          <a:extLst>
            <a:ext uri="{FF2B5EF4-FFF2-40B4-BE49-F238E27FC236}">
              <a16:creationId xmlns:a16="http://schemas.microsoft.com/office/drawing/2014/main" id="{B41AFE9F-406F-B420-98D3-098709DBE19A}"/>
            </a:ext>
          </a:extLst>
        </xdr:cNvPr>
        <xdr:cNvGrpSpPr/>
      </xdr:nvGrpSpPr>
      <xdr:grpSpPr>
        <a:xfrm>
          <a:off x="0" y="0"/>
          <a:ext cx="82286202" cy="32156218"/>
          <a:chOff x="0" y="0"/>
          <a:chExt cx="80960243" cy="31344053"/>
        </a:xfrm>
      </xdr:grpSpPr>
      <xdr:sp macro="" textlink="">
        <xdr:nvSpPr>
          <xdr:cNvPr id="24" name="Rectangle 23">
            <a:extLst>
              <a:ext uri="{FF2B5EF4-FFF2-40B4-BE49-F238E27FC236}">
                <a16:creationId xmlns:a16="http://schemas.microsoft.com/office/drawing/2014/main" id="{BAC8919D-725C-4EA7-9442-C1B61BB0BC54}"/>
              </a:ext>
            </a:extLst>
          </xdr:cNvPr>
          <xdr:cNvSpPr/>
        </xdr:nvSpPr>
        <xdr:spPr>
          <a:xfrm>
            <a:off x="37288469" y="17147"/>
            <a:ext cx="43671774" cy="723409"/>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 name="Picture 2">
            <a:extLst>
              <a:ext uri="{FF2B5EF4-FFF2-40B4-BE49-F238E27FC236}">
                <a16:creationId xmlns:a16="http://schemas.microsoft.com/office/drawing/2014/main" id="{D3C4E618-DA75-4472-B622-2F0650597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820931" y="136538"/>
            <a:ext cx="2052383" cy="77054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7" name="Rectangle 6">
            <a:extLst>
              <a:ext uri="{FF2B5EF4-FFF2-40B4-BE49-F238E27FC236}">
                <a16:creationId xmlns:a16="http://schemas.microsoft.com/office/drawing/2014/main" id="{5FC3DE30-B399-F3E4-24F7-DF8B2BC03C79}"/>
              </a:ext>
            </a:extLst>
          </xdr:cNvPr>
          <xdr:cNvSpPr/>
        </xdr:nvSpPr>
        <xdr:spPr>
          <a:xfrm>
            <a:off x="0" y="0"/>
            <a:ext cx="2689828" cy="31344053"/>
          </a:xfrm>
          <a:prstGeom prst="rect">
            <a:avLst/>
          </a:prstGeom>
          <a:gradFill>
            <a:gsLst>
              <a:gs pos="73000">
                <a:srgbClr val="507687"/>
              </a:gs>
              <a:gs pos="88000">
                <a:srgbClr val="ACBCC3"/>
              </a:gs>
              <a:gs pos="97000">
                <a:srgbClr val="EEEEEE"/>
              </a:gs>
              <a:gs pos="71000">
                <a:srgbClr val="384B70"/>
              </a:gs>
            </a:gsLst>
            <a:lin ang="162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DA7A2648-A88B-5B8F-CB45-4781F7F5948D}"/>
              </a:ext>
            </a:extLst>
          </xdr:cNvPr>
          <xdr:cNvSpPr>
            <a:spLocks noChangeAspect="1"/>
          </xdr:cNvSpPr>
        </xdr:nvSpPr>
        <xdr:spPr>
          <a:xfrm>
            <a:off x="2494806" y="0"/>
            <a:ext cx="15558709" cy="747413"/>
          </a:xfrm>
          <a:prstGeom prst="rect">
            <a:avLst/>
          </a:prstGeom>
          <a:gradFill flip="none" rotWithShape="1">
            <a:gsLst>
              <a:gs pos="38000">
                <a:srgbClr val="507687"/>
              </a:gs>
              <a:gs pos="90000">
                <a:srgbClr val="EEEEEE"/>
              </a:gs>
              <a:gs pos="15000">
                <a:srgbClr val="384B70"/>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n-US" sz="1100"/>
          </a:p>
        </xdr:txBody>
      </xdr:sp>
      <xdr:sp macro="" textlink="Settings!B2">
        <xdr:nvSpPr>
          <xdr:cNvPr id="11" name="TextBox 10">
            <a:extLst>
              <a:ext uri="{FF2B5EF4-FFF2-40B4-BE49-F238E27FC236}">
                <a16:creationId xmlns:a16="http://schemas.microsoft.com/office/drawing/2014/main" id="{DCEB9386-C2BF-1AAF-CBE0-057227DF8CC3}"/>
              </a:ext>
            </a:extLst>
          </xdr:cNvPr>
          <xdr:cNvSpPr txBox="1">
            <a:spLocks noChangeAspect="1"/>
          </xdr:cNvSpPr>
        </xdr:nvSpPr>
        <xdr:spPr>
          <a:xfrm>
            <a:off x="4577763" y="129999"/>
            <a:ext cx="8357611" cy="75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ctr"/>
            <a:fld id="{425452C1-1702-482A-92D0-BB535ED7383A}" type="TxLink">
              <a:rPr lang="en-US" sz="2000" b="1" i="0" u="none" strike="noStrike">
                <a:ln>
                  <a:noFill/>
                </a:ln>
                <a:solidFill>
                  <a:srgbClr val="222B35"/>
                </a:solidFill>
                <a:latin typeface="Arial"/>
                <a:cs typeface="Arial"/>
              </a:rPr>
              <a:pPr algn="ctr"/>
              <a:t>San Diego Community College District: 
SDCCD 1450 Frazee Project Master FF&amp;E List</a:t>
            </a:fld>
            <a:endParaRPr lang="en-US" sz="1100" b="0" i="0" u="none" strike="noStrike">
              <a:ln>
                <a:noFill/>
              </a:ln>
              <a:solidFill>
                <a:schemeClr val="tx2">
                  <a:lumMod val="50000"/>
                </a:schemeClr>
              </a:solidFill>
              <a:latin typeface="Arial" panose="020B0604020202020204" pitchFamily="34" charset="0"/>
              <a:cs typeface="Arial" panose="020B0604020202020204" pitchFamily="34" charset="0"/>
            </a:endParaRPr>
          </a:p>
        </xdr:txBody>
      </xdr:sp>
      <xdr:sp macro="" textlink="">
        <xdr:nvSpPr>
          <xdr:cNvPr id="22" name="Rectangle 21">
            <a:extLst>
              <a:ext uri="{FF2B5EF4-FFF2-40B4-BE49-F238E27FC236}">
                <a16:creationId xmlns:a16="http://schemas.microsoft.com/office/drawing/2014/main" id="{721C62EC-920E-A8B2-9500-171946A801C7}"/>
              </a:ext>
            </a:extLst>
          </xdr:cNvPr>
          <xdr:cNvSpPr/>
        </xdr:nvSpPr>
        <xdr:spPr>
          <a:xfrm>
            <a:off x="16218396" y="1"/>
            <a:ext cx="22128891" cy="740556"/>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 name="Picture 7">
            <a:extLst>
              <a:ext uri="{FF2B5EF4-FFF2-40B4-BE49-F238E27FC236}">
                <a16:creationId xmlns:a16="http://schemas.microsoft.com/office/drawing/2014/main" id="{CB9828E8-FC33-48BB-BF12-79ECC84F78D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055" y="257206"/>
            <a:ext cx="2591503" cy="459108"/>
          </a:xfrm>
          <a:prstGeom prst="rect">
            <a:avLst/>
          </a:prstGeom>
        </xdr:spPr>
      </xdr:pic>
      <xdr:sp macro="" textlink="">
        <xdr:nvSpPr>
          <xdr:cNvPr id="10" name="Rectangle: Rounded Corners 9">
            <a:extLst>
              <a:ext uri="{FF2B5EF4-FFF2-40B4-BE49-F238E27FC236}">
                <a16:creationId xmlns:a16="http://schemas.microsoft.com/office/drawing/2014/main" id="{BBA0CE8B-1857-436F-BED4-ADCC15B353C2}"/>
              </a:ext>
            </a:extLst>
          </xdr:cNvPr>
          <xdr:cNvSpPr/>
        </xdr:nvSpPr>
        <xdr:spPr>
          <a:xfrm>
            <a:off x="19817" y="1933936"/>
            <a:ext cx="2553838" cy="361181"/>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TextBox 11">
            <a:hlinkClick xmlns:r="http://schemas.openxmlformats.org/officeDocument/2006/relationships" r:id="rId3"/>
            <a:extLst>
              <a:ext uri="{FF2B5EF4-FFF2-40B4-BE49-F238E27FC236}">
                <a16:creationId xmlns:a16="http://schemas.microsoft.com/office/drawing/2014/main" id="{C8F87354-6ACD-408F-B6E2-F465490A7CAB}"/>
              </a:ext>
            </a:extLst>
          </xdr:cNvPr>
          <xdr:cNvSpPr txBox="1"/>
        </xdr:nvSpPr>
        <xdr:spPr>
          <a:xfrm>
            <a:off x="0" y="1515172"/>
            <a:ext cx="1334637" cy="359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Dashboard</a:t>
            </a:r>
          </a:p>
        </xdr:txBody>
      </xdr:sp>
      <xdr:sp macro="" textlink="">
        <xdr:nvSpPr>
          <xdr:cNvPr id="21" name="Rectangle: Rounded Corners 20">
            <a:extLst>
              <a:ext uri="{FF2B5EF4-FFF2-40B4-BE49-F238E27FC236}">
                <a16:creationId xmlns:a16="http://schemas.microsoft.com/office/drawing/2014/main" id="{42C789B9-404C-4587-A22B-D4C70036A01C}"/>
              </a:ext>
            </a:extLst>
          </xdr:cNvPr>
          <xdr:cNvSpPr/>
        </xdr:nvSpPr>
        <xdr:spPr>
          <a:xfrm>
            <a:off x="2541432" y="1178352"/>
            <a:ext cx="155775" cy="5143834"/>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hlinkClick xmlns:r="http://schemas.openxmlformats.org/officeDocument/2006/relationships" r:id="rId4"/>
            <a:extLst>
              <a:ext uri="{FF2B5EF4-FFF2-40B4-BE49-F238E27FC236}">
                <a16:creationId xmlns:a16="http://schemas.microsoft.com/office/drawing/2014/main" id="{7AAD6FCA-9019-4891-AE03-C510BCEFEAC5}"/>
              </a:ext>
            </a:extLst>
          </xdr:cNvPr>
          <xdr:cNvSpPr txBox="1"/>
        </xdr:nvSpPr>
        <xdr:spPr>
          <a:xfrm>
            <a:off x="0" y="5492963"/>
            <a:ext cx="1628775"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Budget &amp; Costs</a:t>
            </a:r>
          </a:p>
        </xdr:txBody>
      </xdr:sp>
      <xdr:sp macro="" textlink="">
        <xdr:nvSpPr>
          <xdr:cNvPr id="6" name="TextBox 5">
            <a:hlinkClick xmlns:r="http://schemas.openxmlformats.org/officeDocument/2006/relationships" r:id="rId5"/>
            <a:extLst>
              <a:ext uri="{FF2B5EF4-FFF2-40B4-BE49-F238E27FC236}">
                <a16:creationId xmlns:a16="http://schemas.microsoft.com/office/drawing/2014/main" id="{FF5FB444-E93D-4B30-B285-B0FBA9BD8546}"/>
              </a:ext>
            </a:extLst>
          </xdr:cNvPr>
          <xdr:cNvSpPr txBox="1"/>
        </xdr:nvSpPr>
        <xdr:spPr>
          <a:xfrm>
            <a:off x="0" y="5056486"/>
            <a:ext cx="1336542" cy="348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Schedule</a:t>
            </a:r>
          </a:p>
        </xdr:txBody>
      </xdr:sp>
      <xdr:sp macro="" textlink="">
        <xdr:nvSpPr>
          <xdr:cNvPr id="25" name="TextBox 24">
            <a:hlinkClick xmlns:r="http://schemas.openxmlformats.org/officeDocument/2006/relationships" r:id="rId6"/>
            <a:extLst>
              <a:ext uri="{FF2B5EF4-FFF2-40B4-BE49-F238E27FC236}">
                <a16:creationId xmlns:a16="http://schemas.microsoft.com/office/drawing/2014/main" id="{CC517DBA-1134-4DB9-A58B-2CF94A6BF365}"/>
              </a:ext>
            </a:extLst>
          </xdr:cNvPr>
          <xdr:cNvSpPr txBox="1"/>
        </xdr:nvSpPr>
        <xdr:spPr>
          <a:xfrm>
            <a:off x="0" y="4602868"/>
            <a:ext cx="2449830"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 Punch List</a:t>
            </a:r>
          </a:p>
        </xdr:txBody>
      </xdr:sp>
      <xdr:sp macro="" textlink="">
        <xdr:nvSpPr>
          <xdr:cNvPr id="26" name="TextBox 25">
            <a:hlinkClick xmlns:r="http://schemas.openxmlformats.org/officeDocument/2006/relationships" r:id="rId7"/>
            <a:extLst>
              <a:ext uri="{FF2B5EF4-FFF2-40B4-BE49-F238E27FC236}">
                <a16:creationId xmlns:a16="http://schemas.microsoft.com/office/drawing/2014/main" id="{9F684684-095C-4A29-9400-4088FA4CEB1A}"/>
              </a:ext>
            </a:extLst>
          </xdr:cNvPr>
          <xdr:cNvSpPr txBox="1"/>
        </xdr:nvSpPr>
        <xdr:spPr>
          <a:xfrm>
            <a:off x="0" y="4164489"/>
            <a:ext cx="2110740" cy="354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Tenant Improvement</a:t>
            </a:r>
          </a:p>
        </xdr:txBody>
      </xdr:sp>
      <xdr:sp macro="" textlink="">
        <xdr:nvSpPr>
          <xdr:cNvPr id="27" name="TextBox 26">
            <a:hlinkClick xmlns:r="http://schemas.openxmlformats.org/officeDocument/2006/relationships" r:id="rId8"/>
            <a:extLst>
              <a:ext uri="{FF2B5EF4-FFF2-40B4-BE49-F238E27FC236}">
                <a16:creationId xmlns:a16="http://schemas.microsoft.com/office/drawing/2014/main" id="{13DBF241-6182-455A-8031-CA0C2E778856}"/>
              </a:ext>
            </a:extLst>
          </xdr:cNvPr>
          <xdr:cNvSpPr txBox="1"/>
        </xdr:nvSpPr>
        <xdr:spPr>
          <a:xfrm>
            <a:off x="0" y="3726112"/>
            <a:ext cx="1597471" cy="35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a:t>
            </a:r>
          </a:p>
        </xdr:txBody>
      </xdr:sp>
      <xdr:sp macro="" textlink="">
        <xdr:nvSpPr>
          <xdr:cNvPr id="28" name="TextBox 27">
            <a:hlinkClick xmlns:r="http://schemas.openxmlformats.org/officeDocument/2006/relationships" r:id="rId9"/>
            <a:extLst>
              <a:ext uri="{FF2B5EF4-FFF2-40B4-BE49-F238E27FC236}">
                <a16:creationId xmlns:a16="http://schemas.microsoft.com/office/drawing/2014/main" id="{4ED7D51F-59B6-4041-80E9-D2C64CDB5007}"/>
              </a:ext>
            </a:extLst>
          </xdr:cNvPr>
          <xdr:cNvSpPr txBox="1"/>
        </xdr:nvSpPr>
        <xdr:spPr>
          <a:xfrm>
            <a:off x="0" y="3289639"/>
            <a:ext cx="2055495" cy="356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Move Management</a:t>
            </a:r>
          </a:p>
        </xdr:txBody>
      </xdr:sp>
      <xdr:sp macro="" textlink="">
        <xdr:nvSpPr>
          <xdr:cNvPr id="29" name="TextBox 28">
            <a:hlinkClick xmlns:r="http://schemas.openxmlformats.org/officeDocument/2006/relationships" r:id="rId10"/>
            <a:extLst>
              <a:ext uri="{FF2B5EF4-FFF2-40B4-BE49-F238E27FC236}">
                <a16:creationId xmlns:a16="http://schemas.microsoft.com/office/drawing/2014/main" id="{A7DFBB20-16D1-4BD0-A98F-71A770C6C64C}"/>
              </a:ext>
            </a:extLst>
          </xdr:cNvPr>
          <xdr:cNvSpPr txBox="1"/>
        </xdr:nvSpPr>
        <xdr:spPr>
          <a:xfrm>
            <a:off x="0" y="2847452"/>
            <a:ext cx="1735455"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FF&amp;E Punch List</a:t>
            </a:r>
          </a:p>
        </xdr:txBody>
      </xdr:sp>
      <xdr:sp macro="" textlink="">
        <xdr:nvSpPr>
          <xdr:cNvPr id="30" name="TextBox 29">
            <a:hlinkClick xmlns:r="http://schemas.openxmlformats.org/officeDocument/2006/relationships" r:id="rId11"/>
            <a:extLst>
              <a:ext uri="{FF2B5EF4-FFF2-40B4-BE49-F238E27FC236}">
                <a16:creationId xmlns:a16="http://schemas.microsoft.com/office/drawing/2014/main" id="{E8AECF94-ED66-4C13-BE64-C160908C631F}"/>
              </a:ext>
            </a:extLst>
          </xdr:cNvPr>
          <xdr:cNvSpPr txBox="1"/>
        </xdr:nvSpPr>
        <xdr:spPr>
          <a:xfrm>
            <a:off x="0" y="2416693"/>
            <a:ext cx="1336542"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Issue Log</a:t>
            </a:r>
          </a:p>
        </xdr:txBody>
      </xdr:sp>
      <xdr:sp macro="" textlink="">
        <xdr:nvSpPr>
          <xdr:cNvPr id="31" name="TextBox 30">
            <a:hlinkClick xmlns:r="http://schemas.openxmlformats.org/officeDocument/2006/relationships" r:id="rId12"/>
            <a:extLst>
              <a:ext uri="{FF2B5EF4-FFF2-40B4-BE49-F238E27FC236}">
                <a16:creationId xmlns:a16="http://schemas.microsoft.com/office/drawing/2014/main" id="{8E920690-01C5-4B32-8274-562943B6D23C}"/>
              </a:ext>
            </a:extLst>
          </xdr:cNvPr>
          <xdr:cNvSpPr txBox="1"/>
        </xdr:nvSpPr>
        <xdr:spPr>
          <a:xfrm>
            <a:off x="0" y="1963074"/>
            <a:ext cx="1733548"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bg1"/>
                </a:solidFill>
                <a:latin typeface="Arial" panose="020B0604020202020204" pitchFamily="34" charset="0"/>
                <a:cs typeface="Arial" panose="020B0604020202020204" pitchFamily="34" charset="0"/>
              </a:rPr>
              <a:t>Master FF&amp;E List</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19050</xdr:colOff>
      <xdr:row>478</xdr:row>
      <xdr:rowOff>16722</xdr:rowOff>
    </xdr:from>
    <xdr:to>
      <xdr:col>4</xdr:col>
      <xdr:colOff>19050</xdr:colOff>
      <xdr:row>30959</xdr:row>
      <xdr:rowOff>54001</xdr:rowOff>
    </xdr:to>
    <xdr:sp macro="" textlink="">
      <xdr:nvSpPr>
        <xdr:cNvPr id="4" name="Rectangle 3">
          <a:extLst>
            <a:ext uri="{FF2B5EF4-FFF2-40B4-BE49-F238E27FC236}">
              <a16:creationId xmlns:a16="http://schemas.microsoft.com/office/drawing/2014/main" id="{07B9802A-E041-489A-B8BD-0B18A338D622}"/>
            </a:ext>
          </a:extLst>
        </xdr:cNvPr>
        <xdr:cNvSpPr/>
      </xdr:nvSpPr>
      <xdr:spPr>
        <a:xfrm>
          <a:off x="9525" y="94821375"/>
          <a:ext cx="2438400" cy="5806646825"/>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clientData/>
  </xdr:twoCellAnchor>
  <xdr:twoCellAnchor editAs="absolute">
    <xdr:from>
      <xdr:col>0</xdr:col>
      <xdr:colOff>0</xdr:colOff>
      <xdr:row>0</xdr:row>
      <xdr:rowOff>0</xdr:rowOff>
    </xdr:from>
    <xdr:to>
      <xdr:col>34</xdr:col>
      <xdr:colOff>59055</xdr:colOff>
      <xdr:row>154</xdr:row>
      <xdr:rowOff>92105</xdr:rowOff>
    </xdr:to>
    <xdr:grpSp>
      <xdr:nvGrpSpPr>
        <xdr:cNvPr id="2" name="Group 1">
          <a:extLst>
            <a:ext uri="{FF2B5EF4-FFF2-40B4-BE49-F238E27FC236}">
              <a16:creationId xmlns:a16="http://schemas.microsoft.com/office/drawing/2014/main" id="{04092EE4-BFC0-463F-8631-947BDDC8C446}"/>
            </a:ext>
          </a:extLst>
        </xdr:cNvPr>
        <xdr:cNvGrpSpPr/>
      </xdr:nvGrpSpPr>
      <xdr:grpSpPr>
        <a:xfrm>
          <a:off x="0" y="0"/>
          <a:ext cx="44410277" cy="31736272"/>
          <a:chOff x="0" y="0"/>
          <a:chExt cx="43668537" cy="31344053"/>
        </a:xfrm>
      </xdr:grpSpPr>
      <xdr:sp macro="" textlink="">
        <xdr:nvSpPr>
          <xdr:cNvPr id="28" name="Rectangle 27">
            <a:extLst>
              <a:ext uri="{FF2B5EF4-FFF2-40B4-BE49-F238E27FC236}">
                <a16:creationId xmlns:a16="http://schemas.microsoft.com/office/drawing/2014/main" id="{E89BCC9C-E434-9C0B-CDAD-337455D0143F}"/>
              </a:ext>
            </a:extLst>
          </xdr:cNvPr>
          <xdr:cNvSpPr/>
        </xdr:nvSpPr>
        <xdr:spPr>
          <a:xfrm>
            <a:off x="16218396" y="0"/>
            <a:ext cx="27450141" cy="1085982"/>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4" name="Picture 23">
            <a:extLst>
              <a:ext uri="{FF2B5EF4-FFF2-40B4-BE49-F238E27FC236}">
                <a16:creationId xmlns:a16="http://schemas.microsoft.com/office/drawing/2014/main" id="{9097DC74-A32F-C166-B884-0552CEDC99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546820" y="136538"/>
            <a:ext cx="2052383" cy="77054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Rectangle 24">
            <a:extLst>
              <a:ext uri="{FF2B5EF4-FFF2-40B4-BE49-F238E27FC236}">
                <a16:creationId xmlns:a16="http://schemas.microsoft.com/office/drawing/2014/main" id="{A9F0CFE8-21EE-4B09-50BB-6DAB2E7BAF59}"/>
              </a:ext>
            </a:extLst>
          </xdr:cNvPr>
          <xdr:cNvSpPr/>
        </xdr:nvSpPr>
        <xdr:spPr>
          <a:xfrm>
            <a:off x="0" y="0"/>
            <a:ext cx="2689828" cy="31344053"/>
          </a:xfrm>
          <a:prstGeom prst="rect">
            <a:avLst/>
          </a:prstGeom>
          <a:gradFill>
            <a:gsLst>
              <a:gs pos="73000">
                <a:srgbClr val="507687"/>
              </a:gs>
              <a:gs pos="88000">
                <a:srgbClr val="ACBCC3"/>
              </a:gs>
              <a:gs pos="97000">
                <a:srgbClr val="EEEEEE"/>
              </a:gs>
              <a:gs pos="71000">
                <a:srgbClr val="384B70"/>
              </a:gs>
            </a:gsLst>
            <a:lin ang="162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Rectangle 25">
            <a:extLst>
              <a:ext uri="{FF2B5EF4-FFF2-40B4-BE49-F238E27FC236}">
                <a16:creationId xmlns:a16="http://schemas.microsoft.com/office/drawing/2014/main" id="{5FEDE6EE-B0AA-3FA1-6DF6-15FA36A53D21}"/>
              </a:ext>
            </a:extLst>
          </xdr:cNvPr>
          <xdr:cNvSpPr>
            <a:spLocks noChangeAspect="1"/>
          </xdr:cNvSpPr>
        </xdr:nvSpPr>
        <xdr:spPr>
          <a:xfrm>
            <a:off x="2494806" y="0"/>
            <a:ext cx="15558710" cy="1085982"/>
          </a:xfrm>
          <a:prstGeom prst="rect">
            <a:avLst/>
          </a:prstGeom>
          <a:gradFill flip="none" rotWithShape="1">
            <a:gsLst>
              <a:gs pos="38000">
                <a:srgbClr val="507687"/>
              </a:gs>
              <a:gs pos="90000">
                <a:srgbClr val="EEEEEE"/>
              </a:gs>
              <a:gs pos="15000">
                <a:srgbClr val="384B70"/>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n-US" sz="1100"/>
          </a:p>
        </xdr:txBody>
      </xdr:sp>
      <xdr:sp macro="" textlink="Settings!B3">
        <xdr:nvSpPr>
          <xdr:cNvPr id="27" name="TextBox 26">
            <a:extLst>
              <a:ext uri="{FF2B5EF4-FFF2-40B4-BE49-F238E27FC236}">
                <a16:creationId xmlns:a16="http://schemas.microsoft.com/office/drawing/2014/main" id="{E9430A57-39D5-CED0-E11B-D756EB64AF1C}"/>
              </a:ext>
            </a:extLst>
          </xdr:cNvPr>
          <xdr:cNvSpPr txBox="1">
            <a:spLocks noChangeAspect="1"/>
          </xdr:cNvSpPr>
        </xdr:nvSpPr>
        <xdr:spPr>
          <a:xfrm>
            <a:off x="4577763" y="129999"/>
            <a:ext cx="8357611" cy="75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ctr"/>
            <a:fld id="{8F560988-BDB6-4971-AFD3-E865EFC379B4}" type="TxLink">
              <a:rPr lang="en-US" sz="2000" b="1" i="0" u="none" strike="noStrike">
                <a:ln>
                  <a:noFill/>
                </a:ln>
                <a:solidFill>
                  <a:srgbClr val="222B35"/>
                </a:solidFill>
                <a:latin typeface="Arial"/>
                <a:cs typeface="Arial"/>
              </a:rPr>
              <a:pPr algn="ctr"/>
              <a:t>San Diego Community College District: 
SDCCD 1450 Frazee Project Item Issue Log</a:t>
            </a:fld>
            <a:endParaRPr lang="en-US" sz="1100" b="0" i="0" u="none" strike="noStrike">
              <a:ln>
                <a:noFill/>
              </a:ln>
              <a:solidFill>
                <a:schemeClr val="tx2">
                  <a:lumMod val="50000"/>
                </a:schemeClr>
              </a:solidFill>
              <a:latin typeface="Arial" panose="020B0604020202020204" pitchFamily="34" charset="0"/>
              <a:cs typeface="Arial" panose="020B0604020202020204" pitchFamily="34" charset="0"/>
            </a:endParaRPr>
          </a:p>
        </xdr:txBody>
      </xdr:sp>
      <xdr:pic>
        <xdr:nvPicPr>
          <xdr:cNvPr id="29" name="Picture 28">
            <a:extLst>
              <a:ext uri="{FF2B5EF4-FFF2-40B4-BE49-F238E27FC236}">
                <a16:creationId xmlns:a16="http://schemas.microsoft.com/office/drawing/2014/main" id="{A0730BBF-9A1F-FA2A-8DB2-53CEAA12F1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055" y="257206"/>
            <a:ext cx="2591503" cy="459108"/>
          </a:xfrm>
          <a:prstGeom prst="rect">
            <a:avLst/>
          </a:prstGeom>
        </xdr:spPr>
      </xdr:pic>
      <xdr:sp macro="" textlink="">
        <xdr:nvSpPr>
          <xdr:cNvPr id="30" name="Rectangle: Rounded Corners 29">
            <a:extLst>
              <a:ext uri="{FF2B5EF4-FFF2-40B4-BE49-F238E27FC236}">
                <a16:creationId xmlns:a16="http://schemas.microsoft.com/office/drawing/2014/main" id="{6CAFC89E-7A0E-BCD9-5D00-46FB842C4F7E}"/>
              </a:ext>
            </a:extLst>
          </xdr:cNvPr>
          <xdr:cNvSpPr/>
        </xdr:nvSpPr>
        <xdr:spPr>
          <a:xfrm>
            <a:off x="19817" y="2780719"/>
            <a:ext cx="2553838" cy="361181"/>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TextBox 30">
            <a:hlinkClick xmlns:r="http://schemas.openxmlformats.org/officeDocument/2006/relationships" r:id="rId3"/>
            <a:extLst>
              <a:ext uri="{FF2B5EF4-FFF2-40B4-BE49-F238E27FC236}">
                <a16:creationId xmlns:a16="http://schemas.microsoft.com/office/drawing/2014/main" id="{49E0E761-1809-D689-6750-D88EEC7799F2}"/>
              </a:ext>
            </a:extLst>
          </xdr:cNvPr>
          <xdr:cNvSpPr txBox="1"/>
        </xdr:nvSpPr>
        <xdr:spPr>
          <a:xfrm>
            <a:off x="0" y="1895398"/>
            <a:ext cx="1334637" cy="359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Dashboard</a:t>
            </a:r>
          </a:p>
        </xdr:txBody>
      </xdr:sp>
      <xdr:sp macro="" textlink="">
        <xdr:nvSpPr>
          <xdr:cNvPr id="32" name="Rectangle: Rounded Corners 31">
            <a:extLst>
              <a:ext uri="{FF2B5EF4-FFF2-40B4-BE49-F238E27FC236}">
                <a16:creationId xmlns:a16="http://schemas.microsoft.com/office/drawing/2014/main" id="{56503CEE-FC75-2EAA-9189-F8F43A5F2C53}"/>
              </a:ext>
            </a:extLst>
          </xdr:cNvPr>
          <xdr:cNvSpPr/>
        </xdr:nvSpPr>
        <xdr:spPr>
          <a:xfrm>
            <a:off x="2530565" y="1539537"/>
            <a:ext cx="155775" cy="5143834"/>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TextBox 32">
            <a:hlinkClick xmlns:r="http://schemas.openxmlformats.org/officeDocument/2006/relationships" r:id="rId4"/>
            <a:extLst>
              <a:ext uri="{FF2B5EF4-FFF2-40B4-BE49-F238E27FC236}">
                <a16:creationId xmlns:a16="http://schemas.microsoft.com/office/drawing/2014/main" id="{B28399A1-8CF0-A13B-4DAC-70C9B8D8573B}"/>
              </a:ext>
            </a:extLst>
          </xdr:cNvPr>
          <xdr:cNvSpPr txBox="1"/>
        </xdr:nvSpPr>
        <xdr:spPr>
          <a:xfrm>
            <a:off x="0" y="5873191"/>
            <a:ext cx="1628775"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Budget &amp; Costs</a:t>
            </a:r>
          </a:p>
        </xdr:txBody>
      </xdr:sp>
      <xdr:sp macro="" textlink="">
        <xdr:nvSpPr>
          <xdr:cNvPr id="34" name="TextBox 33">
            <a:hlinkClick xmlns:r="http://schemas.openxmlformats.org/officeDocument/2006/relationships" r:id="rId5"/>
            <a:extLst>
              <a:ext uri="{FF2B5EF4-FFF2-40B4-BE49-F238E27FC236}">
                <a16:creationId xmlns:a16="http://schemas.microsoft.com/office/drawing/2014/main" id="{B83A8ED3-F9A4-A6EB-08C7-0400083C0D6B}"/>
              </a:ext>
            </a:extLst>
          </xdr:cNvPr>
          <xdr:cNvSpPr txBox="1"/>
        </xdr:nvSpPr>
        <xdr:spPr>
          <a:xfrm>
            <a:off x="0" y="5436715"/>
            <a:ext cx="1336542" cy="348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Schedule</a:t>
            </a:r>
          </a:p>
        </xdr:txBody>
      </xdr:sp>
      <xdr:sp macro="" textlink="">
        <xdr:nvSpPr>
          <xdr:cNvPr id="35" name="TextBox 34">
            <a:hlinkClick xmlns:r="http://schemas.openxmlformats.org/officeDocument/2006/relationships" r:id="rId6"/>
            <a:extLst>
              <a:ext uri="{FF2B5EF4-FFF2-40B4-BE49-F238E27FC236}">
                <a16:creationId xmlns:a16="http://schemas.microsoft.com/office/drawing/2014/main" id="{B3789770-D166-267A-08AA-3DD53A184BC2}"/>
              </a:ext>
            </a:extLst>
          </xdr:cNvPr>
          <xdr:cNvSpPr txBox="1"/>
        </xdr:nvSpPr>
        <xdr:spPr>
          <a:xfrm>
            <a:off x="0" y="4983096"/>
            <a:ext cx="2449830"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 Punch List</a:t>
            </a:r>
          </a:p>
        </xdr:txBody>
      </xdr:sp>
      <xdr:sp macro="" textlink="">
        <xdr:nvSpPr>
          <xdr:cNvPr id="36" name="TextBox 35">
            <a:hlinkClick xmlns:r="http://schemas.openxmlformats.org/officeDocument/2006/relationships" r:id="rId7"/>
            <a:extLst>
              <a:ext uri="{FF2B5EF4-FFF2-40B4-BE49-F238E27FC236}">
                <a16:creationId xmlns:a16="http://schemas.microsoft.com/office/drawing/2014/main" id="{92D76F38-32D0-544A-E048-59FD042BA820}"/>
              </a:ext>
            </a:extLst>
          </xdr:cNvPr>
          <xdr:cNvSpPr txBox="1"/>
        </xdr:nvSpPr>
        <xdr:spPr>
          <a:xfrm>
            <a:off x="0" y="4544719"/>
            <a:ext cx="2110740" cy="354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Tenant Improvement</a:t>
            </a:r>
          </a:p>
        </xdr:txBody>
      </xdr:sp>
      <xdr:sp macro="" textlink="">
        <xdr:nvSpPr>
          <xdr:cNvPr id="37" name="TextBox 36">
            <a:hlinkClick xmlns:r="http://schemas.openxmlformats.org/officeDocument/2006/relationships" r:id="rId8"/>
            <a:extLst>
              <a:ext uri="{FF2B5EF4-FFF2-40B4-BE49-F238E27FC236}">
                <a16:creationId xmlns:a16="http://schemas.microsoft.com/office/drawing/2014/main" id="{28EAA381-41BE-1EB7-9591-BF9B04A97D17}"/>
              </a:ext>
            </a:extLst>
          </xdr:cNvPr>
          <xdr:cNvSpPr txBox="1"/>
        </xdr:nvSpPr>
        <xdr:spPr>
          <a:xfrm>
            <a:off x="0" y="4106340"/>
            <a:ext cx="1336542" cy="35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a:t>
            </a:r>
          </a:p>
        </xdr:txBody>
      </xdr:sp>
      <xdr:sp macro="" textlink="">
        <xdr:nvSpPr>
          <xdr:cNvPr id="38" name="TextBox 37">
            <a:hlinkClick xmlns:r="http://schemas.openxmlformats.org/officeDocument/2006/relationships" r:id="rId9"/>
            <a:extLst>
              <a:ext uri="{FF2B5EF4-FFF2-40B4-BE49-F238E27FC236}">
                <a16:creationId xmlns:a16="http://schemas.microsoft.com/office/drawing/2014/main" id="{237D756C-3631-ACD2-9BF6-E77E298F924B}"/>
              </a:ext>
            </a:extLst>
          </xdr:cNvPr>
          <xdr:cNvSpPr txBox="1"/>
        </xdr:nvSpPr>
        <xdr:spPr>
          <a:xfrm>
            <a:off x="0" y="3669866"/>
            <a:ext cx="2055495" cy="356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Move Management</a:t>
            </a:r>
          </a:p>
        </xdr:txBody>
      </xdr:sp>
      <xdr:sp macro="" textlink="">
        <xdr:nvSpPr>
          <xdr:cNvPr id="39" name="TextBox 38">
            <a:hlinkClick xmlns:r="http://schemas.openxmlformats.org/officeDocument/2006/relationships" r:id="rId10"/>
            <a:extLst>
              <a:ext uri="{FF2B5EF4-FFF2-40B4-BE49-F238E27FC236}">
                <a16:creationId xmlns:a16="http://schemas.microsoft.com/office/drawing/2014/main" id="{81A46C22-DB18-A763-3569-BE6005A9F6BC}"/>
              </a:ext>
            </a:extLst>
          </xdr:cNvPr>
          <xdr:cNvSpPr txBox="1"/>
        </xdr:nvSpPr>
        <xdr:spPr>
          <a:xfrm>
            <a:off x="0" y="3227678"/>
            <a:ext cx="1735455"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FF&amp;E Punch List</a:t>
            </a:r>
          </a:p>
        </xdr:txBody>
      </xdr:sp>
      <xdr:sp macro="" textlink="">
        <xdr:nvSpPr>
          <xdr:cNvPr id="40" name="TextBox 39">
            <a:hlinkClick xmlns:r="http://schemas.openxmlformats.org/officeDocument/2006/relationships" r:id="rId11"/>
            <a:extLst>
              <a:ext uri="{FF2B5EF4-FFF2-40B4-BE49-F238E27FC236}">
                <a16:creationId xmlns:a16="http://schemas.microsoft.com/office/drawing/2014/main" id="{AC4D99B4-79BE-D937-CE3C-08673524FF44}"/>
              </a:ext>
            </a:extLst>
          </xdr:cNvPr>
          <xdr:cNvSpPr txBox="1"/>
        </xdr:nvSpPr>
        <xdr:spPr>
          <a:xfrm>
            <a:off x="0" y="2796920"/>
            <a:ext cx="1336542"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bg1"/>
                </a:solidFill>
                <a:latin typeface="Arial" panose="020B0604020202020204" pitchFamily="34" charset="0"/>
                <a:cs typeface="Arial" panose="020B0604020202020204" pitchFamily="34" charset="0"/>
              </a:rPr>
              <a:t>Issue Log</a:t>
            </a:r>
          </a:p>
        </xdr:txBody>
      </xdr:sp>
      <xdr:sp macro="" textlink="">
        <xdr:nvSpPr>
          <xdr:cNvPr id="41" name="TextBox 40">
            <a:hlinkClick xmlns:r="http://schemas.openxmlformats.org/officeDocument/2006/relationships" r:id="rId12"/>
            <a:extLst>
              <a:ext uri="{FF2B5EF4-FFF2-40B4-BE49-F238E27FC236}">
                <a16:creationId xmlns:a16="http://schemas.microsoft.com/office/drawing/2014/main" id="{75CD2E01-8E33-D64F-0CA0-609549378029}"/>
              </a:ext>
            </a:extLst>
          </xdr:cNvPr>
          <xdr:cNvSpPr txBox="1"/>
        </xdr:nvSpPr>
        <xdr:spPr>
          <a:xfrm>
            <a:off x="0" y="2343304"/>
            <a:ext cx="1733549"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Master FF&amp;E List</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xdr:colOff>
      <xdr:row>497</xdr:row>
      <xdr:rowOff>38101</xdr:rowOff>
    </xdr:from>
    <xdr:to>
      <xdr:col>4</xdr:col>
      <xdr:colOff>19050</xdr:colOff>
      <xdr:row>30978</xdr:row>
      <xdr:rowOff>96336</xdr:rowOff>
    </xdr:to>
    <xdr:sp macro="" textlink="">
      <xdr:nvSpPr>
        <xdr:cNvPr id="4" name="Rectangle 3">
          <a:extLst>
            <a:ext uri="{FF2B5EF4-FFF2-40B4-BE49-F238E27FC236}">
              <a16:creationId xmlns:a16="http://schemas.microsoft.com/office/drawing/2014/main" id="{E5DA4CBA-C96F-4012-842C-BF051D1D4E54}"/>
            </a:ext>
          </a:extLst>
        </xdr:cNvPr>
        <xdr:cNvSpPr/>
      </xdr:nvSpPr>
      <xdr:spPr>
        <a:xfrm>
          <a:off x="9525" y="94907101"/>
          <a:ext cx="2438400" cy="5806675400"/>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clientData/>
  </xdr:twoCellAnchor>
  <xdr:twoCellAnchor editAs="absolute">
    <xdr:from>
      <xdr:col>0</xdr:col>
      <xdr:colOff>15240</xdr:colOff>
      <xdr:row>0</xdr:row>
      <xdr:rowOff>0</xdr:rowOff>
    </xdr:from>
    <xdr:to>
      <xdr:col>32</xdr:col>
      <xdr:colOff>0</xdr:colOff>
      <xdr:row>172</xdr:row>
      <xdr:rowOff>39188</xdr:rowOff>
    </xdr:to>
    <xdr:grpSp>
      <xdr:nvGrpSpPr>
        <xdr:cNvPr id="5" name="Group 4">
          <a:extLst>
            <a:ext uri="{FF2B5EF4-FFF2-40B4-BE49-F238E27FC236}">
              <a16:creationId xmlns:a16="http://schemas.microsoft.com/office/drawing/2014/main" id="{727F93DD-08D2-4BDC-98CB-0B049BC61DE7}"/>
            </a:ext>
          </a:extLst>
        </xdr:cNvPr>
        <xdr:cNvGrpSpPr/>
      </xdr:nvGrpSpPr>
      <xdr:grpSpPr>
        <a:xfrm>
          <a:off x="15240" y="0"/>
          <a:ext cx="42866310" cy="31897138"/>
          <a:chOff x="0" y="0"/>
          <a:chExt cx="42030780" cy="31344053"/>
        </a:xfrm>
      </xdr:grpSpPr>
      <xdr:sp macro="" textlink="">
        <xdr:nvSpPr>
          <xdr:cNvPr id="11" name="Rectangle 10">
            <a:extLst>
              <a:ext uri="{FF2B5EF4-FFF2-40B4-BE49-F238E27FC236}">
                <a16:creationId xmlns:a16="http://schemas.microsoft.com/office/drawing/2014/main" id="{9FD8B8B3-D214-9648-ED9B-0037C8EBB2DC}"/>
              </a:ext>
            </a:extLst>
          </xdr:cNvPr>
          <xdr:cNvSpPr/>
        </xdr:nvSpPr>
        <xdr:spPr>
          <a:xfrm>
            <a:off x="16218396" y="0"/>
            <a:ext cx="25812384" cy="1085982"/>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 name="Picture 6">
            <a:extLst>
              <a:ext uri="{FF2B5EF4-FFF2-40B4-BE49-F238E27FC236}">
                <a16:creationId xmlns:a16="http://schemas.microsoft.com/office/drawing/2014/main" id="{18451E8D-49F1-D6C1-092A-D593D1F1DA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905383" y="136538"/>
            <a:ext cx="2052383" cy="77054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8" name="Rectangle 7">
            <a:extLst>
              <a:ext uri="{FF2B5EF4-FFF2-40B4-BE49-F238E27FC236}">
                <a16:creationId xmlns:a16="http://schemas.microsoft.com/office/drawing/2014/main" id="{4B8E759C-95CA-FCF7-DB3C-691AF02BE83F}"/>
              </a:ext>
            </a:extLst>
          </xdr:cNvPr>
          <xdr:cNvSpPr/>
        </xdr:nvSpPr>
        <xdr:spPr>
          <a:xfrm>
            <a:off x="0" y="0"/>
            <a:ext cx="2689828" cy="31344053"/>
          </a:xfrm>
          <a:prstGeom prst="rect">
            <a:avLst/>
          </a:prstGeom>
          <a:gradFill>
            <a:gsLst>
              <a:gs pos="73000">
                <a:srgbClr val="507687"/>
              </a:gs>
              <a:gs pos="88000">
                <a:srgbClr val="ACBCC3"/>
              </a:gs>
              <a:gs pos="97000">
                <a:srgbClr val="EEEEEE"/>
              </a:gs>
              <a:gs pos="71000">
                <a:srgbClr val="384B70"/>
              </a:gs>
            </a:gsLst>
            <a:lin ang="162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E37BCFEF-7305-0DFF-3032-8985C8AF08BD}"/>
              </a:ext>
            </a:extLst>
          </xdr:cNvPr>
          <xdr:cNvSpPr>
            <a:spLocks noChangeAspect="1"/>
          </xdr:cNvSpPr>
        </xdr:nvSpPr>
        <xdr:spPr>
          <a:xfrm>
            <a:off x="2494806" y="0"/>
            <a:ext cx="15558710" cy="1085982"/>
          </a:xfrm>
          <a:prstGeom prst="rect">
            <a:avLst/>
          </a:prstGeom>
          <a:gradFill flip="none" rotWithShape="1">
            <a:gsLst>
              <a:gs pos="38000">
                <a:srgbClr val="507687"/>
              </a:gs>
              <a:gs pos="90000">
                <a:srgbClr val="EEEEEE"/>
              </a:gs>
              <a:gs pos="15000">
                <a:srgbClr val="384B70"/>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n-US" sz="1100"/>
          </a:p>
        </xdr:txBody>
      </xdr:sp>
      <xdr:sp macro="" textlink="Settings!B4">
        <xdr:nvSpPr>
          <xdr:cNvPr id="10" name="TextBox 9">
            <a:extLst>
              <a:ext uri="{FF2B5EF4-FFF2-40B4-BE49-F238E27FC236}">
                <a16:creationId xmlns:a16="http://schemas.microsoft.com/office/drawing/2014/main" id="{5D3FAD7B-527B-24E2-3540-3662FAFD9E7D}"/>
              </a:ext>
            </a:extLst>
          </xdr:cNvPr>
          <xdr:cNvSpPr txBox="1">
            <a:spLocks noChangeAspect="1"/>
          </xdr:cNvSpPr>
        </xdr:nvSpPr>
        <xdr:spPr>
          <a:xfrm>
            <a:off x="4577763" y="129999"/>
            <a:ext cx="8357611" cy="75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ctr"/>
            <a:fld id="{879F1FB5-9AF3-467F-8935-A2884B299931}" type="TxLink">
              <a:rPr lang="en-US" sz="2000" b="1" i="0" u="none" strike="noStrike">
                <a:ln>
                  <a:noFill/>
                </a:ln>
                <a:solidFill>
                  <a:srgbClr val="222B35"/>
                </a:solidFill>
                <a:latin typeface="Arial"/>
                <a:cs typeface="Arial"/>
              </a:rPr>
              <a:pPr algn="ctr"/>
              <a:t>San Diego Community College District: 
SDCCD 1450 Frazee Project FF&amp;E Punch List</a:t>
            </a:fld>
            <a:endParaRPr lang="en-US" sz="1100" b="0" i="0" u="none" strike="noStrike">
              <a:ln>
                <a:noFill/>
              </a:ln>
              <a:solidFill>
                <a:schemeClr val="tx2">
                  <a:lumMod val="50000"/>
                </a:schemeClr>
              </a:solidFill>
              <a:latin typeface="Arial" panose="020B0604020202020204" pitchFamily="34" charset="0"/>
              <a:cs typeface="Arial" panose="020B0604020202020204" pitchFamily="34" charset="0"/>
            </a:endParaRPr>
          </a:p>
        </xdr:txBody>
      </xdr:sp>
      <xdr:pic>
        <xdr:nvPicPr>
          <xdr:cNvPr id="12" name="Picture 11">
            <a:extLst>
              <a:ext uri="{FF2B5EF4-FFF2-40B4-BE49-F238E27FC236}">
                <a16:creationId xmlns:a16="http://schemas.microsoft.com/office/drawing/2014/main" id="{CEDE1873-849E-BF35-883D-B9FB83D4B3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055" y="257206"/>
            <a:ext cx="2591503" cy="459108"/>
          </a:xfrm>
          <a:prstGeom prst="rect">
            <a:avLst/>
          </a:prstGeom>
        </xdr:spPr>
      </xdr:pic>
      <xdr:sp macro="" textlink="">
        <xdr:nvSpPr>
          <xdr:cNvPr id="13" name="Rectangle: Rounded Corners 12">
            <a:extLst>
              <a:ext uri="{FF2B5EF4-FFF2-40B4-BE49-F238E27FC236}">
                <a16:creationId xmlns:a16="http://schemas.microsoft.com/office/drawing/2014/main" id="{4B00C3A1-4DCC-F09B-194C-B6DBFAFAB7E1}"/>
              </a:ext>
            </a:extLst>
          </xdr:cNvPr>
          <xdr:cNvSpPr/>
        </xdr:nvSpPr>
        <xdr:spPr>
          <a:xfrm>
            <a:off x="19817" y="3114117"/>
            <a:ext cx="2553838" cy="361181"/>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hlinkClick xmlns:r="http://schemas.openxmlformats.org/officeDocument/2006/relationships" r:id="rId3"/>
            <a:extLst>
              <a:ext uri="{FF2B5EF4-FFF2-40B4-BE49-F238E27FC236}">
                <a16:creationId xmlns:a16="http://schemas.microsoft.com/office/drawing/2014/main" id="{0EF12F2C-DEC3-7A2D-D32A-42EF32E29BA2}"/>
              </a:ext>
            </a:extLst>
          </xdr:cNvPr>
          <xdr:cNvSpPr txBox="1"/>
        </xdr:nvSpPr>
        <xdr:spPr>
          <a:xfrm>
            <a:off x="0" y="1809635"/>
            <a:ext cx="1334637" cy="359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Dashboard</a:t>
            </a:r>
          </a:p>
        </xdr:txBody>
      </xdr:sp>
      <xdr:sp macro="" textlink="">
        <xdr:nvSpPr>
          <xdr:cNvPr id="15" name="Rectangle: Rounded Corners 14">
            <a:extLst>
              <a:ext uri="{FF2B5EF4-FFF2-40B4-BE49-F238E27FC236}">
                <a16:creationId xmlns:a16="http://schemas.microsoft.com/office/drawing/2014/main" id="{EBC4D805-3608-6B86-CB28-C2E55AB43B2B}"/>
              </a:ext>
            </a:extLst>
          </xdr:cNvPr>
          <xdr:cNvSpPr/>
        </xdr:nvSpPr>
        <xdr:spPr>
          <a:xfrm>
            <a:off x="2521061" y="1444244"/>
            <a:ext cx="155775" cy="5143834"/>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hlinkClick xmlns:r="http://schemas.openxmlformats.org/officeDocument/2006/relationships" r:id="rId4"/>
            <a:extLst>
              <a:ext uri="{FF2B5EF4-FFF2-40B4-BE49-F238E27FC236}">
                <a16:creationId xmlns:a16="http://schemas.microsoft.com/office/drawing/2014/main" id="{442D0B97-CF92-30AF-2A6F-2337BAC99B2C}"/>
              </a:ext>
            </a:extLst>
          </xdr:cNvPr>
          <xdr:cNvSpPr txBox="1"/>
        </xdr:nvSpPr>
        <xdr:spPr>
          <a:xfrm>
            <a:off x="0" y="5787426"/>
            <a:ext cx="1628775"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Budget &amp; Costs</a:t>
            </a:r>
          </a:p>
        </xdr:txBody>
      </xdr:sp>
      <xdr:sp macro="" textlink="">
        <xdr:nvSpPr>
          <xdr:cNvPr id="17" name="TextBox 16">
            <a:hlinkClick xmlns:r="http://schemas.openxmlformats.org/officeDocument/2006/relationships" r:id="rId5"/>
            <a:extLst>
              <a:ext uri="{FF2B5EF4-FFF2-40B4-BE49-F238E27FC236}">
                <a16:creationId xmlns:a16="http://schemas.microsoft.com/office/drawing/2014/main" id="{A8B2ACA0-A6D4-9741-B9DE-44A1932A4B0A}"/>
              </a:ext>
            </a:extLst>
          </xdr:cNvPr>
          <xdr:cNvSpPr txBox="1"/>
        </xdr:nvSpPr>
        <xdr:spPr>
          <a:xfrm>
            <a:off x="0" y="5350949"/>
            <a:ext cx="1336542" cy="348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Schedule</a:t>
            </a:r>
          </a:p>
        </xdr:txBody>
      </xdr:sp>
      <xdr:sp macro="" textlink="">
        <xdr:nvSpPr>
          <xdr:cNvPr id="18" name="TextBox 17">
            <a:hlinkClick xmlns:r="http://schemas.openxmlformats.org/officeDocument/2006/relationships" r:id="rId6"/>
            <a:extLst>
              <a:ext uri="{FF2B5EF4-FFF2-40B4-BE49-F238E27FC236}">
                <a16:creationId xmlns:a16="http://schemas.microsoft.com/office/drawing/2014/main" id="{1C12C9FE-52C9-43FE-B872-86724992B0CD}"/>
              </a:ext>
            </a:extLst>
          </xdr:cNvPr>
          <xdr:cNvSpPr txBox="1"/>
        </xdr:nvSpPr>
        <xdr:spPr>
          <a:xfrm>
            <a:off x="0" y="4897331"/>
            <a:ext cx="2449830"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 Punch List</a:t>
            </a:r>
          </a:p>
        </xdr:txBody>
      </xdr:sp>
      <xdr:sp macro="" textlink="">
        <xdr:nvSpPr>
          <xdr:cNvPr id="19" name="TextBox 18">
            <a:hlinkClick xmlns:r="http://schemas.openxmlformats.org/officeDocument/2006/relationships" r:id="rId7"/>
            <a:extLst>
              <a:ext uri="{FF2B5EF4-FFF2-40B4-BE49-F238E27FC236}">
                <a16:creationId xmlns:a16="http://schemas.microsoft.com/office/drawing/2014/main" id="{440D61C2-DE3E-C8B7-7A37-102D059CDAC6}"/>
              </a:ext>
            </a:extLst>
          </xdr:cNvPr>
          <xdr:cNvSpPr txBox="1"/>
        </xdr:nvSpPr>
        <xdr:spPr>
          <a:xfrm>
            <a:off x="0" y="4458953"/>
            <a:ext cx="2110740" cy="354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Tenant Improvement</a:t>
            </a:r>
          </a:p>
        </xdr:txBody>
      </xdr:sp>
      <xdr:sp macro="" textlink="">
        <xdr:nvSpPr>
          <xdr:cNvPr id="20" name="TextBox 19">
            <a:hlinkClick xmlns:r="http://schemas.openxmlformats.org/officeDocument/2006/relationships" r:id="rId8"/>
            <a:extLst>
              <a:ext uri="{FF2B5EF4-FFF2-40B4-BE49-F238E27FC236}">
                <a16:creationId xmlns:a16="http://schemas.microsoft.com/office/drawing/2014/main" id="{C9A6C9F1-5DB0-C4BA-79BF-441D2F616C36}"/>
              </a:ext>
            </a:extLst>
          </xdr:cNvPr>
          <xdr:cNvSpPr txBox="1"/>
        </xdr:nvSpPr>
        <xdr:spPr>
          <a:xfrm>
            <a:off x="0" y="4020575"/>
            <a:ext cx="1336542" cy="35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a:t>
            </a:r>
          </a:p>
        </xdr:txBody>
      </xdr:sp>
      <xdr:sp macro="" textlink="">
        <xdr:nvSpPr>
          <xdr:cNvPr id="21" name="TextBox 20">
            <a:hlinkClick xmlns:r="http://schemas.openxmlformats.org/officeDocument/2006/relationships" r:id="rId9"/>
            <a:extLst>
              <a:ext uri="{FF2B5EF4-FFF2-40B4-BE49-F238E27FC236}">
                <a16:creationId xmlns:a16="http://schemas.microsoft.com/office/drawing/2014/main" id="{DE04A3ED-A19F-4C8E-16FA-7B51909C5B57}"/>
              </a:ext>
            </a:extLst>
          </xdr:cNvPr>
          <xdr:cNvSpPr txBox="1"/>
        </xdr:nvSpPr>
        <xdr:spPr>
          <a:xfrm>
            <a:off x="0" y="3584102"/>
            <a:ext cx="2055495" cy="356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Move Management</a:t>
            </a:r>
          </a:p>
        </xdr:txBody>
      </xdr:sp>
      <xdr:sp macro="" textlink="">
        <xdr:nvSpPr>
          <xdr:cNvPr id="22" name="TextBox 21">
            <a:hlinkClick xmlns:r="http://schemas.openxmlformats.org/officeDocument/2006/relationships" r:id="rId10"/>
            <a:extLst>
              <a:ext uri="{FF2B5EF4-FFF2-40B4-BE49-F238E27FC236}">
                <a16:creationId xmlns:a16="http://schemas.microsoft.com/office/drawing/2014/main" id="{B821E580-F6E2-6972-9303-6E867EB56451}"/>
              </a:ext>
            </a:extLst>
          </xdr:cNvPr>
          <xdr:cNvSpPr txBox="1"/>
        </xdr:nvSpPr>
        <xdr:spPr>
          <a:xfrm>
            <a:off x="0" y="3141914"/>
            <a:ext cx="1735455"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bg1"/>
                </a:solidFill>
                <a:latin typeface="Arial" panose="020B0604020202020204" pitchFamily="34" charset="0"/>
                <a:cs typeface="Arial" panose="020B0604020202020204" pitchFamily="34" charset="0"/>
              </a:rPr>
              <a:t>FF&amp;E Punch List</a:t>
            </a:r>
          </a:p>
        </xdr:txBody>
      </xdr:sp>
      <xdr:sp macro="" textlink="">
        <xdr:nvSpPr>
          <xdr:cNvPr id="23" name="TextBox 22">
            <a:hlinkClick xmlns:r="http://schemas.openxmlformats.org/officeDocument/2006/relationships" r:id="rId11"/>
            <a:extLst>
              <a:ext uri="{FF2B5EF4-FFF2-40B4-BE49-F238E27FC236}">
                <a16:creationId xmlns:a16="http://schemas.microsoft.com/office/drawing/2014/main" id="{0DCE98C2-718E-08DD-17CC-2D63DBB22C4A}"/>
              </a:ext>
            </a:extLst>
          </xdr:cNvPr>
          <xdr:cNvSpPr txBox="1"/>
        </xdr:nvSpPr>
        <xdr:spPr>
          <a:xfrm>
            <a:off x="0" y="2711155"/>
            <a:ext cx="1336542"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Issue Log</a:t>
            </a:r>
          </a:p>
        </xdr:txBody>
      </xdr:sp>
      <xdr:sp macro="" textlink="">
        <xdr:nvSpPr>
          <xdr:cNvPr id="24" name="TextBox 23">
            <a:hlinkClick xmlns:r="http://schemas.openxmlformats.org/officeDocument/2006/relationships" r:id="rId12"/>
            <a:extLst>
              <a:ext uri="{FF2B5EF4-FFF2-40B4-BE49-F238E27FC236}">
                <a16:creationId xmlns:a16="http://schemas.microsoft.com/office/drawing/2014/main" id="{81E948D6-5EDD-373E-CAFD-C2FD8927FA16}"/>
              </a:ext>
            </a:extLst>
          </xdr:cNvPr>
          <xdr:cNvSpPr txBox="1"/>
        </xdr:nvSpPr>
        <xdr:spPr>
          <a:xfrm>
            <a:off x="0" y="2257538"/>
            <a:ext cx="1733549"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Master FF&amp;E List</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900</xdr:row>
      <xdr:rowOff>62891</xdr:rowOff>
    </xdr:from>
    <xdr:to>
      <xdr:col>4</xdr:col>
      <xdr:colOff>0</xdr:colOff>
      <xdr:row>31380</xdr:row>
      <xdr:rowOff>21855</xdr:rowOff>
    </xdr:to>
    <xdr:sp macro="" textlink="">
      <xdr:nvSpPr>
        <xdr:cNvPr id="4" name="Rectangle 3">
          <a:extLst>
            <a:ext uri="{FF2B5EF4-FFF2-40B4-BE49-F238E27FC236}">
              <a16:creationId xmlns:a16="http://schemas.microsoft.com/office/drawing/2014/main" id="{6D664B0C-9818-4973-9244-C8B3246A3507}"/>
            </a:ext>
          </a:extLst>
        </xdr:cNvPr>
        <xdr:cNvSpPr/>
      </xdr:nvSpPr>
      <xdr:spPr>
        <a:xfrm>
          <a:off x="0" y="102146100"/>
          <a:ext cx="2438400" cy="5806589675"/>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clientData/>
  </xdr:twoCellAnchor>
  <xdr:twoCellAnchor editAs="absolute">
    <xdr:from>
      <xdr:col>0</xdr:col>
      <xdr:colOff>0</xdr:colOff>
      <xdr:row>0</xdr:row>
      <xdr:rowOff>0</xdr:rowOff>
    </xdr:from>
    <xdr:to>
      <xdr:col>30</xdr:col>
      <xdr:colOff>19050</xdr:colOff>
      <xdr:row>574</xdr:row>
      <xdr:rowOff>20376</xdr:rowOff>
    </xdr:to>
    <xdr:grpSp>
      <xdr:nvGrpSpPr>
        <xdr:cNvPr id="5" name="Group 4">
          <a:extLst>
            <a:ext uri="{FF2B5EF4-FFF2-40B4-BE49-F238E27FC236}">
              <a16:creationId xmlns:a16="http://schemas.microsoft.com/office/drawing/2014/main" id="{1F1B935F-FDAB-438C-98B3-700EA4F14B35}"/>
            </a:ext>
          </a:extLst>
        </xdr:cNvPr>
        <xdr:cNvGrpSpPr/>
      </xdr:nvGrpSpPr>
      <xdr:grpSpPr>
        <a:xfrm>
          <a:off x="0" y="0"/>
          <a:ext cx="40444127" cy="32102530"/>
          <a:chOff x="0" y="0"/>
          <a:chExt cx="39578313" cy="31344053"/>
        </a:xfrm>
      </xdr:grpSpPr>
      <xdr:sp macro="" textlink="">
        <xdr:nvSpPr>
          <xdr:cNvPr id="6" name="Rectangle 5">
            <a:extLst>
              <a:ext uri="{FF2B5EF4-FFF2-40B4-BE49-F238E27FC236}">
                <a16:creationId xmlns:a16="http://schemas.microsoft.com/office/drawing/2014/main" id="{C80AC1C5-3DC9-3565-FBDA-5870C7368266}"/>
              </a:ext>
            </a:extLst>
          </xdr:cNvPr>
          <xdr:cNvSpPr/>
        </xdr:nvSpPr>
        <xdr:spPr>
          <a:xfrm>
            <a:off x="16219865" y="0"/>
            <a:ext cx="23358448" cy="1085850"/>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 name="Picture 6">
            <a:extLst>
              <a:ext uri="{FF2B5EF4-FFF2-40B4-BE49-F238E27FC236}">
                <a16:creationId xmlns:a16="http://schemas.microsoft.com/office/drawing/2014/main" id="{3ECDD038-32DA-76B5-27AB-B729A55F11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511862" y="136538"/>
            <a:ext cx="2052383" cy="77054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8" name="Rectangle 7">
            <a:extLst>
              <a:ext uri="{FF2B5EF4-FFF2-40B4-BE49-F238E27FC236}">
                <a16:creationId xmlns:a16="http://schemas.microsoft.com/office/drawing/2014/main" id="{3826EA61-1FF6-14C7-74C2-7E8233D20348}"/>
              </a:ext>
            </a:extLst>
          </xdr:cNvPr>
          <xdr:cNvSpPr/>
        </xdr:nvSpPr>
        <xdr:spPr>
          <a:xfrm>
            <a:off x="0" y="0"/>
            <a:ext cx="2689828" cy="31344053"/>
          </a:xfrm>
          <a:prstGeom prst="rect">
            <a:avLst/>
          </a:prstGeom>
          <a:gradFill>
            <a:gsLst>
              <a:gs pos="73000">
                <a:srgbClr val="507687"/>
              </a:gs>
              <a:gs pos="88000">
                <a:srgbClr val="ACBCC3"/>
              </a:gs>
              <a:gs pos="97000">
                <a:srgbClr val="EEEEEE"/>
              </a:gs>
              <a:gs pos="71000">
                <a:srgbClr val="384B70"/>
              </a:gs>
            </a:gsLst>
            <a:lin ang="162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ECBFE613-46E4-F159-815B-113EE3CF5690}"/>
              </a:ext>
            </a:extLst>
          </xdr:cNvPr>
          <xdr:cNvSpPr>
            <a:spLocks noChangeAspect="1"/>
          </xdr:cNvSpPr>
        </xdr:nvSpPr>
        <xdr:spPr>
          <a:xfrm>
            <a:off x="2494806" y="0"/>
            <a:ext cx="15558710" cy="1085982"/>
          </a:xfrm>
          <a:prstGeom prst="rect">
            <a:avLst/>
          </a:prstGeom>
          <a:gradFill flip="none" rotWithShape="1">
            <a:gsLst>
              <a:gs pos="38000">
                <a:srgbClr val="507687"/>
              </a:gs>
              <a:gs pos="90000">
                <a:srgbClr val="EEEEEE"/>
              </a:gs>
              <a:gs pos="15000">
                <a:srgbClr val="384B70"/>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n-US" sz="1100"/>
          </a:p>
        </xdr:txBody>
      </xdr:sp>
      <xdr:sp macro="" textlink="Settings!B5">
        <xdr:nvSpPr>
          <xdr:cNvPr id="10" name="TextBox 9">
            <a:extLst>
              <a:ext uri="{FF2B5EF4-FFF2-40B4-BE49-F238E27FC236}">
                <a16:creationId xmlns:a16="http://schemas.microsoft.com/office/drawing/2014/main" id="{604C862C-0665-F3C2-F1B1-5B1614D4B91A}"/>
              </a:ext>
            </a:extLst>
          </xdr:cNvPr>
          <xdr:cNvSpPr txBox="1">
            <a:spLocks noChangeAspect="1"/>
          </xdr:cNvSpPr>
        </xdr:nvSpPr>
        <xdr:spPr>
          <a:xfrm>
            <a:off x="4577763" y="129999"/>
            <a:ext cx="8357611" cy="75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ctr"/>
            <a:fld id="{9401A937-234A-48A3-9A81-971F5903D9A7}" type="TxLink">
              <a:rPr lang="en-US" sz="2000" b="1" i="0" u="none" strike="noStrike">
                <a:ln>
                  <a:noFill/>
                </a:ln>
                <a:solidFill>
                  <a:srgbClr val="222B35"/>
                </a:solidFill>
                <a:latin typeface="Arial"/>
                <a:cs typeface="Arial"/>
              </a:rPr>
              <a:pPr algn="ctr"/>
              <a:t>San Diego Community College District: 
SDCCD 1450 Frazee Project Move Management</a:t>
            </a:fld>
            <a:endParaRPr lang="en-US" sz="1100" b="0" i="0" u="none" strike="noStrike">
              <a:ln>
                <a:noFill/>
              </a:ln>
              <a:solidFill>
                <a:schemeClr val="tx2">
                  <a:lumMod val="50000"/>
                </a:schemeClr>
              </a:solidFill>
              <a:latin typeface="Arial" panose="020B0604020202020204" pitchFamily="34" charset="0"/>
              <a:cs typeface="Arial" panose="020B0604020202020204" pitchFamily="34" charset="0"/>
            </a:endParaRPr>
          </a:p>
        </xdr:txBody>
      </xdr:sp>
      <xdr:pic>
        <xdr:nvPicPr>
          <xdr:cNvPr id="11" name="Picture 10">
            <a:extLst>
              <a:ext uri="{FF2B5EF4-FFF2-40B4-BE49-F238E27FC236}">
                <a16:creationId xmlns:a16="http://schemas.microsoft.com/office/drawing/2014/main" id="{28401DD1-4CAE-1EA4-51BA-7E9920A3F0E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055" y="257206"/>
            <a:ext cx="2591503" cy="459108"/>
          </a:xfrm>
          <a:prstGeom prst="rect">
            <a:avLst/>
          </a:prstGeom>
        </xdr:spPr>
      </xdr:pic>
      <xdr:sp macro="" textlink="">
        <xdr:nvSpPr>
          <xdr:cNvPr id="12" name="Rectangle: Rounded Corners 11">
            <a:extLst>
              <a:ext uri="{FF2B5EF4-FFF2-40B4-BE49-F238E27FC236}">
                <a16:creationId xmlns:a16="http://schemas.microsoft.com/office/drawing/2014/main" id="{2FC1CB90-0999-C3B1-513E-F011473DBF3F}"/>
              </a:ext>
            </a:extLst>
          </xdr:cNvPr>
          <xdr:cNvSpPr/>
        </xdr:nvSpPr>
        <xdr:spPr>
          <a:xfrm>
            <a:off x="19817" y="3752407"/>
            <a:ext cx="2553838" cy="361181"/>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hlinkClick xmlns:r="http://schemas.openxmlformats.org/officeDocument/2006/relationships" r:id="rId3"/>
            <a:extLst>
              <a:ext uri="{FF2B5EF4-FFF2-40B4-BE49-F238E27FC236}">
                <a16:creationId xmlns:a16="http://schemas.microsoft.com/office/drawing/2014/main" id="{2C0A2B79-A41A-6B3B-955B-38A1FBDD086F}"/>
              </a:ext>
            </a:extLst>
          </xdr:cNvPr>
          <xdr:cNvSpPr txBox="1"/>
        </xdr:nvSpPr>
        <xdr:spPr>
          <a:xfrm>
            <a:off x="0" y="2009700"/>
            <a:ext cx="1334637" cy="359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Dashboard</a:t>
            </a:r>
          </a:p>
        </xdr:txBody>
      </xdr:sp>
      <xdr:sp macro="" textlink="">
        <xdr:nvSpPr>
          <xdr:cNvPr id="14" name="Rectangle: Rounded Corners 13">
            <a:extLst>
              <a:ext uri="{FF2B5EF4-FFF2-40B4-BE49-F238E27FC236}">
                <a16:creationId xmlns:a16="http://schemas.microsoft.com/office/drawing/2014/main" id="{2B9BC11F-9F3A-A33A-B2A4-76A7486DE482}"/>
              </a:ext>
            </a:extLst>
          </xdr:cNvPr>
          <xdr:cNvSpPr/>
        </xdr:nvSpPr>
        <xdr:spPr>
          <a:xfrm>
            <a:off x="2530565" y="1644307"/>
            <a:ext cx="155775" cy="5143834"/>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a:hlinkClick xmlns:r="http://schemas.openxmlformats.org/officeDocument/2006/relationships" r:id="rId4"/>
            <a:extLst>
              <a:ext uri="{FF2B5EF4-FFF2-40B4-BE49-F238E27FC236}">
                <a16:creationId xmlns:a16="http://schemas.microsoft.com/office/drawing/2014/main" id="{19359514-B11A-DE3A-3EC8-B29B6991B81B}"/>
              </a:ext>
            </a:extLst>
          </xdr:cNvPr>
          <xdr:cNvSpPr txBox="1"/>
        </xdr:nvSpPr>
        <xdr:spPr>
          <a:xfrm>
            <a:off x="0" y="5987490"/>
            <a:ext cx="1628775"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Budget &amp; Costs</a:t>
            </a:r>
          </a:p>
        </xdr:txBody>
      </xdr:sp>
      <xdr:sp macro="" textlink="">
        <xdr:nvSpPr>
          <xdr:cNvPr id="16" name="TextBox 15">
            <a:hlinkClick xmlns:r="http://schemas.openxmlformats.org/officeDocument/2006/relationships" r:id="rId5"/>
            <a:extLst>
              <a:ext uri="{FF2B5EF4-FFF2-40B4-BE49-F238E27FC236}">
                <a16:creationId xmlns:a16="http://schemas.microsoft.com/office/drawing/2014/main" id="{52CEA7F3-32FB-4786-2479-0E8815A48162}"/>
              </a:ext>
            </a:extLst>
          </xdr:cNvPr>
          <xdr:cNvSpPr txBox="1"/>
        </xdr:nvSpPr>
        <xdr:spPr>
          <a:xfrm>
            <a:off x="0" y="5551013"/>
            <a:ext cx="1336542" cy="348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Schedule</a:t>
            </a:r>
          </a:p>
        </xdr:txBody>
      </xdr:sp>
      <xdr:sp macro="" textlink="">
        <xdr:nvSpPr>
          <xdr:cNvPr id="17" name="TextBox 16">
            <a:hlinkClick xmlns:r="http://schemas.openxmlformats.org/officeDocument/2006/relationships" r:id="rId6"/>
            <a:extLst>
              <a:ext uri="{FF2B5EF4-FFF2-40B4-BE49-F238E27FC236}">
                <a16:creationId xmlns:a16="http://schemas.microsoft.com/office/drawing/2014/main" id="{4F7B47A4-8A29-7018-334E-FB29935F56D6}"/>
              </a:ext>
            </a:extLst>
          </xdr:cNvPr>
          <xdr:cNvSpPr txBox="1"/>
        </xdr:nvSpPr>
        <xdr:spPr>
          <a:xfrm>
            <a:off x="0" y="5097396"/>
            <a:ext cx="2449830"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 Punch List</a:t>
            </a:r>
          </a:p>
        </xdr:txBody>
      </xdr:sp>
      <xdr:sp macro="" textlink="">
        <xdr:nvSpPr>
          <xdr:cNvPr id="18" name="TextBox 17">
            <a:hlinkClick xmlns:r="http://schemas.openxmlformats.org/officeDocument/2006/relationships" r:id="rId7"/>
            <a:extLst>
              <a:ext uri="{FF2B5EF4-FFF2-40B4-BE49-F238E27FC236}">
                <a16:creationId xmlns:a16="http://schemas.microsoft.com/office/drawing/2014/main" id="{AC1E13D1-EE6E-44D3-B26B-5E09C2FD611B}"/>
              </a:ext>
            </a:extLst>
          </xdr:cNvPr>
          <xdr:cNvSpPr txBox="1"/>
        </xdr:nvSpPr>
        <xdr:spPr>
          <a:xfrm>
            <a:off x="0" y="4659020"/>
            <a:ext cx="2110740" cy="354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Tenant Improvement</a:t>
            </a:r>
          </a:p>
        </xdr:txBody>
      </xdr:sp>
      <xdr:sp macro="" textlink="">
        <xdr:nvSpPr>
          <xdr:cNvPr id="19" name="TextBox 18">
            <a:hlinkClick xmlns:r="http://schemas.openxmlformats.org/officeDocument/2006/relationships" r:id="rId8"/>
            <a:extLst>
              <a:ext uri="{FF2B5EF4-FFF2-40B4-BE49-F238E27FC236}">
                <a16:creationId xmlns:a16="http://schemas.microsoft.com/office/drawing/2014/main" id="{4253DCA9-59AB-38C2-396B-735CB687E37A}"/>
              </a:ext>
            </a:extLst>
          </xdr:cNvPr>
          <xdr:cNvSpPr txBox="1"/>
        </xdr:nvSpPr>
        <xdr:spPr>
          <a:xfrm>
            <a:off x="0" y="4220635"/>
            <a:ext cx="1336542" cy="35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a:t>
            </a:r>
          </a:p>
        </xdr:txBody>
      </xdr:sp>
      <xdr:sp macro="" textlink="">
        <xdr:nvSpPr>
          <xdr:cNvPr id="20" name="TextBox 19">
            <a:hlinkClick xmlns:r="http://schemas.openxmlformats.org/officeDocument/2006/relationships" r:id="rId9"/>
            <a:extLst>
              <a:ext uri="{FF2B5EF4-FFF2-40B4-BE49-F238E27FC236}">
                <a16:creationId xmlns:a16="http://schemas.microsoft.com/office/drawing/2014/main" id="{F2500B29-65CF-C485-4E2D-2C8C9CDF20EE}"/>
              </a:ext>
            </a:extLst>
          </xdr:cNvPr>
          <xdr:cNvSpPr txBox="1"/>
        </xdr:nvSpPr>
        <xdr:spPr>
          <a:xfrm>
            <a:off x="0" y="3784163"/>
            <a:ext cx="2055495" cy="356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bg1"/>
                </a:solidFill>
                <a:latin typeface="Arial" panose="020B0604020202020204" pitchFamily="34" charset="0"/>
                <a:cs typeface="Arial" panose="020B0604020202020204" pitchFamily="34" charset="0"/>
              </a:rPr>
              <a:t>Move Management</a:t>
            </a:r>
          </a:p>
        </xdr:txBody>
      </xdr:sp>
      <xdr:sp macro="" textlink="">
        <xdr:nvSpPr>
          <xdr:cNvPr id="21" name="TextBox 20">
            <a:hlinkClick xmlns:r="http://schemas.openxmlformats.org/officeDocument/2006/relationships" r:id="rId10"/>
            <a:extLst>
              <a:ext uri="{FF2B5EF4-FFF2-40B4-BE49-F238E27FC236}">
                <a16:creationId xmlns:a16="http://schemas.microsoft.com/office/drawing/2014/main" id="{48EE72E4-EFC1-6C74-3CF3-60EB7A10259F}"/>
              </a:ext>
            </a:extLst>
          </xdr:cNvPr>
          <xdr:cNvSpPr txBox="1"/>
        </xdr:nvSpPr>
        <xdr:spPr>
          <a:xfrm>
            <a:off x="0" y="3341978"/>
            <a:ext cx="1735455"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FF&amp;E Punch List</a:t>
            </a:r>
          </a:p>
        </xdr:txBody>
      </xdr:sp>
      <xdr:sp macro="" textlink="">
        <xdr:nvSpPr>
          <xdr:cNvPr id="22" name="TextBox 21">
            <a:hlinkClick xmlns:r="http://schemas.openxmlformats.org/officeDocument/2006/relationships" r:id="rId11"/>
            <a:extLst>
              <a:ext uri="{FF2B5EF4-FFF2-40B4-BE49-F238E27FC236}">
                <a16:creationId xmlns:a16="http://schemas.microsoft.com/office/drawing/2014/main" id="{7F22150B-3E2A-557D-0F53-2AD25A3C3D2B}"/>
              </a:ext>
            </a:extLst>
          </xdr:cNvPr>
          <xdr:cNvSpPr txBox="1"/>
        </xdr:nvSpPr>
        <xdr:spPr>
          <a:xfrm>
            <a:off x="0" y="2911218"/>
            <a:ext cx="1336542"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Issue Log</a:t>
            </a:r>
          </a:p>
        </xdr:txBody>
      </xdr:sp>
      <xdr:sp macro="" textlink="">
        <xdr:nvSpPr>
          <xdr:cNvPr id="23" name="TextBox 22">
            <a:hlinkClick xmlns:r="http://schemas.openxmlformats.org/officeDocument/2006/relationships" r:id="rId12"/>
            <a:extLst>
              <a:ext uri="{FF2B5EF4-FFF2-40B4-BE49-F238E27FC236}">
                <a16:creationId xmlns:a16="http://schemas.microsoft.com/office/drawing/2014/main" id="{CAF192C2-91C3-E9FB-A8A8-E36185A68C35}"/>
              </a:ext>
            </a:extLst>
          </xdr:cNvPr>
          <xdr:cNvSpPr txBox="1"/>
        </xdr:nvSpPr>
        <xdr:spPr>
          <a:xfrm>
            <a:off x="0" y="2457602"/>
            <a:ext cx="1733549"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Master FF&amp;E List</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214</xdr:row>
      <xdr:rowOff>16106</xdr:rowOff>
    </xdr:from>
    <xdr:to>
      <xdr:col>4</xdr:col>
      <xdr:colOff>1120</xdr:colOff>
      <xdr:row>30614</xdr:row>
      <xdr:rowOff>161624</xdr:rowOff>
    </xdr:to>
    <xdr:sp macro="" textlink="">
      <xdr:nvSpPr>
        <xdr:cNvPr id="4" name="Rectangle 3">
          <a:extLst>
            <a:ext uri="{FF2B5EF4-FFF2-40B4-BE49-F238E27FC236}">
              <a16:creationId xmlns:a16="http://schemas.microsoft.com/office/drawing/2014/main" id="{69918145-FB0C-48E4-8150-0A433E74F93E}"/>
            </a:ext>
          </a:extLst>
        </xdr:cNvPr>
        <xdr:cNvSpPr/>
      </xdr:nvSpPr>
      <xdr:spPr>
        <a:xfrm>
          <a:off x="0" y="105565575"/>
          <a:ext cx="2438400" cy="5806589675"/>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clientData/>
  </xdr:twoCellAnchor>
  <xdr:twoCellAnchor editAs="absolute">
    <xdr:from>
      <xdr:col>0</xdr:col>
      <xdr:colOff>0</xdr:colOff>
      <xdr:row>0</xdr:row>
      <xdr:rowOff>0</xdr:rowOff>
    </xdr:from>
    <xdr:to>
      <xdr:col>37</xdr:col>
      <xdr:colOff>19050</xdr:colOff>
      <xdr:row>84</xdr:row>
      <xdr:rowOff>246660</xdr:rowOff>
    </xdr:to>
    <xdr:grpSp>
      <xdr:nvGrpSpPr>
        <xdr:cNvPr id="24" name="Group 23">
          <a:extLst>
            <a:ext uri="{FF2B5EF4-FFF2-40B4-BE49-F238E27FC236}">
              <a16:creationId xmlns:a16="http://schemas.microsoft.com/office/drawing/2014/main" id="{05F7C17D-350D-4DA3-AFC8-E072C46152CB}"/>
            </a:ext>
          </a:extLst>
        </xdr:cNvPr>
        <xdr:cNvGrpSpPr/>
      </xdr:nvGrpSpPr>
      <xdr:grpSpPr>
        <a:xfrm>
          <a:off x="0" y="0"/>
          <a:ext cx="52927250" cy="31920460"/>
          <a:chOff x="0" y="0"/>
          <a:chExt cx="52013108" cy="31344053"/>
        </a:xfrm>
      </xdr:grpSpPr>
      <xdr:sp macro="" textlink="">
        <xdr:nvSpPr>
          <xdr:cNvPr id="30" name="Rectangle 29">
            <a:extLst>
              <a:ext uri="{FF2B5EF4-FFF2-40B4-BE49-F238E27FC236}">
                <a16:creationId xmlns:a16="http://schemas.microsoft.com/office/drawing/2014/main" id="{723F33FC-75E9-E7BC-D980-CC1520EA0FBE}"/>
              </a:ext>
            </a:extLst>
          </xdr:cNvPr>
          <xdr:cNvSpPr/>
        </xdr:nvSpPr>
        <xdr:spPr>
          <a:xfrm>
            <a:off x="16218395" y="0"/>
            <a:ext cx="35794713" cy="1085982"/>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EA827E3A-26CD-7BBC-4C7A-F7D6DB1987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900883" y="136538"/>
            <a:ext cx="2052383" cy="77054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7" name="Rectangle 26">
            <a:extLst>
              <a:ext uri="{FF2B5EF4-FFF2-40B4-BE49-F238E27FC236}">
                <a16:creationId xmlns:a16="http://schemas.microsoft.com/office/drawing/2014/main" id="{C3F691AC-93E3-AE5F-B10B-3AEB8F06DFCF}"/>
              </a:ext>
            </a:extLst>
          </xdr:cNvPr>
          <xdr:cNvSpPr/>
        </xdr:nvSpPr>
        <xdr:spPr>
          <a:xfrm>
            <a:off x="0" y="0"/>
            <a:ext cx="2689828" cy="31344053"/>
          </a:xfrm>
          <a:prstGeom prst="rect">
            <a:avLst/>
          </a:prstGeom>
          <a:gradFill>
            <a:gsLst>
              <a:gs pos="73000">
                <a:srgbClr val="507687"/>
              </a:gs>
              <a:gs pos="88000">
                <a:srgbClr val="ACBCC3"/>
              </a:gs>
              <a:gs pos="97000">
                <a:srgbClr val="EEEEEE"/>
              </a:gs>
              <a:gs pos="71000">
                <a:srgbClr val="384B70"/>
              </a:gs>
            </a:gsLst>
            <a:lin ang="162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AF8AAF35-0DC6-337F-42B1-145928ADBE43}"/>
              </a:ext>
            </a:extLst>
          </xdr:cNvPr>
          <xdr:cNvSpPr>
            <a:spLocks noChangeAspect="1"/>
          </xdr:cNvSpPr>
        </xdr:nvSpPr>
        <xdr:spPr>
          <a:xfrm>
            <a:off x="2494806" y="0"/>
            <a:ext cx="15558710" cy="1085982"/>
          </a:xfrm>
          <a:prstGeom prst="rect">
            <a:avLst/>
          </a:prstGeom>
          <a:gradFill flip="none" rotWithShape="1">
            <a:gsLst>
              <a:gs pos="38000">
                <a:srgbClr val="507687"/>
              </a:gs>
              <a:gs pos="90000">
                <a:srgbClr val="EEEEEE"/>
              </a:gs>
              <a:gs pos="15000">
                <a:srgbClr val="384B70"/>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n-US" sz="1100"/>
          </a:p>
        </xdr:txBody>
      </xdr:sp>
      <xdr:sp macro="" textlink="Settings!B6">
        <xdr:nvSpPr>
          <xdr:cNvPr id="29" name="TextBox 28">
            <a:extLst>
              <a:ext uri="{FF2B5EF4-FFF2-40B4-BE49-F238E27FC236}">
                <a16:creationId xmlns:a16="http://schemas.microsoft.com/office/drawing/2014/main" id="{78706414-B2B7-5B16-6E47-82AA9FEA887A}"/>
              </a:ext>
            </a:extLst>
          </xdr:cNvPr>
          <xdr:cNvSpPr txBox="1">
            <a:spLocks noChangeAspect="1"/>
          </xdr:cNvSpPr>
        </xdr:nvSpPr>
        <xdr:spPr>
          <a:xfrm>
            <a:off x="4577763" y="129999"/>
            <a:ext cx="8357611" cy="75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ctr"/>
            <a:fld id="{7DFB0006-F0AA-4B1A-A1B2-7C731B403348}" type="TxLink">
              <a:rPr lang="en-US" sz="2000" b="1" i="0" u="none" strike="noStrike">
                <a:ln>
                  <a:noFill/>
                </a:ln>
                <a:solidFill>
                  <a:srgbClr val="222B35"/>
                </a:solidFill>
                <a:latin typeface="Arial"/>
                <a:cs typeface="Arial"/>
              </a:rPr>
              <a:pPr algn="ctr"/>
              <a:t>San Diego Community College District: 
SDCCD 1450 Frazee Project Swing Space</a:t>
            </a:fld>
            <a:endParaRPr lang="en-US" sz="1100" b="0" i="0" u="none" strike="noStrike">
              <a:ln>
                <a:noFill/>
              </a:ln>
              <a:solidFill>
                <a:schemeClr val="tx2">
                  <a:lumMod val="50000"/>
                </a:schemeClr>
              </a:solidFill>
              <a:latin typeface="Arial" panose="020B0604020202020204" pitchFamily="34" charset="0"/>
              <a:cs typeface="Arial" panose="020B0604020202020204" pitchFamily="34" charset="0"/>
            </a:endParaRPr>
          </a:p>
        </xdr:txBody>
      </xdr:sp>
      <xdr:pic>
        <xdr:nvPicPr>
          <xdr:cNvPr id="31" name="Picture 30">
            <a:extLst>
              <a:ext uri="{FF2B5EF4-FFF2-40B4-BE49-F238E27FC236}">
                <a16:creationId xmlns:a16="http://schemas.microsoft.com/office/drawing/2014/main" id="{F6D9A16D-3519-03ED-05D8-094649D53BA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055" y="257206"/>
            <a:ext cx="2591503" cy="459108"/>
          </a:xfrm>
          <a:prstGeom prst="rect">
            <a:avLst/>
          </a:prstGeom>
        </xdr:spPr>
      </xdr:pic>
      <xdr:sp macro="" textlink="">
        <xdr:nvSpPr>
          <xdr:cNvPr id="32" name="Rectangle: Rounded Corners 31">
            <a:extLst>
              <a:ext uri="{FF2B5EF4-FFF2-40B4-BE49-F238E27FC236}">
                <a16:creationId xmlns:a16="http://schemas.microsoft.com/office/drawing/2014/main" id="{F5285AA8-5500-C451-641E-54DA53E73397}"/>
              </a:ext>
            </a:extLst>
          </xdr:cNvPr>
          <xdr:cNvSpPr/>
        </xdr:nvSpPr>
        <xdr:spPr>
          <a:xfrm>
            <a:off x="19817" y="3980787"/>
            <a:ext cx="2553838" cy="361181"/>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TextBox 32">
            <a:hlinkClick xmlns:r="http://schemas.openxmlformats.org/officeDocument/2006/relationships" r:id="rId3"/>
            <a:extLst>
              <a:ext uri="{FF2B5EF4-FFF2-40B4-BE49-F238E27FC236}">
                <a16:creationId xmlns:a16="http://schemas.microsoft.com/office/drawing/2014/main" id="{B2DB2D02-9BD9-C182-CF67-AE3045EE29A6}"/>
              </a:ext>
            </a:extLst>
          </xdr:cNvPr>
          <xdr:cNvSpPr txBox="1"/>
        </xdr:nvSpPr>
        <xdr:spPr>
          <a:xfrm>
            <a:off x="0" y="1790587"/>
            <a:ext cx="1334637" cy="359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Dashboard</a:t>
            </a:r>
          </a:p>
        </xdr:txBody>
      </xdr:sp>
      <xdr:sp macro="" textlink="">
        <xdr:nvSpPr>
          <xdr:cNvPr id="34" name="Rectangle: Rounded Corners 33">
            <a:extLst>
              <a:ext uri="{FF2B5EF4-FFF2-40B4-BE49-F238E27FC236}">
                <a16:creationId xmlns:a16="http://schemas.microsoft.com/office/drawing/2014/main" id="{50139163-49E7-7557-1FEE-817D0948ED78}"/>
              </a:ext>
            </a:extLst>
          </xdr:cNvPr>
          <xdr:cNvSpPr/>
        </xdr:nvSpPr>
        <xdr:spPr>
          <a:xfrm>
            <a:off x="2530565" y="1444244"/>
            <a:ext cx="155775" cy="5143834"/>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TextBox 34">
            <a:hlinkClick xmlns:r="http://schemas.openxmlformats.org/officeDocument/2006/relationships" r:id="rId4"/>
            <a:extLst>
              <a:ext uri="{FF2B5EF4-FFF2-40B4-BE49-F238E27FC236}">
                <a16:creationId xmlns:a16="http://schemas.microsoft.com/office/drawing/2014/main" id="{DBDDC0BB-F065-33CB-D904-1E97A377F30B}"/>
              </a:ext>
            </a:extLst>
          </xdr:cNvPr>
          <xdr:cNvSpPr txBox="1"/>
        </xdr:nvSpPr>
        <xdr:spPr>
          <a:xfrm>
            <a:off x="0" y="5768378"/>
            <a:ext cx="1628775"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Budget &amp; Costs</a:t>
            </a:r>
          </a:p>
        </xdr:txBody>
      </xdr:sp>
      <xdr:sp macro="" textlink="">
        <xdr:nvSpPr>
          <xdr:cNvPr id="36" name="TextBox 35">
            <a:hlinkClick xmlns:r="http://schemas.openxmlformats.org/officeDocument/2006/relationships" r:id="rId5"/>
            <a:extLst>
              <a:ext uri="{FF2B5EF4-FFF2-40B4-BE49-F238E27FC236}">
                <a16:creationId xmlns:a16="http://schemas.microsoft.com/office/drawing/2014/main" id="{D80C2BFA-B76A-FB86-FA0F-49B7BDC2DE94}"/>
              </a:ext>
            </a:extLst>
          </xdr:cNvPr>
          <xdr:cNvSpPr txBox="1"/>
        </xdr:nvSpPr>
        <xdr:spPr>
          <a:xfrm>
            <a:off x="0" y="5331901"/>
            <a:ext cx="1336542" cy="348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Schedule</a:t>
            </a:r>
          </a:p>
        </xdr:txBody>
      </xdr:sp>
      <xdr:sp macro="" textlink="">
        <xdr:nvSpPr>
          <xdr:cNvPr id="37" name="TextBox 36">
            <a:hlinkClick xmlns:r="http://schemas.openxmlformats.org/officeDocument/2006/relationships" r:id="rId6"/>
            <a:extLst>
              <a:ext uri="{FF2B5EF4-FFF2-40B4-BE49-F238E27FC236}">
                <a16:creationId xmlns:a16="http://schemas.microsoft.com/office/drawing/2014/main" id="{916534E1-B396-FC01-840F-26E28A8725E8}"/>
              </a:ext>
            </a:extLst>
          </xdr:cNvPr>
          <xdr:cNvSpPr txBox="1"/>
        </xdr:nvSpPr>
        <xdr:spPr>
          <a:xfrm>
            <a:off x="0" y="4878283"/>
            <a:ext cx="2449830"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 Punch List</a:t>
            </a:r>
          </a:p>
        </xdr:txBody>
      </xdr:sp>
      <xdr:sp macro="" textlink="">
        <xdr:nvSpPr>
          <xdr:cNvPr id="38" name="TextBox 37">
            <a:hlinkClick xmlns:r="http://schemas.openxmlformats.org/officeDocument/2006/relationships" r:id="rId7"/>
            <a:extLst>
              <a:ext uri="{FF2B5EF4-FFF2-40B4-BE49-F238E27FC236}">
                <a16:creationId xmlns:a16="http://schemas.microsoft.com/office/drawing/2014/main" id="{26725CDA-B3E2-558B-9C14-43B16A61299D}"/>
              </a:ext>
            </a:extLst>
          </xdr:cNvPr>
          <xdr:cNvSpPr txBox="1"/>
        </xdr:nvSpPr>
        <xdr:spPr>
          <a:xfrm>
            <a:off x="0" y="4439905"/>
            <a:ext cx="2110740" cy="354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Tenant Improvement</a:t>
            </a:r>
          </a:p>
        </xdr:txBody>
      </xdr:sp>
      <xdr:sp macro="" textlink="">
        <xdr:nvSpPr>
          <xdr:cNvPr id="39" name="TextBox 38">
            <a:hlinkClick xmlns:r="http://schemas.openxmlformats.org/officeDocument/2006/relationships" r:id="rId8"/>
            <a:extLst>
              <a:ext uri="{FF2B5EF4-FFF2-40B4-BE49-F238E27FC236}">
                <a16:creationId xmlns:a16="http://schemas.microsoft.com/office/drawing/2014/main" id="{9C053EC3-0C09-16FD-F3BB-830D09987407}"/>
              </a:ext>
            </a:extLst>
          </xdr:cNvPr>
          <xdr:cNvSpPr txBox="1"/>
        </xdr:nvSpPr>
        <xdr:spPr>
          <a:xfrm>
            <a:off x="0" y="4001528"/>
            <a:ext cx="1336542" cy="35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bg1"/>
                </a:solidFill>
                <a:latin typeface="Arial" panose="020B0604020202020204" pitchFamily="34" charset="0"/>
                <a:cs typeface="Arial" panose="020B0604020202020204" pitchFamily="34" charset="0"/>
              </a:rPr>
              <a:t>Swing Space</a:t>
            </a:r>
          </a:p>
        </xdr:txBody>
      </xdr:sp>
      <xdr:sp macro="" textlink="">
        <xdr:nvSpPr>
          <xdr:cNvPr id="40" name="TextBox 39">
            <a:hlinkClick xmlns:r="http://schemas.openxmlformats.org/officeDocument/2006/relationships" r:id="rId9"/>
            <a:extLst>
              <a:ext uri="{FF2B5EF4-FFF2-40B4-BE49-F238E27FC236}">
                <a16:creationId xmlns:a16="http://schemas.microsoft.com/office/drawing/2014/main" id="{88CDB2B4-D1D9-58C4-5452-A23EA92FE458}"/>
              </a:ext>
            </a:extLst>
          </xdr:cNvPr>
          <xdr:cNvSpPr txBox="1"/>
        </xdr:nvSpPr>
        <xdr:spPr>
          <a:xfrm>
            <a:off x="0" y="3565055"/>
            <a:ext cx="2055495" cy="356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Move Management</a:t>
            </a:r>
          </a:p>
        </xdr:txBody>
      </xdr:sp>
      <xdr:sp macro="" textlink="">
        <xdr:nvSpPr>
          <xdr:cNvPr id="41" name="TextBox 40">
            <a:hlinkClick xmlns:r="http://schemas.openxmlformats.org/officeDocument/2006/relationships" r:id="rId10"/>
            <a:extLst>
              <a:ext uri="{FF2B5EF4-FFF2-40B4-BE49-F238E27FC236}">
                <a16:creationId xmlns:a16="http://schemas.microsoft.com/office/drawing/2014/main" id="{736EA057-1598-E075-D03E-CED241BEC1E5}"/>
              </a:ext>
            </a:extLst>
          </xdr:cNvPr>
          <xdr:cNvSpPr txBox="1"/>
        </xdr:nvSpPr>
        <xdr:spPr>
          <a:xfrm>
            <a:off x="0" y="3122866"/>
            <a:ext cx="1735455"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FF&amp;E Punch List</a:t>
            </a:r>
          </a:p>
        </xdr:txBody>
      </xdr:sp>
      <xdr:sp macro="" textlink="">
        <xdr:nvSpPr>
          <xdr:cNvPr id="42" name="TextBox 41">
            <a:hlinkClick xmlns:r="http://schemas.openxmlformats.org/officeDocument/2006/relationships" r:id="rId11"/>
            <a:extLst>
              <a:ext uri="{FF2B5EF4-FFF2-40B4-BE49-F238E27FC236}">
                <a16:creationId xmlns:a16="http://schemas.microsoft.com/office/drawing/2014/main" id="{1C2587AA-5E80-D576-6201-722637716881}"/>
              </a:ext>
            </a:extLst>
          </xdr:cNvPr>
          <xdr:cNvSpPr txBox="1"/>
        </xdr:nvSpPr>
        <xdr:spPr>
          <a:xfrm>
            <a:off x="0" y="2692108"/>
            <a:ext cx="1336542"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Issue Log</a:t>
            </a:r>
          </a:p>
        </xdr:txBody>
      </xdr:sp>
      <xdr:sp macro="" textlink="">
        <xdr:nvSpPr>
          <xdr:cNvPr id="43" name="TextBox 42">
            <a:hlinkClick xmlns:r="http://schemas.openxmlformats.org/officeDocument/2006/relationships" r:id="rId12"/>
            <a:extLst>
              <a:ext uri="{FF2B5EF4-FFF2-40B4-BE49-F238E27FC236}">
                <a16:creationId xmlns:a16="http://schemas.microsoft.com/office/drawing/2014/main" id="{5F128DA2-6AC1-9042-536C-A884DBA16E76}"/>
              </a:ext>
            </a:extLst>
          </xdr:cNvPr>
          <xdr:cNvSpPr txBox="1"/>
        </xdr:nvSpPr>
        <xdr:spPr>
          <a:xfrm>
            <a:off x="0" y="2238490"/>
            <a:ext cx="1733549"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Master FF&amp;E List</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20</xdr:col>
      <xdr:colOff>2390774</xdr:colOff>
      <xdr:row>173</xdr:row>
      <xdr:rowOff>8708</xdr:rowOff>
    </xdr:to>
    <xdr:grpSp>
      <xdr:nvGrpSpPr>
        <xdr:cNvPr id="3" name="Group 2">
          <a:extLst>
            <a:ext uri="{FF2B5EF4-FFF2-40B4-BE49-F238E27FC236}">
              <a16:creationId xmlns:a16="http://schemas.microsoft.com/office/drawing/2014/main" id="{FF62EECF-1174-4B45-8148-02CBC40FE01B}"/>
            </a:ext>
          </a:extLst>
        </xdr:cNvPr>
        <xdr:cNvGrpSpPr/>
      </xdr:nvGrpSpPr>
      <xdr:grpSpPr>
        <a:xfrm>
          <a:off x="0" y="0"/>
          <a:ext cx="31873824" cy="31866658"/>
          <a:chOff x="0" y="0"/>
          <a:chExt cx="30529631" cy="31344053"/>
        </a:xfrm>
      </xdr:grpSpPr>
      <xdr:sp macro="" textlink="">
        <xdr:nvSpPr>
          <xdr:cNvPr id="7" name="Rectangle 6">
            <a:extLst>
              <a:ext uri="{FF2B5EF4-FFF2-40B4-BE49-F238E27FC236}">
                <a16:creationId xmlns:a16="http://schemas.microsoft.com/office/drawing/2014/main" id="{A51443F4-482E-63CD-7D0E-EF523AF77011}"/>
              </a:ext>
            </a:extLst>
          </xdr:cNvPr>
          <xdr:cNvSpPr>
            <a:spLocks noChangeAspect="1"/>
          </xdr:cNvSpPr>
        </xdr:nvSpPr>
        <xdr:spPr>
          <a:xfrm>
            <a:off x="2494806" y="0"/>
            <a:ext cx="28034825" cy="1085982"/>
          </a:xfrm>
          <a:prstGeom prst="rect">
            <a:avLst/>
          </a:prstGeom>
          <a:gradFill flip="none" rotWithShape="1">
            <a:gsLst>
              <a:gs pos="38000">
                <a:srgbClr val="507687"/>
              </a:gs>
              <a:gs pos="90000">
                <a:srgbClr val="EEEEEE"/>
              </a:gs>
              <a:gs pos="15000">
                <a:srgbClr val="384B70"/>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n-US" sz="1100"/>
          </a:p>
        </xdr:txBody>
      </xdr:sp>
      <xdr:pic>
        <xdr:nvPicPr>
          <xdr:cNvPr id="5" name="Picture 4">
            <a:extLst>
              <a:ext uri="{FF2B5EF4-FFF2-40B4-BE49-F238E27FC236}">
                <a16:creationId xmlns:a16="http://schemas.microsoft.com/office/drawing/2014/main" id="{5EB18A9F-78C5-958B-37EF-698A663C8E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55529" y="118425"/>
            <a:ext cx="2052383" cy="77054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6" name="Rectangle 5">
            <a:extLst>
              <a:ext uri="{FF2B5EF4-FFF2-40B4-BE49-F238E27FC236}">
                <a16:creationId xmlns:a16="http://schemas.microsoft.com/office/drawing/2014/main" id="{8DE087FA-7395-6876-060E-06161629DC22}"/>
              </a:ext>
            </a:extLst>
          </xdr:cNvPr>
          <xdr:cNvSpPr/>
        </xdr:nvSpPr>
        <xdr:spPr>
          <a:xfrm>
            <a:off x="0" y="0"/>
            <a:ext cx="2689828" cy="31344053"/>
          </a:xfrm>
          <a:prstGeom prst="rect">
            <a:avLst/>
          </a:prstGeom>
          <a:gradFill>
            <a:gsLst>
              <a:gs pos="73000">
                <a:srgbClr val="507687"/>
              </a:gs>
              <a:gs pos="88000">
                <a:srgbClr val="ACBCC3"/>
              </a:gs>
              <a:gs pos="97000">
                <a:srgbClr val="EEEEEE"/>
              </a:gs>
              <a:gs pos="71000">
                <a:srgbClr val="384B70"/>
              </a:gs>
            </a:gsLst>
            <a:lin ang="162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Settings!B10">
        <xdr:nvSpPr>
          <xdr:cNvPr id="8" name="TextBox 7">
            <a:extLst>
              <a:ext uri="{FF2B5EF4-FFF2-40B4-BE49-F238E27FC236}">
                <a16:creationId xmlns:a16="http://schemas.microsoft.com/office/drawing/2014/main" id="{2C2B3D99-A931-8AC6-EE36-90134480B528}"/>
              </a:ext>
            </a:extLst>
          </xdr:cNvPr>
          <xdr:cNvSpPr txBox="1">
            <a:spLocks noChangeAspect="1"/>
          </xdr:cNvSpPr>
        </xdr:nvSpPr>
        <xdr:spPr>
          <a:xfrm>
            <a:off x="4577763" y="129999"/>
            <a:ext cx="8357611" cy="75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ctr"/>
            <a:fld id="{B89CA585-AEE1-4B74-B0D2-DE13DE71B65A}" type="TxLink">
              <a:rPr lang="en-US" sz="2000" b="1" i="0" u="none" strike="noStrike">
                <a:ln>
                  <a:noFill/>
                </a:ln>
                <a:solidFill>
                  <a:srgbClr val="222B35"/>
                </a:solidFill>
                <a:latin typeface="Arial"/>
                <a:cs typeface="Arial"/>
              </a:rPr>
              <a:pPr algn="ctr"/>
              <a:t>San Diego Community College District: 
SDCCD 1450 Frazee Project Tenant Improvement</a:t>
            </a:fld>
            <a:endParaRPr lang="en-US" sz="1100" b="0" i="0" u="none" strike="noStrike">
              <a:ln>
                <a:noFill/>
              </a:ln>
              <a:solidFill>
                <a:schemeClr val="tx2">
                  <a:lumMod val="50000"/>
                </a:schemeClr>
              </a:solidFill>
              <a:latin typeface="Arial" panose="020B0604020202020204" pitchFamily="34" charset="0"/>
              <a:cs typeface="Arial" panose="020B0604020202020204" pitchFamily="34" charset="0"/>
            </a:endParaRPr>
          </a:p>
        </xdr:txBody>
      </xdr:sp>
      <xdr:pic>
        <xdr:nvPicPr>
          <xdr:cNvPr id="9" name="Picture 8">
            <a:extLst>
              <a:ext uri="{FF2B5EF4-FFF2-40B4-BE49-F238E27FC236}">
                <a16:creationId xmlns:a16="http://schemas.microsoft.com/office/drawing/2014/main" id="{44D963F2-FA18-9238-D184-C2180E4426F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055" y="257206"/>
            <a:ext cx="2591503" cy="459108"/>
          </a:xfrm>
          <a:prstGeom prst="rect">
            <a:avLst/>
          </a:prstGeom>
        </xdr:spPr>
      </xdr:pic>
      <xdr:sp macro="" textlink="">
        <xdr:nvSpPr>
          <xdr:cNvPr id="10" name="Rectangle: Rounded Corners 9">
            <a:extLst>
              <a:ext uri="{FF2B5EF4-FFF2-40B4-BE49-F238E27FC236}">
                <a16:creationId xmlns:a16="http://schemas.microsoft.com/office/drawing/2014/main" id="{F013AF25-B78C-3F97-6A81-8696B2FCAB29}"/>
              </a:ext>
            </a:extLst>
          </xdr:cNvPr>
          <xdr:cNvSpPr/>
        </xdr:nvSpPr>
        <xdr:spPr>
          <a:xfrm>
            <a:off x="19817" y="4267343"/>
            <a:ext cx="2553838" cy="361181"/>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hlinkClick xmlns:r="http://schemas.openxmlformats.org/officeDocument/2006/relationships" r:id="rId3"/>
            <a:extLst>
              <a:ext uri="{FF2B5EF4-FFF2-40B4-BE49-F238E27FC236}">
                <a16:creationId xmlns:a16="http://schemas.microsoft.com/office/drawing/2014/main" id="{E750E5DE-2E9F-CAF9-0F41-0A1743F7EDBB}"/>
              </a:ext>
            </a:extLst>
          </xdr:cNvPr>
          <xdr:cNvSpPr txBox="1"/>
        </xdr:nvSpPr>
        <xdr:spPr>
          <a:xfrm>
            <a:off x="0" y="1638380"/>
            <a:ext cx="1334637" cy="359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Dashboard</a:t>
            </a:r>
          </a:p>
        </xdr:txBody>
      </xdr:sp>
      <xdr:sp macro="" textlink="">
        <xdr:nvSpPr>
          <xdr:cNvPr id="12" name="Rectangle: Rounded Corners 11">
            <a:extLst>
              <a:ext uri="{FF2B5EF4-FFF2-40B4-BE49-F238E27FC236}">
                <a16:creationId xmlns:a16="http://schemas.microsoft.com/office/drawing/2014/main" id="{93780CEF-2289-0B6C-0344-A8E3B0E2AFC7}"/>
              </a:ext>
            </a:extLst>
          </xdr:cNvPr>
          <xdr:cNvSpPr/>
        </xdr:nvSpPr>
        <xdr:spPr>
          <a:xfrm>
            <a:off x="2530565" y="1263929"/>
            <a:ext cx="155775" cy="5143834"/>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hlinkClick xmlns:r="http://schemas.openxmlformats.org/officeDocument/2006/relationships" r:id="rId4"/>
            <a:extLst>
              <a:ext uri="{FF2B5EF4-FFF2-40B4-BE49-F238E27FC236}">
                <a16:creationId xmlns:a16="http://schemas.microsoft.com/office/drawing/2014/main" id="{58F54C53-AE6A-A6AF-26DC-1B495153EC0A}"/>
              </a:ext>
            </a:extLst>
          </xdr:cNvPr>
          <xdr:cNvSpPr txBox="1"/>
        </xdr:nvSpPr>
        <xdr:spPr>
          <a:xfrm>
            <a:off x="0" y="5616170"/>
            <a:ext cx="1628775"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Budget &amp; Costs</a:t>
            </a:r>
          </a:p>
        </xdr:txBody>
      </xdr:sp>
      <xdr:sp macro="" textlink="">
        <xdr:nvSpPr>
          <xdr:cNvPr id="14" name="TextBox 13">
            <a:hlinkClick xmlns:r="http://schemas.openxmlformats.org/officeDocument/2006/relationships" r:id="rId5"/>
            <a:extLst>
              <a:ext uri="{FF2B5EF4-FFF2-40B4-BE49-F238E27FC236}">
                <a16:creationId xmlns:a16="http://schemas.microsoft.com/office/drawing/2014/main" id="{72F68FC4-1DE5-C739-E8C3-E322CF241D81}"/>
              </a:ext>
            </a:extLst>
          </xdr:cNvPr>
          <xdr:cNvSpPr txBox="1"/>
        </xdr:nvSpPr>
        <xdr:spPr>
          <a:xfrm>
            <a:off x="0" y="5179694"/>
            <a:ext cx="1336542" cy="348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Schedule</a:t>
            </a:r>
          </a:p>
        </xdr:txBody>
      </xdr:sp>
      <xdr:sp macro="" textlink="">
        <xdr:nvSpPr>
          <xdr:cNvPr id="15" name="TextBox 14">
            <a:hlinkClick xmlns:r="http://schemas.openxmlformats.org/officeDocument/2006/relationships" r:id="rId6"/>
            <a:extLst>
              <a:ext uri="{FF2B5EF4-FFF2-40B4-BE49-F238E27FC236}">
                <a16:creationId xmlns:a16="http://schemas.microsoft.com/office/drawing/2014/main" id="{96F3A87F-0B42-781E-3782-A8DCE14E8AC4}"/>
              </a:ext>
            </a:extLst>
          </xdr:cNvPr>
          <xdr:cNvSpPr txBox="1"/>
        </xdr:nvSpPr>
        <xdr:spPr>
          <a:xfrm>
            <a:off x="0" y="4726076"/>
            <a:ext cx="2449830"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 Punch List</a:t>
            </a:r>
          </a:p>
        </xdr:txBody>
      </xdr:sp>
      <xdr:sp macro="" textlink="">
        <xdr:nvSpPr>
          <xdr:cNvPr id="16" name="TextBox 15">
            <a:hlinkClick xmlns:r="http://schemas.openxmlformats.org/officeDocument/2006/relationships" r:id="rId7"/>
            <a:extLst>
              <a:ext uri="{FF2B5EF4-FFF2-40B4-BE49-F238E27FC236}">
                <a16:creationId xmlns:a16="http://schemas.microsoft.com/office/drawing/2014/main" id="{64977625-F1AF-577A-962E-C3DA9A8A5CA1}"/>
              </a:ext>
            </a:extLst>
          </xdr:cNvPr>
          <xdr:cNvSpPr txBox="1"/>
        </xdr:nvSpPr>
        <xdr:spPr>
          <a:xfrm>
            <a:off x="0" y="4287700"/>
            <a:ext cx="2110740" cy="354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bg1"/>
                </a:solidFill>
                <a:latin typeface="Arial" panose="020B0604020202020204" pitchFamily="34" charset="0"/>
                <a:cs typeface="Arial" panose="020B0604020202020204" pitchFamily="34" charset="0"/>
              </a:rPr>
              <a:t>Tenant Improvement</a:t>
            </a:r>
          </a:p>
        </xdr:txBody>
      </xdr:sp>
      <xdr:sp macro="" textlink="">
        <xdr:nvSpPr>
          <xdr:cNvPr id="17" name="TextBox 16">
            <a:hlinkClick xmlns:r="http://schemas.openxmlformats.org/officeDocument/2006/relationships" r:id="rId8"/>
            <a:extLst>
              <a:ext uri="{FF2B5EF4-FFF2-40B4-BE49-F238E27FC236}">
                <a16:creationId xmlns:a16="http://schemas.microsoft.com/office/drawing/2014/main" id="{EBB678AE-925E-01D8-4C1D-F546C84372A7}"/>
              </a:ext>
            </a:extLst>
          </xdr:cNvPr>
          <xdr:cNvSpPr txBox="1"/>
        </xdr:nvSpPr>
        <xdr:spPr>
          <a:xfrm>
            <a:off x="0" y="3849314"/>
            <a:ext cx="1336542" cy="35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a:t>
            </a:r>
          </a:p>
        </xdr:txBody>
      </xdr:sp>
      <xdr:sp macro="" textlink="">
        <xdr:nvSpPr>
          <xdr:cNvPr id="18" name="TextBox 17">
            <a:hlinkClick xmlns:r="http://schemas.openxmlformats.org/officeDocument/2006/relationships" r:id="rId9"/>
            <a:extLst>
              <a:ext uri="{FF2B5EF4-FFF2-40B4-BE49-F238E27FC236}">
                <a16:creationId xmlns:a16="http://schemas.microsoft.com/office/drawing/2014/main" id="{A6B0B1D0-B2CA-3991-365A-80601DB19D55}"/>
              </a:ext>
            </a:extLst>
          </xdr:cNvPr>
          <xdr:cNvSpPr txBox="1"/>
        </xdr:nvSpPr>
        <xdr:spPr>
          <a:xfrm>
            <a:off x="0" y="3412842"/>
            <a:ext cx="2055495" cy="356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Move Management</a:t>
            </a:r>
          </a:p>
        </xdr:txBody>
      </xdr:sp>
      <xdr:sp macro="" textlink="">
        <xdr:nvSpPr>
          <xdr:cNvPr id="19" name="TextBox 18">
            <a:hlinkClick xmlns:r="http://schemas.openxmlformats.org/officeDocument/2006/relationships" r:id="rId10"/>
            <a:extLst>
              <a:ext uri="{FF2B5EF4-FFF2-40B4-BE49-F238E27FC236}">
                <a16:creationId xmlns:a16="http://schemas.microsoft.com/office/drawing/2014/main" id="{4E68C90D-79F7-97CD-F134-93A495697658}"/>
              </a:ext>
            </a:extLst>
          </xdr:cNvPr>
          <xdr:cNvSpPr txBox="1"/>
        </xdr:nvSpPr>
        <xdr:spPr>
          <a:xfrm>
            <a:off x="0" y="2970657"/>
            <a:ext cx="1735455"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FF&amp;E Punch List</a:t>
            </a:r>
          </a:p>
        </xdr:txBody>
      </xdr:sp>
      <xdr:sp macro="" textlink="">
        <xdr:nvSpPr>
          <xdr:cNvPr id="20" name="TextBox 19">
            <a:hlinkClick xmlns:r="http://schemas.openxmlformats.org/officeDocument/2006/relationships" r:id="rId11"/>
            <a:extLst>
              <a:ext uri="{FF2B5EF4-FFF2-40B4-BE49-F238E27FC236}">
                <a16:creationId xmlns:a16="http://schemas.microsoft.com/office/drawing/2014/main" id="{FB2C8251-6E48-1C1B-A898-A000CD891812}"/>
              </a:ext>
            </a:extLst>
          </xdr:cNvPr>
          <xdr:cNvSpPr txBox="1"/>
        </xdr:nvSpPr>
        <xdr:spPr>
          <a:xfrm>
            <a:off x="0" y="2539897"/>
            <a:ext cx="1336542"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Issue Log</a:t>
            </a:r>
          </a:p>
        </xdr:txBody>
      </xdr:sp>
      <xdr:sp macro="" textlink="">
        <xdr:nvSpPr>
          <xdr:cNvPr id="21" name="TextBox 20">
            <a:hlinkClick xmlns:r="http://schemas.openxmlformats.org/officeDocument/2006/relationships" r:id="rId12"/>
            <a:extLst>
              <a:ext uri="{FF2B5EF4-FFF2-40B4-BE49-F238E27FC236}">
                <a16:creationId xmlns:a16="http://schemas.microsoft.com/office/drawing/2014/main" id="{512B1948-5135-8F7D-6B9E-3A1445AD78EE}"/>
              </a:ext>
            </a:extLst>
          </xdr:cNvPr>
          <xdr:cNvSpPr txBox="1"/>
        </xdr:nvSpPr>
        <xdr:spPr>
          <a:xfrm>
            <a:off x="0" y="2086282"/>
            <a:ext cx="1733549"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Master FF&amp;E List</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497</xdr:row>
      <xdr:rowOff>140970</xdr:rowOff>
    </xdr:from>
    <xdr:to>
      <xdr:col>3</xdr:col>
      <xdr:colOff>598170</xdr:colOff>
      <xdr:row>30978</xdr:row>
      <xdr:rowOff>98240</xdr:rowOff>
    </xdr:to>
    <xdr:sp macro="" textlink="">
      <xdr:nvSpPr>
        <xdr:cNvPr id="4" name="Rectangle 3">
          <a:extLst>
            <a:ext uri="{FF2B5EF4-FFF2-40B4-BE49-F238E27FC236}">
              <a16:creationId xmlns:a16="http://schemas.microsoft.com/office/drawing/2014/main" id="{EF942BCC-26CD-4BE4-BA7D-25337AB2D1D4}"/>
            </a:ext>
          </a:extLst>
        </xdr:cNvPr>
        <xdr:cNvSpPr/>
      </xdr:nvSpPr>
      <xdr:spPr>
        <a:xfrm>
          <a:off x="0" y="95088075"/>
          <a:ext cx="2428875" cy="5806589675"/>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clientData/>
  </xdr:twoCellAnchor>
  <xdr:twoCellAnchor editAs="absolute">
    <xdr:from>
      <xdr:col>0</xdr:col>
      <xdr:colOff>0</xdr:colOff>
      <xdr:row>0</xdr:row>
      <xdr:rowOff>0</xdr:rowOff>
    </xdr:from>
    <xdr:to>
      <xdr:col>19</xdr:col>
      <xdr:colOff>0</xdr:colOff>
      <xdr:row>171</xdr:row>
      <xdr:rowOff>130628</xdr:rowOff>
    </xdr:to>
    <xdr:grpSp>
      <xdr:nvGrpSpPr>
        <xdr:cNvPr id="6" name="Group 5">
          <a:extLst>
            <a:ext uri="{FF2B5EF4-FFF2-40B4-BE49-F238E27FC236}">
              <a16:creationId xmlns:a16="http://schemas.microsoft.com/office/drawing/2014/main" id="{47063AF3-E349-4FA1-9A1C-1F949274F450}"/>
            </a:ext>
          </a:extLst>
        </xdr:cNvPr>
        <xdr:cNvGrpSpPr/>
      </xdr:nvGrpSpPr>
      <xdr:grpSpPr>
        <a:xfrm>
          <a:off x="0" y="0"/>
          <a:ext cx="28568650" cy="31893328"/>
          <a:chOff x="0" y="0"/>
          <a:chExt cx="28103111" cy="31344053"/>
        </a:xfrm>
      </xdr:grpSpPr>
      <xdr:sp macro="" textlink="">
        <xdr:nvSpPr>
          <xdr:cNvPr id="10" name="Rectangle 9">
            <a:extLst>
              <a:ext uri="{FF2B5EF4-FFF2-40B4-BE49-F238E27FC236}">
                <a16:creationId xmlns:a16="http://schemas.microsoft.com/office/drawing/2014/main" id="{B579228A-FCD8-DCE6-00B8-320B3B2009AE}"/>
              </a:ext>
            </a:extLst>
          </xdr:cNvPr>
          <xdr:cNvSpPr>
            <a:spLocks noChangeAspect="1"/>
          </xdr:cNvSpPr>
        </xdr:nvSpPr>
        <xdr:spPr>
          <a:xfrm>
            <a:off x="2494805" y="0"/>
            <a:ext cx="25608306" cy="1085982"/>
          </a:xfrm>
          <a:prstGeom prst="rect">
            <a:avLst/>
          </a:prstGeom>
          <a:gradFill flip="none" rotWithShape="1">
            <a:gsLst>
              <a:gs pos="38000">
                <a:srgbClr val="507687"/>
              </a:gs>
              <a:gs pos="90000">
                <a:srgbClr val="EEEEEE"/>
              </a:gs>
              <a:gs pos="15000">
                <a:srgbClr val="384B70"/>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n-US" sz="1100"/>
          </a:p>
        </xdr:txBody>
      </xdr:sp>
      <xdr:pic>
        <xdr:nvPicPr>
          <xdr:cNvPr id="8" name="Picture 7">
            <a:extLst>
              <a:ext uri="{FF2B5EF4-FFF2-40B4-BE49-F238E27FC236}">
                <a16:creationId xmlns:a16="http://schemas.microsoft.com/office/drawing/2014/main" id="{1D5C1BD4-F1D7-E778-C0C6-24549A7CEC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025184" y="136538"/>
            <a:ext cx="2052383" cy="77054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Rectangle 8">
            <a:extLst>
              <a:ext uri="{FF2B5EF4-FFF2-40B4-BE49-F238E27FC236}">
                <a16:creationId xmlns:a16="http://schemas.microsoft.com/office/drawing/2014/main" id="{36D4853C-DA54-4BD4-F3E2-1BCF40E324DE}"/>
              </a:ext>
            </a:extLst>
          </xdr:cNvPr>
          <xdr:cNvSpPr/>
        </xdr:nvSpPr>
        <xdr:spPr>
          <a:xfrm>
            <a:off x="0" y="0"/>
            <a:ext cx="2689828" cy="31344053"/>
          </a:xfrm>
          <a:prstGeom prst="rect">
            <a:avLst/>
          </a:prstGeom>
          <a:gradFill>
            <a:gsLst>
              <a:gs pos="73000">
                <a:srgbClr val="507687"/>
              </a:gs>
              <a:gs pos="88000">
                <a:srgbClr val="ACBCC3"/>
              </a:gs>
              <a:gs pos="97000">
                <a:srgbClr val="EEEEEE"/>
              </a:gs>
              <a:gs pos="71000">
                <a:srgbClr val="384B70"/>
              </a:gs>
            </a:gsLst>
            <a:lin ang="162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Settings!B7">
        <xdr:nvSpPr>
          <xdr:cNvPr id="11" name="TextBox 10">
            <a:extLst>
              <a:ext uri="{FF2B5EF4-FFF2-40B4-BE49-F238E27FC236}">
                <a16:creationId xmlns:a16="http://schemas.microsoft.com/office/drawing/2014/main" id="{4AA4F802-20EC-E33C-9335-4E5ADAE5EF60}"/>
              </a:ext>
            </a:extLst>
          </xdr:cNvPr>
          <xdr:cNvSpPr txBox="1">
            <a:spLocks noChangeAspect="1"/>
          </xdr:cNvSpPr>
        </xdr:nvSpPr>
        <xdr:spPr>
          <a:xfrm>
            <a:off x="4577763" y="129999"/>
            <a:ext cx="8357611" cy="75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ctr"/>
            <a:fld id="{5E47341B-E6C0-4FD4-B02F-E84088D2E8F4}" type="TxLink">
              <a:rPr lang="en-US" sz="2000" b="1" i="0" u="none" strike="noStrike">
                <a:ln>
                  <a:noFill/>
                </a:ln>
                <a:solidFill>
                  <a:srgbClr val="222B35"/>
                </a:solidFill>
                <a:latin typeface="Arial"/>
                <a:cs typeface="Arial"/>
              </a:rPr>
              <a:pPr algn="ctr"/>
              <a:t>San Diego Community College District: 
SDCCD 1450 Frazee Project Swing Space Punch List</a:t>
            </a:fld>
            <a:endParaRPr lang="en-US" sz="1100" b="0" i="0" u="none" strike="noStrike">
              <a:ln>
                <a:noFill/>
              </a:ln>
              <a:solidFill>
                <a:schemeClr val="tx2">
                  <a:lumMod val="50000"/>
                </a:schemeClr>
              </a:solidFill>
              <a:latin typeface="Arial" panose="020B0604020202020204" pitchFamily="34" charset="0"/>
              <a:cs typeface="Arial" panose="020B0604020202020204" pitchFamily="34" charset="0"/>
            </a:endParaRPr>
          </a:p>
        </xdr:txBody>
      </xdr:sp>
      <xdr:pic>
        <xdr:nvPicPr>
          <xdr:cNvPr id="12" name="Picture 11">
            <a:extLst>
              <a:ext uri="{FF2B5EF4-FFF2-40B4-BE49-F238E27FC236}">
                <a16:creationId xmlns:a16="http://schemas.microsoft.com/office/drawing/2014/main" id="{F8B7691C-15AD-FB50-2BA9-E44CF16033F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055" y="257206"/>
            <a:ext cx="2591503" cy="459108"/>
          </a:xfrm>
          <a:prstGeom prst="rect">
            <a:avLst/>
          </a:prstGeom>
        </xdr:spPr>
      </xdr:pic>
      <xdr:sp macro="" textlink="">
        <xdr:nvSpPr>
          <xdr:cNvPr id="13" name="Rectangle: Rounded Corners 12">
            <a:extLst>
              <a:ext uri="{FF2B5EF4-FFF2-40B4-BE49-F238E27FC236}">
                <a16:creationId xmlns:a16="http://schemas.microsoft.com/office/drawing/2014/main" id="{745C85B0-BFF4-5B0F-983B-3A1FD2B232C4}"/>
              </a:ext>
            </a:extLst>
          </xdr:cNvPr>
          <xdr:cNvSpPr/>
        </xdr:nvSpPr>
        <xdr:spPr>
          <a:xfrm>
            <a:off x="19817" y="4942463"/>
            <a:ext cx="2553838" cy="361181"/>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hlinkClick xmlns:r="http://schemas.openxmlformats.org/officeDocument/2006/relationships" r:id="rId3"/>
            <a:extLst>
              <a:ext uri="{FF2B5EF4-FFF2-40B4-BE49-F238E27FC236}">
                <a16:creationId xmlns:a16="http://schemas.microsoft.com/office/drawing/2014/main" id="{93FE85BF-7625-17DF-88BA-03955E12821B}"/>
              </a:ext>
            </a:extLst>
          </xdr:cNvPr>
          <xdr:cNvSpPr txBox="1"/>
        </xdr:nvSpPr>
        <xdr:spPr>
          <a:xfrm>
            <a:off x="0" y="1885801"/>
            <a:ext cx="1334637" cy="359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Dashboard</a:t>
            </a:r>
          </a:p>
        </xdr:txBody>
      </xdr:sp>
      <xdr:sp macro="" textlink="">
        <xdr:nvSpPr>
          <xdr:cNvPr id="15" name="Rectangle: Rounded Corners 14">
            <a:extLst>
              <a:ext uri="{FF2B5EF4-FFF2-40B4-BE49-F238E27FC236}">
                <a16:creationId xmlns:a16="http://schemas.microsoft.com/office/drawing/2014/main" id="{E83A727F-603A-4B06-BA92-2F78B4A41634}"/>
              </a:ext>
            </a:extLst>
          </xdr:cNvPr>
          <xdr:cNvSpPr/>
        </xdr:nvSpPr>
        <xdr:spPr>
          <a:xfrm>
            <a:off x="2530565" y="1539456"/>
            <a:ext cx="155775" cy="5143834"/>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hlinkClick xmlns:r="http://schemas.openxmlformats.org/officeDocument/2006/relationships" r:id="rId4"/>
            <a:extLst>
              <a:ext uri="{FF2B5EF4-FFF2-40B4-BE49-F238E27FC236}">
                <a16:creationId xmlns:a16="http://schemas.microsoft.com/office/drawing/2014/main" id="{E1E7B93C-79B7-ACBB-D7A6-A96827A88A9D}"/>
              </a:ext>
            </a:extLst>
          </xdr:cNvPr>
          <xdr:cNvSpPr txBox="1"/>
        </xdr:nvSpPr>
        <xdr:spPr>
          <a:xfrm>
            <a:off x="0" y="5863591"/>
            <a:ext cx="1628775"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Budget &amp; Costs</a:t>
            </a:r>
          </a:p>
        </xdr:txBody>
      </xdr:sp>
      <xdr:sp macro="" textlink="">
        <xdr:nvSpPr>
          <xdr:cNvPr id="17" name="TextBox 16">
            <a:hlinkClick xmlns:r="http://schemas.openxmlformats.org/officeDocument/2006/relationships" r:id="rId5"/>
            <a:extLst>
              <a:ext uri="{FF2B5EF4-FFF2-40B4-BE49-F238E27FC236}">
                <a16:creationId xmlns:a16="http://schemas.microsoft.com/office/drawing/2014/main" id="{69398905-438F-3AE2-5756-0D1592E8DDF2}"/>
              </a:ext>
            </a:extLst>
          </xdr:cNvPr>
          <xdr:cNvSpPr txBox="1"/>
        </xdr:nvSpPr>
        <xdr:spPr>
          <a:xfrm>
            <a:off x="0" y="5427114"/>
            <a:ext cx="1336542" cy="348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Schedule</a:t>
            </a:r>
          </a:p>
        </xdr:txBody>
      </xdr:sp>
      <xdr:sp macro="" textlink="">
        <xdr:nvSpPr>
          <xdr:cNvPr id="18" name="TextBox 17">
            <a:hlinkClick xmlns:r="http://schemas.openxmlformats.org/officeDocument/2006/relationships" r:id="rId6"/>
            <a:extLst>
              <a:ext uri="{FF2B5EF4-FFF2-40B4-BE49-F238E27FC236}">
                <a16:creationId xmlns:a16="http://schemas.microsoft.com/office/drawing/2014/main" id="{845E5C32-F366-D3CD-684F-90E958D6B1B2}"/>
              </a:ext>
            </a:extLst>
          </xdr:cNvPr>
          <xdr:cNvSpPr txBox="1"/>
        </xdr:nvSpPr>
        <xdr:spPr>
          <a:xfrm>
            <a:off x="0" y="4973497"/>
            <a:ext cx="2449830"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bg1"/>
                </a:solidFill>
                <a:latin typeface="Arial" panose="020B0604020202020204" pitchFamily="34" charset="0"/>
                <a:cs typeface="Arial" panose="020B0604020202020204" pitchFamily="34" charset="0"/>
              </a:rPr>
              <a:t>Swing Space Punch List</a:t>
            </a:r>
          </a:p>
        </xdr:txBody>
      </xdr:sp>
      <xdr:sp macro="" textlink="">
        <xdr:nvSpPr>
          <xdr:cNvPr id="19" name="TextBox 18">
            <a:hlinkClick xmlns:r="http://schemas.openxmlformats.org/officeDocument/2006/relationships" r:id="rId7"/>
            <a:extLst>
              <a:ext uri="{FF2B5EF4-FFF2-40B4-BE49-F238E27FC236}">
                <a16:creationId xmlns:a16="http://schemas.microsoft.com/office/drawing/2014/main" id="{1FC73E99-19A1-EEF2-9434-9FDA5793BE51}"/>
              </a:ext>
            </a:extLst>
          </xdr:cNvPr>
          <xdr:cNvSpPr txBox="1"/>
        </xdr:nvSpPr>
        <xdr:spPr>
          <a:xfrm>
            <a:off x="0" y="4535118"/>
            <a:ext cx="2110740" cy="354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Tenant Improvement</a:t>
            </a:r>
          </a:p>
        </xdr:txBody>
      </xdr:sp>
      <xdr:sp macro="" textlink="">
        <xdr:nvSpPr>
          <xdr:cNvPr id="20" name="TextBox 19">
            <a:hlinkClick xmlns:r="http://schemas.openxmlformats.org/officeDocument/2006/relationships" r:id="rId8"/>
            <a:extLst>
              <a:ext uri="{FF2B5EF4-FFF2-40B4-BE49-F238E27FC236}">
                <a16:creationId xmlns:a16="http://schemas.microsoft.com/office/drawing/2014/main" id="{8A16159B-F0D0-F07C-B271-EAB2914D1D60}"/>
              </a:ext>
            </a:extLst>
          </xdr:cNvPr>
          <xdr:cNvSpPr txBox="1"/>
        </xdr:nvSpPr>
        <xdr:spPr>
          <a:xfrm>
            <a:off x="0" y="4096742"/>
            <a:ext cx="1336542" cy="35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a:t>
            </a:r>
          </a:p>
        </xdr:txBody>
      </xdr:sp>
      <xdr:sp macro="" textlink="">
        <xdr:nvSpPr>
          <xdr:cNvPr id="21" name="TextBox 20">
            <a:hlinkClick xmlns:r="http://schemas.openxmlformats.org/officeDocument/2006/relationships" r:id="rId9"/>
            <a:extLst>
              <a:ext uri="{FF2B5EF4-FFF2-40B4-BE49-F238E27FC236}">
                <a16:creationId xmlns:a16="http://schemas.microsoft.com/office/drawing/2014/main" id="{FCF86EB8-F6A8-ECDD-CBC3-D0017CB7BC35}"/>
              </a:ext>
            </a:extLst>
          </xdr:cNvPr>
          <xdr:cNvSpPr txBox="1"/>
        </xdr:nvSpPr>
        <xdr:spPr>
          <a:xfrm>
            <a:off x="0" y="3660270"/>
            <a:ext cx="2055495" cy="356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Move Management</a:t>
            </a:r>
          </a:p>
        </xdr:txBody>
      </xdr:sp>
      <xdr:sp macro="" textlink="">
        <xdr:nvSpPr>
          <xdr:cNvPr id="22" name="TextBox 21">
            <a:hlinkClick xmlns:r="http://schemas.openxmlformats.org/officeDocument/2006/relationships" r:id="rId10"/>
            <a:extLst>
              <a:ext uri="{FF2B5EF4-FFF2-40B4-BE49-F238E27FC236}">
                <a16:creationId xmlns:a16="http://schemas.microsoft.com/office/drawing/2014/main" id="{EA8F92EC-0F34-EFE8-3F3A-4E875EF236F3}"/>
              </a:ext>
            </a:extLst>
          </xdr:cNvPr>
          <xdr:cNvSpPr txBox="1"/>
        </xdr:nvSpPr>
        <xdr:spPr>
          <a:xfrm>
            <a:off x="0" y="3218081"/>
            <a:ext cx="1735455"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FF&amp;E Punch List</a:t>
            </a:r>
          </a:p>
        </xdr:txBody>
      </xdr:sp>
      <xdr:sp macro="" textlink="">
        <xdr:nvSpPr>
          <xdr:cNvPr id="23" name="TextBox 22">
            <a:hlinkClick xmlns:r="http://schemas.openxmlformats.org/officeDocument/2006/relationships" r:id="rId11"/>
            <a:extLst>
              <a:ext uri="{FF2B5EF4-FFF2-40B4-BE49-F238E27FC236}">
                <a16:creationId xmlns:a16="http://schemas.microsoft.com/office/drawing/2014/main" id="{FFAECA0E-110D-7CBA-57AC-3CAC2668005B}"/>
              </a:ext>
            </a:extLst>
          </xdr:cNvPr>
          <xdr:cNvSpPr txBox="1"/>
        </xdr:nvSpPr>
        <xdr:spPr>
          <a:xfrm>
            <a:off x="0" y="2787321"/>
            <a:ext cx="1336542"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Issue Log</a:t>
            </a:r>
          </a:p>
        </xdr:txBody>
      </xdr:sp>
      <xdr:sp macro="" textlink="">
        <xdr:nvSpPr>
          <xdr:cNvPr id="24" name="TextBox 23">
            <a:hlinkClick xmlns:r="http://schemas.openxmlformats.org/officeDocument/2006/relationships" r:id="rId12"/>
            <a:extLst>
              <a:ext uri="{FF2B5EF4-FFF2-40B4-BE49-F238E27FC236}">
                <a16:creationId xmlns:a16="http://schemas.microsoft.com/office/drawing/2014/main" id="{BAF06344-2D86-176E-3F25-4852C032AE22}"/>
              </a:ext>
            </a:extLst>
          </xdr:cNvPr>
          <xdr:cNvSpPr txBox="1"/>
        </xdr:nvSpPr>
        <xdr:spPr>
          <a:xfrm>
            <a:off x="0" y="2333703"/>
            <a:ext cx="1733549"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Master FF&amp;E List</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21</xdr:colOff>
      <xdr:row>6</xdr:row>
      <xdr:rowOff>40822</xdr:rowOff>
    </xdr:from>
    <xdr:to>
      <xdr:col>9</xdr:col>
      <xdr:colOff>547709</xdr:colOff>
      <xdr:row>11</xdr:row>
      <xdr:rowOff>101628</xdr:rowOff>
    </xdr:to>
    <xdr:grpSp>
      <xdr:nvGrpSpPr>
        <xdr:cNvPr id="2" name="Group 1">
          <a:extLst>
            <a:ext uri="{FF2B5EF4-FFF2-40B4-BE49-F238E27FC236}">
              <a16:creationId xmlns:a16="http://schemas.microsoft.com/office/drawing/2014/main" id="{48D81235-F9CB-4F76-A5E2-EB4247408D86}"/>
            </a:ext>
          </a:extLst>
        </xdr:cNvPr>
        <xdr:cNvGrpSpPr/>
      </xdr:nvGrpSpPr>
      <xdr:grpSpPr>
        <a:xfrm>
          <a:off x="2686071" y="1145722"/>
          <a:ext cx="11228388" cy="981556"/>
          <a:chOff x="2678909" y="8858249"/>
          <a:chExt cx="10739438" cy="1013306"/>
        </a:xfrm>
      </xdr:grpSpPr>
      <xdr:sp macro="" textlink="">
        <xdr:nvSpPr>
          <xdr:cNvPr id="3" name="Rectangle 2">
            <a:extLst>
              <a:ext uri="{FF2B5EF4-FFF2-40B4-BE49-F238E27FC236}">
                <a16:creationId xmlns:a16="http://schemas.microsoft.com/office/drawing/2014/main" id="{820ADF22-697F-C18A-5F82-D1C1A2B490A2}"/>
              </a:ext>
            </a:extLst>
          </xdr:cNvPr>
          <xdr:cNvSpPr/>
        </xdr:nvSpPr>
        <xdr:spPr>
          <a:xfrm>
            <a:off x="2678909" y="8858249"/>
            <a:ext cx="10739438" cy="1013306"/>
          </a:xfrm>
          <a:prstGeom prst="rect">
            <a:avLst/>
          </a:prstGeom>
          <a:no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4" name="Rectangle 3">
            <a:extLst>
              <a:ext uri="{FF2B5EF4-FFF2-40B4-BE49-F238E27FC236}">
                <a16:creationId xmlns:a16="http://schemas.microsoft.com/office/drawing/2014/main" id="{F8ACA8EC-DF53-F829-3C62-53BEDB0C2311}"/>
              </a:ext>
            </a:extLst>
          </xdr:cNvPr>
          <xdr:cNvSpPr/>
        </xdr:nvSpPr>
        <xdr:spPr>
          <a:xfrm>
            <a:off x="2918404" y="9083817"/>
            <a:ext cx="600417" cy="136077"/>
          </a:xfrm>
          <a:prstGeom prst="rect">
            <a:avLst/>
          </a:prstGeom>
          <a:solidFill>
            <a:srgbClr val="D8EA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A8BB08E4-5466-0C7B-4FA9-6915C75305DD}"/>
              </a:ext>
            </a:extLst>
          </xdr:cNvPr>
          <xdr:cNvSpPr/>
        </xdr:nvSpPr>
        <xdr:spPr>
          <a:xfrm>
            <a:off x="2918404" y="9289777"/>
            <a:ext cx="600417" cy="128509"/>
          </a:xfrm>
          <a:prstGeom prst="rect">
            <a:avLst/>
          </a:prstGeom>
          <a:solidFill>
            <a:srgbClr val="1278D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756F2FD2-7BFA-D486-28E6-DE3C9ACEE2E5}"/>
              </a:ext>
            </a:extLst>
          </xdr:cNvPr>
          <xdr:cNvSpPr/>
        </xdr:nvSpPr>
        <xdr:spPr>
          <a:xfrm>
            <a:off x="2918404" y="9485312"/>
            <a:ext cx="600417" cy="127870"/>
          </a:xfrm>
          <a:prstGeom prst="rect">
            <a:avLst/>
          </a:prstGeom>
          <a:solidFill>
            <a:srgbClr val="54823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BBF7BC0E-4F93-7AA3-B134-87676ECB56CD}"/>
              </a:ext>
            </a:extLst>
          </xdr:cNvPr>
          <xdr:cNvSpPr/>
        </xdr:nvSpPr>
        <xdr:spPr>
          <a:xfrm>
            <a:off x="6283511" y="9079546"/>
            <a:ext cx="568274" cy="137824"/>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5CBDEE1-7FA9-E9D0-AAD0-B48E66AA1B07}"/>
              </a:ext>
            </a:extLst>
          </xdr:cNvPr>
          <xdr:cNvSpPr/>
        </xdr:nvSpPr>
        <xdr:spPr>
          <a:xfrm>
            <a:off x="6283511" y="9287253"/>
            <a:ext cx="568274" cy="133750"/>
          </a:xfrm>
          <a:prstGeom prst="rect">
            <a:avLst/>
          </a:prstGeom>
          <a:solidFill>
            <a:srgbClr val="FF006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834F8ACC-4D48-DE60-D755-881F346E4A8D}"/>
              </a:ext>
            </a:extLst>
          </xdr:cNvPr>
          <xdr:cNvSpPr/>
        </xdr:nvSpPr>
        <xdr:spPr>
          <a:xfrm>
            <a:off x="6283511" y="9485312"/>
            <a:ext cx="568274" cy="130587"/>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57A5DB76-8C9E-79B7-3D04-78AE90834CE0}"/>
              </a:ext>
            </a:extLst>
          </xdr:cNvPr>
          <xdr:cNvSpPr/>
        </xdr:nvSpPr>
        <xdr:spPr>
          <a:xfrm>
            <a:off x="9446158" y="9079546"/>
            <a:ext cx="604018" cy="137824"/>
          </a:xfrm>
          <a:prstGeom prst="rect">
            <a:avLst/>
          </a:prstGeom>
          <a:solidFill>
            <a:srgbClr val="00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43EBBBB8-DB58-F300-54A0-82EBBB6250AC}"/>
              </a:ext>
            </a:extLst>
          </xdr:cNvPr>
          <xdr:cNvSpPr txBox="1"/>
        </xdr:nvSpPr>
        <xdr:spPr>
          <a:xfrm>
            <a:off x="3599702" y="9079546"/>
            <a:ext cx="2230660" cy="1378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N/A (Non-FF&amp;E</a:t>
            </a:r>
            <a:r>
              <a:rPr lang="en-US" sz="1100" baseline="0"/>
              <a:t> Activities)</a:t>
            </a:r>
            <a:endParaRPr lang="en-US" sz="1100"/>
          </a:p>
        </xdr:txBody>
      </xdr:sp>
      <xdr:sp macro="" textlink="">
        <xdr:nvSpPr>
          <xdr:cNvPr id="12" name="TextBox 11">
            <a:extLst>
              <a:ext uri="{FF2B5EF4-FFF2-40B4-BE49-F238E27FC236}">
                <a16:creationId xmlns:a16="http://schemas.microsoft.com/office/drawing/2014/main" id="{58C28910-5508-5714-A3FA-D11217CA7DA1}"/>
              </a:ext>
            </a:extLst>
          </xdr:cNvPr>
          <xdr:cNvSpPr txBox="1"/>
        </xdr:nvSpPr>
        <xdr:spPr>
          <a:xfrm>
            <a:off x="3598862" y="9287253"/>
            <a:ext cx="2230660" cy="133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aseline="0"/>
              <a:t>Swing Space</a:t>
            </a:r>
            <a:endParaRPr lang="en-US" sz="1100"/>
          </a:p>
        </xdr:txBody>
      </xdr:sp>
      <xdr:sp macro="" textlink="">
        <xdr:nvSpPr>
          <xdr:cNvPr id="13" name="TextBox 12">
            <a:extLst>
              <a:ext uri="{FF2B5EF4-FFF2-40B4-BE49-F238E27FC236}">
                <a16:creationId xmlns:a16="http://schemas.microsoft.com/office/drawing/2014/main" id="{FEA61AEB-9E5F-076E-89ED-20C187C04BDE}"/>
              </a:ext>
            </a:extLst>
          </xdr:cNvPr>
          <xdr:cNvSpPr txBox="1"/>
        </xdr:nvSpPr>
        <xdr:spPr>
          <a:xfrm>
            <a:off x="3598862" y="9488030"/>
            <a:ext cx="2230660" cy="1253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Move Management</a:t>
            </a:r>
          </a:p>
        </xdr:txBody>
      </xdr:sp>
      <xdr:sp macro="" textlink="">
        <xdr:nvSpPr>
          <xdr:cNvPr id="14" name="TextBox 13">
            <a:extLst>
              <a:ext uri="{FF2B5EF4-FFF2-40B4-BE49-F238E27FC236}">
                <a16:creationId xmlns:a16="http://schemas.microsoft.com/office/drawing/2014/main" id="{F5FF32E9-84B2-AABF-8DBB-C8FF16C5DE82}"/>
              </a:ext>
            </a:extLst>
          </xdr:cNvPr>
          <xdr:cNvSpPr txBox="1"/>
        </xdr:nvSpPr>
        <xdr:spPr>
          <a:xfrm>
            <a:off x="6928461" y="9084010"/>
            <a:ext cx="2218894" cy="1360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AV/Ed-Tech</a:t>
            </a:r>
          </a:p>
        </xdr:txBody>
      </xdr:sp>
      <xdr:sp macro="" textlink="">
        <xdr:nvSpPr>
          <xdr:cNvPr id="15" name="TextBox 14">
            <a:extLst>
              <a:ext uri="{FF2B5EF4-FFF2-40B4-BE49-F238E27FC236}">
                <a16:creationId xmlns:a16="http://schemas.microsoft.com/office/drawing/2014/main" id="{CCB09091-2B63-5015-16F0-53F304105D83}"/>
              </a:ext>
            </a:extLst>
          </xdr:cNvPr>
          <xdr:cNvSpPr txBox="1"/>
        </xdr:nvSpPr>
        <xdr:spPr>
          <a:xfrm>
            <a:off x="6927415" y="9289970"/>
            <a:ext cx="2251037" cy="1250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IT</a:t>
            </a:r>
          </a:p>
        </xdr:txBody>
      </xdr:sp>
      <xdr:sp macro="" textlink="">
        <xdr:nvSpPr>
          <xdr:cNvPr id="16" name="TextBox 15">
            <a:extLst>
              <a:ext uri="{FF2B5EF4-FFF2-40B4-BE49-F238E27FC236}">
                <a16:creationId xmlns:a16="http://schemas.microsoft.com/office/drawing/2014/main" id="{B907924A-DD52-03E6-EE3C-A745E4276A0E}"/>
              </a:ext>
            </a:extLst>
          </xdr:cNvPr>
          <xdr:cNvSpPr txBox="1"/>
        </xdr:nvSpPr>
        <xdr:spPr>
          <a:xfrm>
            <a:off x="6927415" y="9490748"/>
            <a:ext cx="2251037" cy="1253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Other</a:t>
            </a:r>
          </a:p>
        </xdr:txBody>
      </xdr:sp>
      <xdr:sp macro="" textlink="">
        <xdr:nvSpPr>
          <xdr:cNvPr id="17" name="TextBox 16">
            <a:extLst>
              <a:ext uri="{FF2B5EF4-FFF2-40B4-BE49-F238E27FC236}">
                <a16:creationId xmlns:a16="http://schemas.microsoft.com/office/drawing/2014/main" id="{68059A5A-7669-07DB-91C2-1C5DB09168BF}"/>
              </a:ext>
            </a:extLst>
          </xdr:cNvPr>
          <xdr:cNvSpPr txBox="1"/>
        </xdr:nvSpPr>
        <xdr:spPr>
          <a:xfrm>
            <a:off x="10118313" y="9060196"/>
            <a:ext cx="3136868" cy="1935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aseline="0">
                <a:solidFill>
                  <a:schemeClr val="dk1"/>
                </a:solidFill>
                <a:effectLst/>
                <a:latin typeface="+mn-lt"/>
                <a:ea typeface="+mn-ea"/>
                <a:cs typeface="+mn-cs"/>
              </a:rPr>
              <a:t>Furniture, Fixtures, Equipment (Non AV/Ed-Tech/IT) </a:t>
            </a:r>
            <a:endParaRPr lang="en-US">
              <a:effectLst/>
            </a:endParaRPr>
          </a:p>
        </xdr:txBody>
      </xdr:sp>
      <xdr:sp macro="" textlink="">
        <xdr:nvSpPr>
          <xdr:cNvPr id="18" name="Rectangle 17">
            <a:extLst>
              <a:ext uri="{FF2B5EF4-FFF2-40B4-BE49-F238E27FC236}">
                <a16:creationId xmlns:a16="http://schemas.microsoft.com/office/drawing/2014/main" id="{380618CF-7C60-97E0-2DDE-9DE335C68F4A}"/>
              </a:ext>
            </a:extLst>
          </xdr:cNvPr>
          <xdr:cNvSpPr/>
        </xdr:nvSpPr>
        <xdr:spPr>
          <a:xfrm>
            <a:off x="9441646" y="9294319"/>
            <a:ext cx="604018" cy="137824"/>
          </a:xfrm>
          <a:prstGeom prst="rect">
            <a:avLst/>
          </a:prstGeom>
          <a:solidFill>
            <a:srgbClr val="FFFF8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TextBox 18">
            <a:extLst>
              <a:ext uri="{FF2B5EF4-FFF2-40B4-BE49-F238E27FC236}">
                <a16:creationId xmlns:a16="http://schemas.microsoft.com/office/drawing/2014/main" id="{2948754C-A4A5-FC89-4485-CFFAD6D5690C}"/>
              </a:ext>
            </a:extLst>
          </xdr:cNvPr>
          <xdr:cNvSpPr txBox="1"/>
        </xdr:nvSpPr>
        <xdr:spPr>
          <a:xfrm>
            <a:off x="10113801" y="9274969"/>
            <a:ext cx="3136868" cy="1935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aseline="0">
                <a:solidFill>
                  <a:schemeClr val="dk1"/>
                </a:solidFill>
                <a:effectLst/>
                <a:latin typeface="+mn-lt"/>
                <a:ea typeface="+mn-ea"/>
                <a:cs typeface="+mn-cs"/>
              </a:rPr>
              <a:t>Planned Activity Timeframe </a:t>
            </a:r>
            <a:endParaRPr lang="en-US">
              <a:effectLst/>
            </a:endParaRPr>
          </a:p>
        </xdr:txBody>
      </xdr:sp>
    </xdr:grpSp>
    <xdr:clientData/>
  </xdr:twoCellAnchor>
  <xdr:twoCellAnchor editAs="absolute">
    <xdr:from>
      <xdr:col>0</xdr:col>
      <xdr:colOff>16776</xdr:colOff>
      <xdr:row>495</xdr:row>
      <xdr:rowOff>95763</xdr:rowOff>
    </xdr:from>
    <xdr:to>
      <xdr:col>3</xdr:col>
      <xdr:colOff>553330</xdr:colOff>
      <xdr:row>30686</xdr:row>
      <xdr:rowOff>3134</xdr:rowOff>
    </xdr:to>
    <xdr:sp macro="" textlink="">
      <xdr:nvSpPr>
        <xdr:cNvPr id="22" name="Rectangle 21">
          <a:extLst>
            <a:ext uri="{FF2B5EF4-FFF2-40B4-BE49-F238E27FC236}">
              <a16:creationId xmlns:a16="http://schemas.microsoft.com/office/drawing/2014/main" id="{D17AC35F-AF5D-418E-B39D-5EFDC0B2640B}"/>
            </a:ext>
          </a:extLst>
        </xdr:cNvPr>
        <xdr:cNvSpPr/>
      </xdr:nvSpPr>
      <xdr:spPr>
        <a:xfrm>
          <a:off x="9156" y="95579712"/>
          <a:ext cx="2381253" cy="5806598831"/>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clientData/>
  </xdr:twoCellAnchor>
  <xdr:twoCellAnchor editAs="absolute">
    <xdr:from>
      <xdr:col>0</xdr:col>
      <xdr:colOff>0</xdr:colOff>
      <xdr:row>0</xdr:row>
      <xdr:rowOff>0</xdr:rowOff>
    </xdr:from>
    <xdr:to>
      <xdr:col>291</xdr:col>
      <xdr:colOff>19050</xdr:colOff>
      <xdr:row>169</xdr:row>
      <xdr:rowOff>96997</xdr:rowOff>
    </xdr:to>
    <xdr:grpSp>
      <xdr:nvGrpSpPr>
        <xdr:cNvPr id="23" name="Group 22">
          <a:extLst>
            <a:ext uri="{FF2B5EF4-FFF2-40B4-BE49-F238E27FC236}">
              <a16:creationId xmlns:a16="http://schemas.microsoft.com/office/drawing/2014/main" id="{84E02D8D-8AA1-49A5-AA10-9EE90A11D196}"/>
            </a:ext>
          </a:extLst>
        </xdr:cNvPr>
        <xdr:cNvGrpSpPr/>
      </xdr:nvGrpSpPr>
      <xdr:grpSpPr>
        <a:xfrm>
          <a:off x="0" y="0"/>
          <a:ext cx="110680500" cy="31516797"/>
          <a:chOff x="0" y="0"/>
          <a:chExt cx="108648246" cy="31344053"/>
        </a:xfrm>
      </xdr:grpSpPr>
      <xdr:sp macro="" textlink="">
        <xdr:nvSpPr>
          <xdr:cNvPr id="24" name="Rectangle 23">
            <a:extLst>
              <a:ext uri="{FF2B5EF4-FFF2-40B4-BE49-F238E27FC236}">
                <a16:creationId xmlns:a16="http://schemas.microsoft.com/office/drawing/2014/main" id="{19AB3BE9-F199-786D-6464-44194B9F9B28}"/>
              </a:ext>
            </a:extLst>
          </xdr:cNvPr>
          <xdr:cNvSpPr/>
        </xdr:nvSpPr>
        <xdr:spPr>
          <a:xfrm>
            <a:off x="37288467" y="17147"/>
            <a:ext cx="71359779" cy="1068835"/>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5" name="Picture 24">
            <a:extLst>
              <a:ext uri="{FF2B5EF4-FFF2-40B4-BE49-F238E27FC236}">
                <a16:creationId xmlns:a16="http://schemas.microsoft.com/office/drawing/2014/main" id="{C585FA63-F958-B00F-623C-9CB83E47F3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487937" y="136538"/>
            <a:ext cx="2052383" cy="77054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6" name="Rectangle 25">
            <a:extLst>
              <a:ext uri="{FF2B5EF4-FFF2-40B4-BE49-F238E27FC236}">
                <a16:creationId xmlns:a16="http://schemas.microsoft.com/office/drawing/2014/main" id="{6219C4ED-F3BF-93BB-5D21-E80646FE39D6}"/>
              </a:ext>
            </a:extLst>
          </xdr:cNvPr>
          <xdr:cNvSpPr/>
        </xdr:nvSpPr>
        <xdr:spPr>
          <a:xfrm>
            <a:off x="0" y="0"/>
            <a:ext cx="2689828" cy="31344053"/>
          </a:xfrm>
          <a:prstGeom prst="rect">
            <a:avLst/>
          </a:prstGeom>
          <a:gradFill>
            <a:gsLst>
              <a:gs pos="73000">
                <a:srgbClr val="507687"/>
              </a:gs>
              <a:gs pos="88000">
                <a:srgbClr val="ACBCC3"/>
              </a:gs>
              <a:gs pos="97000">
                <a:srgbClr val="EEEEEE"/>
              </a:gs>
              <a:gs pos="71000">
                <a:srgbClr val="384B70"/>
              </a:gs>
            </a:gsLst>
            <a:lin ang="162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0DB0C1EF-4220-9619-34A4-7BBA6DF41543}"/>
              </a:ext>
            </a:extLst>
          </xdr:cNvPr>
          <xdr:cNvSpPr>
            <a:spLocks noChangeAspect="1"/>
          </xdr:cNvSpPr>
        </xdr:nvSpPr>
        <xdr:spPr>
          <a:xfrm>
            <a:off x="2494806" y="0"/>
            <a:ext cx="15558710" cy="1085982"/>
          </a:xfrm>
          <a:prstGeom prst="rect">
            <a:avLst/>
          </a:prstGeom>
          <a:gradFill flip="none" rotWithShape="1">
            <a:gsLst>
              <a:gs pos="38000">
                <a:srgbClr val="507687"/>
              </a:gs>
              <a:gs pos="90000">
                <a:srgbClr val="EEEEEE"/>
              </a:gs>
              <a:gs pos="15000">
                <a:srgbClr val="384B70"/>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n-US" sz="1100"/>
          </a:p>
        </xdr:txBody>
      </xdr:sp>
      <xdr:sp macro="" textlink="Settings!B8">
        <xdr:nvSpPr>
          <xdr:cNvPr id="28" name="TextBox 27">
            <a:extLst>
              <a:ext uri="{FF2B5EF4-FFF2-40B4-BE49-F238E27FC236}">
                <a16:creationId xmlns:a16="http://schemas.microsoft.com/office/drawing/2014/main" id="{052324DF-8B74-3F28-0D01-3BEE07CDE142}"/>
              </a:ext>
            </a:extLst>
          </xdr:cNvPr>
          <xdr:cNvSpPr txBox="1">
            <a:spLocks noChangeAspect="1"/>
          </xdr:cNvSpPr>
        </xdr:nvSpPr>
        <xdr:spPr>
          <a:xfrm>
            <a:off x="4577763" y="129999"/>
            <a:ext cx="8357611" cy="75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ctr"/>
            <a:fld id="{25B23CF1-36E0-4CE0-9F88-83CCB701E4F1}" type="TxLink">
              <a:rPr lang="en-US" sz="2000" b="1" i="0" u="none" strike="noStrike">
                <a:ln>
                  <a:noFill/>
                </a:ln>
                <a:solidFill>
                  <a:srgbClr val="222B35"/>
                </a:solidFill>
                <a:latin typeface="Arial"/>
                <a:cs typeface="Arial"/>
              </a:rPr>
              <a:pPr algn="ctr"/>
              <a:t>San Diego Community College District: 
SDCCD 1450 Frazee Project Schedule</a:t>
            </a:fld>
            <a:endParaRPr lang="en-US" sz="1100" b="0" i="0" u="none" strike="noStrike">
              <a:ln>
                <a:noFill/>
              </a:ln>
              <a:solidFill>
                <a:schemeClr val="tx2">
                  <a:lumMod val="50000"/>
                </a:schemeClr>
              </a:solidFill>
              <a:latin typeface="Arial" panose="020B0604020202020204" pitchFamily="34" charset="0"/>
              <a:cs typeface="Arial" panose="020B0604020202020204" pitchFamily="34" charset="0"/>
            </a:endParaRPr>
          </a:p>
        </xdr:txBody>
      </xdr:sp>
      <xdr:sp macro="" textlink="">
        <xdr:nvSpPr>
          <xdr:cNvPr id="29" name="Rectangle 28">
            <a:extLst>
              <a:ext uri="{FF2B5EF4-FFF2-40B4-BE49-F238E27FC236}">
                <a16:creationId xmlns:a16="http://schemas.microsoft.com/office/drawing/2014/main" id="{9FC624C8-FAE1-E61E-E443-06680A8F5C76}"/>
              </a:ext>
            </a:extLst>
          </xdr:cNvPr>
          <xdr:cNvSpPr/>
        </xdr:nvSpPr>
        <xdr:spPr>
          <a:xfrm>
            <a:off x="16218396" y="0"/>
            <a:ext cx="22128891" cy="1085982"/>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 name="Picture 29">
            <a:extLst>
              <a:ext uri="{FF2B5EF4-FFF2-40B4-BE49-F238E27FC236}">
                <a16:creationId xmlns:a16="http://schemas.microsoft.com/office/drawing/2014/main" id="{ACF0E510-BA4C-9EBD-7D29-37908ADAE84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055" y="257206"/>
            <a:ext cx="2591503" cy="459108"/>
          </a:xfrm>
          <a:prstGeom prst="rect">
            <a:avLst/>
          </a:prstGeom>
        </xdr:spPr>
      </xdr:pic>
      <xdr:sp macro="" textlink="">
        <xdr:nvSpPr>
          <xdr:cNvPr id="31" name="Rectangle: Rounded Corners 30">
            <a:extLst>
              <a:ext uri="{FF2B5EF4-FFF2-40B4-BE49-F238E27FC236}">
                <a16:creationId xmlns:a16="http://schemas.microsoft.com/office/drawing/2014/main" id="{26DAF6BC-6AFF-BD06-09B0-47A648B76B48}"/>
              </a:ext>
            </a:extLst>
          </xdr:cNvPr>
          <xdr:cNvSpPr/>
        </xdr:nvSpPr>
        <xdr:spPr>
          <a:xfrm>
            <a:off x="19817" y="6545119"/>
            <a:ext cx="2553838" cy="361181"/>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TextBox 31">
            <a:hlinkClick xmlns:r="http://schemas.openxmlformats.org/officeDocument/2006/relationships" r:id="rId3"/>
            <a:extLst>
              <a:ext uri="{FF2B5EF4-FFF2-40B4-BE49-F238E27FC236}">
                <a16:creationId xmlns:a16="http://schemas.microsoft.com/office/drawing/2014/main" id="{9B5A5B77-8174-3639-25BD-C5434BC8551F}"/>
              </a:ext>
            </a:extLst>
          </xdr:cNvPr>
          <xdr:cNvSpPr txBox="1"/>
        </xdr:nvSpPr>
        <xdr:spPr>
          <a:xfrm>
            <a:off x="0" y="3022495"/>
            <a:ext cx="1334637" cy="359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Dashboard</a:t>
            </a:r>
          </a:p>
        </xdr:txBody>
      </xdr:sp>
      <xdr:sp macro="" textlink="">
        <xdr:nvSpPr>
          <xdr:cNvPr id="33" name="Rectangle: Rounded Corners 32">
            <a:extLst>
              <a:ext uri="{FF2B5EF4-FFF2-40B4-BE49-F238E27FC236}">
                <a16:creationId xmlns:a16="http://schemas.microsoft.com/office/drawing/2014/main" id="{A5E94DCA-37B5-C2A0-181F-374DA9D4A9E2}"/>
              </a:ext>
            </a:extLst>
          </xdr:cNvPr>
          <xdr:cNvSpPr/>
        </xdr:nvSpPr>
        <xdr:spPr>
          <a:xfrm>
            <a:off x="2530564" y="2685681"/>
            <a:ext cx="155775" cy="5143834"/>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a:hlinkClick xmlns:r="http://schemas.openxmlformats.org/officeDocument/2006/relationships" r:id="rId4"/>
            <a:extLst>
              <a:ext uri="{FF2B5EF4-FFF2-40B4-BE49-F238E27FC236}">
                <a16:creationId xmlns:a16="http://schemas.microsoft.com/office/drawing/2014/main" id="{F48F9DA4-6D1B-0A3A-4A2A-F2C3D3B9868A}"/>
              </a:ext>
            </a:extLst>
          </xdr:cNvPr>
          <xdr:cNvSpPr txBox="1"/>
        </xdr:nvSpPr>
        <xdr:spPr>
          <a:xfrm>
            <a:off x="0" y="7000285"/>
            <a:ext cx="1628775"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Budget &amp; Costs</a:t>
            </a:r>
          </a:p>
        </xdr:txBody>
      </xdr:sp>
      <xdr:sp macro="" textlink="">
        <xdr:nvSpPr>
          <xdr:cNvPr id="35" name="TextBox 34">
            <a:hlinkClick xmlns:r="http://schemas.openxmlformats.org/officeDocument/2006/relationships" r:id="rId5"/>
            <a:extLst>
              <a:ext uri="{FF2B5EF4-FFF2-40B4-BE49-F238E27FC236}">
                <a16:creationId xmlns:a16="http://schemas.microsoft.com/office/drawing/2014/main" id="{D7A7F1A6-74C5-E627-0996-ED938CACF1E6}"/>
              </a:ext>
            </a:extLst>
          </xdr:cNvPr>
          <xdr:cNvSpPr txBox="1"/>
        </xdr:nvSpPr>
        <xdr:spPr>
          <a:xfrm>
            <a:off x="0" y="6563809"/>
            <a:ext cx="1336542" cy="348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bg1"/>
                </a:solidFill>
                <a:latin typeface="Arial" panose="020B0604020202020204" pitchFamily="34" charset="0"/>
                <a:cs typeface="Arial" panose="020B0604020202020204" pitchFamily="34" charset="0"/>
              </a:rPr>
              <a:t>Schedule</a:t>
            </a:r>
          </a:p>
        </xdr:txBody>
      </xdr:sp>
      <xdr:sp macro="" textlink="">
        <xdr:nvSpPr>
          <xdr:cNvPr id="36" name="TextBox 35">
            <a:hlinkClick xmlns:r="http://schemas.openxmlformats.org/officeDocument/2006/relationships" r:id="rId6"/>
            <a:extLst>
              <a:ext uri="{FF2B5EF4-FFF2-40B4-BE49-F238E27FC236}">
                <a16:creationId xmlns:a16="http://schemas.microsoft.com/office/drawing/2014/main" id="{CF332584-64E6-7571-2DDB-8FF8055C4511}"/>
              </a:ext>
            </a:extLst>
          </xdr:cNvPr>
          <xdr:cNvSpPr txBox="1"/>
        </xdr:nvSpPr>
        <xdr:spPr>
          <a:xfrm>
            <a:off x="0" y="6110192"/>
            <a:ext cx="2449830" cy="363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 Punch List</a:t>
            </a:r>
          </a:p>
        </xdr:txBody>
      </xdr:sp>
      <xdr:sp macro="" textlink="">
        <xdr:nvSpPr>
          <xdr:cNvPr id="37" name="TextBox 36">
            <a:hlinkClick xmlns:r="http://schemas.openxmlformats.org/officeDocument/2006/relationships" r:id="rId7"/>
            <a:extLst>
              <a:ext uri="{FF2B5EF4-FFF2-40B4-BE49-F238E27FC236}">
                <a16:creationId xmlns:a16="http://schemas.microsoft.com/office/drawing/2014/main" id="{B7F3E319-A5E9-D601-3D8F-DCB1360B4314}"/>
              </a:ext>
            </a:extLst>
          </xdr:cNvPr>
          <xdr:cNvSpPr txBox="1"/>
        </xdr:nvSpPr>
        <xdr:spPr>
          <a:xfrm>
            <a:off x="0" y="5671812"/>
            <a:ext cx="2110740" cy="354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Tenant Improvement</a:t>
            </a:r>
          </a:p>
        </xdr:txBody>
      </xdr:sp>
      <xdr:sp macro="" textlink="">
        <xdr:nvSpPr>
          <xdr:cNvPr id="38" name="TextBox 37">
            <a:hlinkClick xmlns:r="http://schemas.openxmlformats.org/officeDocument/2006/relationships" r:id="rId8"/>
            <a:extLst>
              <a:ext uri="{FF2B5EF4-FFF2-40B4-BE49-F238E27FC236}">
                <a16:creationId xmlns:a16="http://schemas.microsoft.com/office/drawing/2014/main" id="{3F97C11E-2EF7-AE8D-B63E-8816654FA006}"/>
              </a:ext>
            </a:extLst>
          </xdr:cNvPr>
          <xdr:cNvSpPr txBox="1"/>
        </xdr:nvSpPr>
        <xdr:spPr>
          <a:xfrm>
            <a:off x="0" y="5233435"/>
            <a:ext cx="1336542" cy="35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a:t>
            </a:r>
          </a:p>
        </xdr:txBody>
      </xdr:sp>
      <xdr:sp macro="" textlink="">
        <xdr:nvSpPr>
          <xdr:cNvPr id="39" name="TextBox 38">
            <a:hlinkClick xmlns:r="http://schemas.openxmlformats.org/officeDocument/2006/relationships" r:id="rId9"/>
            <a:extLst>
              <a:ext uri="{FF2B5EF4-FFF2-40B4-BE49-F238E27FC236}">
                <a16:creationId xmlns:a16="http://schemas.microsoft.com/office/drawing/2014/main" id="{C5A8A82F-D535-CD7F-28EE-F80A11CF95CE}"/>
              </a:ext>
            </a:extLst>
          </xdr:cNvPr>
          <xdr:cNvSpPr txBox="1"/>
        </xdr:nvSpPr>
        <xdr:spPr>
          <a:xfrm>
            <a:off x="0" y="4796959"/>
            <a:ext cx="2055495" cy="356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Move Management</a:t>
            </a:r>
          </a:p>
        </xdr:txBody>
      </xdr:sp>
      <xdr:sp macro="" textlink="">
        <xdr:nvSpPr>
          <xdr:cNvPr id="40" name="TextBox 39">
            <a:hlinkClick xmlns:r="http://schemas.openxmlformats.org/officeDocument/2006/relationships" r:id="rId10"/>
            <a:extLst>
              <a:ext uri="{FF2B5EF4-FFF2-40B4-BE49-F238E27FC236}">
                <a16:creationId xmlns:a16="http://schemas.microsoft.com/office/drawing/2014/main" id="{AEE702BF-0586-AC73-381C-05F5ACE4DB38}"/>
              </a:ext>
            </a:extLst>
          </xdr:cNvPr>
          <xdr:cNvSpPr txBox="1"/>
        </xdr:nvSpPr>
        <xdr:spPr>
          <a:xfrm>
            <a:off x="0" y="4354774"/>
            <a:ext cx="1735455" cy="363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FF&amp;E Punch List</a:t>
            </a:r>
          </a:p>
        </xdr:txBody>
      </xdr:sp>
      <xdr:sp macro="" textlink="">
        <xdr:nvSpPr>
          <xdr:cNvPr id="41" name="TextBox 40">
            <a:hlinkClick xmlns:r="http://schemas.openxmlformats.org/officeDocument/2006/relationships" r:id="rId11"/>
            <a:extLst>
              <a:ext uri="{FF2B5EF4-FFF2-40B4-BE49-F238E27FC236}">
                <a16:creationId xmlns:a16="http://schemas.microsoft.com/office/drawing/2014/main" id="{4A4B0956-D88F-2A45-9BD1-93649CF23046}"/>
              </a:ext>
            </a:extLst>
          </xdr:cNvPr>
          <xdr:cNvSpPr txBox="1"/>
        </xdr:nvSpPr>
        <xdr:spPr>
          <a:xfrm>
            <a:off x="0" y="3924017"/>
            <a:ext cx="1336542"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Issue Log</a:t>
            </a:r>
          </a:p>
        </xdr:txBody>
      </xdr:sp>
      <xdr:sp macro="" textlink="">
        <xdr:nvSpPr>
          <xdr:cNvPr id="42" name="TextBox 41">
            <a:hlinkClick xmlns:r="http://schemas.openxmlformats.org/officeDocument/2006/relationships" r:id="rId12"/>
            <a:extLst>
              <a:ext uri="{FF2B5EF4-FFF2-40B4-BE49-F238E27FC236}">
                <a16:creationId xmlns:a16="http://schemas.microsoft.com/office/drawing/2014/main" id="{EDB4169E-3B62-015A-E065-49CAB379F5A7}"/>
              </a:ext>
            </a:extLst>
          </xdr:cNvPr>
          <xdr:cNvSpPr txBox="1"/>
        </xdr:nvSpPr>
        <xdr:spPr>
          <a:xfrm>
            <a:off x="0" y="3470398"/>
            <a:ext cx="1733549" cy="363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Master FF&amp;E List</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104775</xdr:colOff>
      <xdr:row>6</xdr:row>
      <xdr:rowOff>0</xdr:rowOff>
    </xdr:from>
    <xdr:to>
      <xdr:col>12</xdr:col>
      <xdr:colOff>104775</xdr:colOff>
      <xdr:row>32</xdr:row>
      <xdr:rowOff>71438</xdr:rowOff>
    </xdr:to>
    <xdr:cxnSp macro="">
      <xdr:nvCxnSpPr>
        <xdr:cNvPr id="7" name="Straight Connector 6">
          <a:extLst>
            <a:ext uri="{FF2B5EF4-FFF2-40B4-BE49-F238E27FC236}">
              <a16:creationId xmlns:a16="http://schemas.microsoft.com/office/drawing/2014/main" id="{C40D0135-8A71-142C-0494-845A8996EB22}"/>
            </a:ext>
          </a:extLst>
        </xdr:cNvPr>
        <xdr:cNvCxnSpPr/>
      </xdr:nvCxnSpPr>
      <xdr:spPr>
        <a:xfrm>
          <a:off x="11020425" y="1328738"/>
          <a:ext cx="0" cy="53244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0</xdr:col>
      <xdr:colOff>5</xdr:colOff>
      <xdr:row>495</xdr:row>
      <xdr:rowOff>174203</xdr:rowOff>
    </xdr:from>
    <xdr:to>
      <xdr:col>4</xdr:col>
      <xdr:colOff>0</xdr:colOff>
      <xdr:row>30976</xdr:row>
      <xdr:rowOff>171690</xdr:rowOff>
    </xdr:to>
    <xdr:sp macro="" textlink="">
      <xdr:nvSpPr>
        <xdr:cNvPr id="4" name="Rectangle 3">
          <a:extLst>
            <a:ext uri="{FF2B5EF4-FFF2-40B4-BE49-F238E27FC236}">
              <a16:creationId xmlns:a16="http://schemas.microsoft.com/office/drawing/2014/main" id="{D9A15553-3089-492D-908A-3D1B15648C23}"/>
            </a:ext>
          </a:extLst>
        </xdr:cNvPr>
        <xdr:cNvSpPr/>
      </xdr:nvSpPr>
      <xdr:spPr>
        <a:xfrm>
          <a:off x="5" y="94519751"/>
          <a:ext cx="2455328" cy="5806610842"/>
        </a:xfrm>
        <a:prstGeom prst="rect">
          <a:avLst/>
        </a:prstGeom>
        <a:solidFill>
          <a:srgbClr val="384B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clientData/>
  </xdr:twoCellAnchor>
  <xdr:twoCellAnchor editAs="absolute">
    <xdr:from>
      <xdr:col>0</xdr:col>
      <xdr:colOff>0</xdr:colOff>
      <xdr:row>0</xdr:row>
      <xdr:rowOff>0</xdr:rowOff>
    </xdr:from>
    <xdr:to>
      <xdr:col>30</xdr:col>
      <xdr:colOff>59055</xdr:colOff>
      <xdr:row>173</xdr:row>
      <xdr:rowOff>20138</xdr:rowOff>
    </xdr:to>
    <xdr:grpSp>
      <xdr:nvGrpSpPr>
        <xdr:cNvPr id="5" name="Group 4">
          <a:extLst>
            <a:ext uri="{FF2B5EF4-FFF2-40B4-BE49-F238E27FC236}">
              <a16:creationId xmlns:a16="http://schemas.microsoft.com/office/drawing/2014/main" id="{2FF35BBF-4A0F-4905-946F-A2579D533D70}"/>
            </a:ext>
          </a:extLst>
        </xdr:cNvPr>
        <xdr:cNvGrpSpPr/>
      </xdr:nvGrpSpPr>
      <xdr:grpSpPr>
        <a:xfrm>
          <a:off x="0" y="0"/>
          <a:ext cx="28430855" cy="31903488"/>
          <a:chOff x="0" y="0"/>
          <a:chExt cx="28103111" cy="31344053"/>
        </a:xfrm>
      </xdr:grpSpPr>
      <xdr:sp macro="" textlink="">
        <xdr:nvSpPr>
          <xdr:cNvPr id="6" name="Rectangle 5">
            <a:extLst>
              <a:ext uri="{FF2B5EF4-FFF2-40B4-BE49-F238E27FC236}">
                <a16:creationId xmlns:a16="http://schemas.microsoft.com/office/drawing/2014/main" id="{F9177FD1-2BC5-8694-ACD7-0584A1ACF436}"/>
              </a:ext>
            </a:extLst>
          </xdr:cNvPr>
          <xdr:cNvSpPr>
            <a:spLocks noChangeAspect="1"/>
          </xdr:cNvSpPr>
        </xdr:nvSpPr>
        <xdr:spPr>
          <a:xfrm>
            <a:off x="2494805" y="0"/>
            <a:ext cx="25608306" cy="1085982"/>
          </a:xfrm>
          <a:prstGeom prst="rect">
            <a:avLst/>
          </a:prstGeom>
          <a:gradFill flip="none" rotWithShape="1">
            <a:gsLst>
              <a:gs pos="38000">
                <a:srgbClr val="507687"/>
              </a:gs>
              <a:gs pos="90000">
                <a:srgbClr val="EEEEEE"/>
              </a:gs>
              <a:gs pos="15000">
                <a:srgbClr val="384B70"/>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n-US" sz="1100"/>
          </a:p>
        </xdr:txBody>
      </xdr:sp>
      <xdr:pic>
        <xdr:nvPicPr>
          <xdr:cNvPr id="8" name="Picture 7">
            <a:extLst>
              <a:ext uri="{FF2B5EF4-FFF2-40B4-BE49-F238E27FC236}">
                <a16:creationId xmlns:a16="http://schemas.microsoft.com/office/drawing/2014/main" id="{0CB7762D-1B60-FAA3-1F7A-5E791317AC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025184" y="136538"/>
            <a:ext cx="2052383" cy="77054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Rectangle 8">
            <a:extLst>
              <a:ext uri="{FF2B5EF4-FFF2-40B4-BE49-F238E27FC236}">
                <a16:creationId xmlns:a16="http://schemas.microsoft.com/office/drawing/2014/main" id="{124BBE76-4688-4EE8-DCD7-2CCE6063FB30}"/>
              </a:ext>
            </a:extLst>
          </xdr:cNvPr>
          <xdr:cNvSpPr/>
        </xdr:nvSpPr>
        <xdr:spPr>
          <a:xfrm>
            <a:off x="0" y="0"/>
            <a:ext cx="2689828" cy="31344053"/>
          </a:xfrm>
          <a:prstGeom prst="rect">
            <a:avLst/>
          </a:prstGeom>
          <a:gradFill>
            <a:gsLst>
              <a:gs pos="73000">
                <a:srgbClr val="507687"/>
              </a:gs>
              <a:gs pos="88000">
                <a:srgbClr val="ACBCC3"/>
              </a:gs>
              <a:gs pos="97000">
                <a:srgbClr val="EEEEEE"/>
              </a:gs>
              <a:gs pos="71000">
                <a:srgbClr val="384B70"/>
              </a:gs>
            </a:gsLst>
            <a:lin ang="162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Settings!B9">
        <xdr:nvSpPr>
          <xdr:cNvPr id="10" name="TextBox 9">
            <a:extLst>
              <a:ext uri="{FF2B5EF4-FFF2-40B4-BE49-F238E27FC236}">
                <a16:creationId xmlns:a16="http://schemas.microsoft.com/office/drawing/2014/main" id="{C194A79E-AB58-4C91-9F67-FE3F4A084320}"/>
              </a:ext>
            </a:extLst>
          </xdr:cNvPr>
          <xdr:cNvSpPr txBox="1">
            <a:spLocks noChangeAspect="1"/>
          </xdr:cNvSpPr>
        </xdr:nvSpPr>
        <xdr:spPr>
          <a:xfrm>
            <a:off x="4577763" y="129999"/>
            <a:ext cx="8357611" cy="75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ctr"/>
            <a:fld id="{C3289E86-868F-4CFF-A735-76012DE548AE}" type="TxLink">
              <a:rPr lang="en-US" sz="2000" b="1" i="0" u="none" strike="noStrike">
                <a:ln>
                  <a:noFill/>
                </a:ln>
                <a:solidFill>
                  <a:srgbClr val="222B35"/>
                </a:solidFill>
                <a:latin typeface="Arial"/>
                <a:cs typeface="Arial"/>
              </a:rPr>
              <a:pPr algn="ctr"/>
              <a:t>San Diego Community College District: 
SDCCD 1450 Frazee Project Budget &amp; Costs</a:t>
            </a:fld>
            <a:endParaRPr lang="en-US" sz="1100" b="0" i="0" u="none" strike="noStrike">
              <a:ln>
                <a:noFill/>
              </a:ln>
              <a:solidFill>
                <a:schemeClr val="tx2">
                  <a:lumMod val="50000"/>
                </a:schemeClr>
              </a:solidFill>
              <a:latin typeface="Arial" panose="020B0604020202020204" pitchFamily="34" charset="0"/>
              <a:cs typeface="Arial" panose="020B0604020202020204" pitchFamily="34" charset="0"/>
            </a:endParaRPr>
          </a:p>
        </xdr:txBody>
      </xdr:sp>
      <xdr:pic>
        <xdr:nvPicPr>
          <xdr:cNvPr id="11" name="Picture 10">
            <a:extLst>
              <a:ext uri="{FF2B5EF4-FFF2-40B4-BE49-F238E27FC236}">
                <a16:creationId xmlns:a16="http://schemas.microsoft.com/office/drawing/2014/main" id="{B6FB5885-4823-8A72-1E74-7919DE7618D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055" y="257206"/>
            <a:ext cx="2591503" cy="459108"/>
          </a:xfrm>
          <a:prstGeom prst="rect">
            <a:avLst/>
          </a:prstGeom>
        </xdr:spPr>
      </xdr:pic>
      <xdr:sp macro="" textlink="">
        <xdr:nvSpPr>
          <xdr:cNvPr id="12" name="Rectangle: Rounded Corners 11">
            <a:extLst>
              <a:ext uri="{FF2B5EF4-FFF2-40B4-BE49-F238E27FC236}">
                <a16:creationId xmlns:a16="http://schemas.microsoft.com/office/drawing/2014/main" id="{09C2A13E-7C5A-736E-E44F-767C97574CD4}"/>
              </a:ext>
            </a:extLst>
          </xdr:cNvPr>
          <xdr:cNvSpPr/>
        </xdr:nvSpPr>
        <xdr:spPr>
          <a:xfrm>
            <a:off x="19817" y="5589735"/>
            <a:ext cx="2553838" cy="361181"/>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hlinkClick xmlns:r="http://schemas.openxmlformats.org/officeDocument/2006/relationships" r:id="rId3"/>
            <a:extLst>
              <a:ext uri="{FF2B5EF4-FFF2-40B4-BE49-F238E27FC236}">
                <a16:creationId xmlns:a16="http://schemas.microsoft.com/office/drawing/2014/main" id="{94C2195A-AB6D-E6FF-6DF7-013E7516F7AC}"/>
              </a:ext>
            </a:extLst>
          </xdr:cNvPr>
          <xdr:cNvSpPr txBox="1"/>
        </xdr:nvSpPr>
        <xdr:spPr>
          <a:xfrm>
            <a:off x="0" y="1628802"/>
            <a:ext cx="1334637" cy="359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Dashboard</a:t>
            </a:r>
          </a:p>
        </xdr:txBody>
      </xdr:sp>
      <xdr:sp macro="" textlink="">
        <xdr:nvSpPr>
          <xdr:cNvPr id="14" name="Rectangle: Rounded Corners 13">
            <a:extLst>
              <a:ext uri="{FF2B5EF4-FFF2-40B4-BE49-F238E27FC236}">
                <a16:creationId xmlns:a16="http://schemas.microsoft.com/office/drawing/2014/main" id="{9A670185-19CD-2896-89EB-8FBB8CBA6771}"/>
              </a:ext>
            </a:extLst>
          </xdr:cNvPr>
          <xdr:cNvSpPr/>
        </xdr:nvSpPr>
        <xdr:spPr>
          <a:xfrm>
            <a:off x="2530565" y="1272937"/>
            <a:ext cx="155775" cy="5143834"/>
          </a:xfrm>
          <a:prstGeom prst="roundRect">
            <a:avLst/>
          </a:prstGeom>
          <a:solidFill>
            <a:srgbClr val="9E001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a:hlinkClick xmlns:r="http://schemas.openxmlformats.org/officeDocument/2006/relationships" r:id="rId4"/>
            <a:extLst>
              <a:ext uri="{FF2B5EF4-FFF2-40B4-BE49-F238E27FC236}">
                <a16:creationId xmlns:a16="http://schemas.microsoft.com/office/drawing/2014/main" id="{E3CBBF32-1A51-CFCE-B107-9F5C4BF7C05F}"/>
              </a:ext>
            </a:extLst>
          </xdr:cNvPr>
          <xdr:cNvSpPr txBox="1"/>
        </xdr:nvSpPr>
        <xdr:spPr>
          <a:xfrm>
            <a:off x="0" y="5606590"/>
            <a:ext cx="1628775"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bg1"/>
                </a:solidFill>
                <a:latin typeface="Arial" panose="020B0604020202020204" pitchFamily="34" charset="0"/>
                <a:cs typeface="Arial" panose="020B0604020202020204" pitchFamily="34" charset="0"/>
              </a:rPr>
              <a:t>Budget &amp; Costs</a:t>
            </a:r>
          </a:p>
        </xdr:txBody>
      </xdr:sp>
      <xdr:sp macro="" textlink="">
        <xdr:nvSpPr>
          <xdr:cNvPr id="16" name="TextBox 15">
            <a:hlinkClick xmlns:r="http://schemas.openxmlformats.org/officeDocument/2006/relationships" r:id="rId5"/>
            <a:extLst>
              <a:ext uri="{FF2B5EF4-FFF2-40B4-BE49-F238E27FC236}">
                <a16:creationId xmlns:a16="http://schemas.microsoft.com/office/drawing/2014/main" id="{CB72AD1D-BDC8-DAF2-091B-544FA1D2F6AF}"/>
              </a:ext>
            </a:extLst>
          </xdr:cNvPr>
          <xdr:cNvSpPr txBox="1"/>
        </xdr:nvSpPr>
        <xdr:spPr>
          <a:xfrm>
            <a:off x="0" y="5170114"/>
            <a:ext cx="1336542" cy="348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Schedule</a:t>
            </a:r>
          </a:p>
        </xdr:txBody>
      </xdr:sp>
      <xdr:sp macro="" textlink="">
        <xdr:nvSpPr>
          <xdr:cNvPr id="17" name="TextBox 16">
            <a:hlinkClick xmlns:r="http://schemas.openxmlformats.org/officeDocument/2006/relationships" r:id="rId6"/>
            <a:extLst>
              <a:ext uri="{FF2B5EF4-FFF2-40B4-BE49-F238E27FC236}">
                <a16:creationId xmlns:a16="http://schemas.microsoft.com/office/drawing/2014/main" id="{CED637DD-6661-B91A-5E8A-43961BA5C2C8}"/>
              </a:ext>
            </a:extLst>
          </xdr:cNvPr>
          <xdr:cNvSpPr txBox="1"/>
        </xdr:nvSpPr>
        <xdr:spPr>
          <a:xfrm>
            <a:off x="0" y="4716496"/>
            <a:ext cx="2449830"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 Punch List</a:t>
            </a:r>
          </a:p>
        </xdr:txBody>
      </xdr:sp>
      <xdr:sp macro="" textlink="">
        <xdr:nvSpPr>
          <xdr:cNvPr id="18" name="TextBox 17">
            <a:hlinkClick xmlns:r="http://schemas.openxmlformats.org/officeDocument/2006/relationships" r:id="rId7"/>
            <a:extLst>
              <a:ext uri="{FF2B5EF4-FFF2-40B4-BE49-F238E27FC236}">
                <a16:creationId xmlns:a16="http://schemas.microsoft.com/office/drawing/2014/main" id="{98C9C957-EC62-3FC0-40F8-167C2988C6A9}"/>
              </a:ext>
            </a:extLst>
          </xdr:cNvPr>
          <xdr:cNvSpPr txBox="1"/>
        </xdr:nvSpPr>
        <xdr:spPr>
          <a:xfrm>
            <a:off x="0" y="4278118"/>
            <a:ext cx="2110740" cy="354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Tenant Improvement</a:t>
            </a:r>
          </a:p>
        </xdr:txBody>
      </xdr:sp>
      <xdr:sp macro="" textlink="">
        <xdr:nvSpPr>
          <xdr:cNvPr id="19" name="TextBox 18">
            <a:hlinkClick xmlns:r="http://schemas.openxmlformats.org/officeDocument/2006/relationships" r:id="rId8"/>
            <a:extLst>
              <a:ext uri="{FF2B5EF4-FFF2-40B4-BE49-F238E27FC236}">
                <a16:creationId xmlns:a16="http://schemas.microsoft.com/office/drawing/2014/main" id="{ED3E4F2D-0803-5B9F-B352-72AF5E0605A4}"/>
              </a:ext>
            </a:extLst>
          </xdr:cNvPr>
          <xdr:cNvSpPr txBox="1"/>
        </xdr:nvSpPr>
        <xdr:spPr>
          <a:xfrm>
            <a:off x="0" y="3839742"/>
            <a:ext cx="1336542" cy="35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Swing Space</a:t>
            </a:r>
          </a:p>
        </xdr:txBody>
      </xdr:sp>
      <xdr:sp macro="" textlink="">
        <xdr:nvSpPr>
          <xdr:cNvPr id="20" name="TextBox 19">
            <a:hlinkClick xmlns:r="http://schemas.openxmlformats.org/officeDocument/2006/relationships" r:id="rId9"/>
            <a:extLst>
              <a:ext uri="{FF2B5EF4-FFF2-40B4-BE49-F238E27FC236}">
                <a16:creationId xmlns:a16="http://schemas.microsoft.com/office/drawing/2014/main" id="{12BBDBCD-0873-C3A3-5770-CC557E9A35CB}"/>
              </a:ext>
            </a:extLst>
          </xdr:cNvPr>
          <xdr:cNvSpPr txBox="1"/>
        </xdr:nvSpPr>
        <xdr:spPr>
          <a:xfrm>
            <a:off x="0" y="3403270"/>
            <a:ext cx="2055495" cy="356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Move Management</a:t>
            </a:r>
          </a:p>
        </xdr:txBody>
      </xdr:sp>
      <xdr:sp macro="" textlink="">
        <xdr:nvSpPr>
          <xdr:cNvPr id="21" name="TextBox 20">
            <a:hlinkClick xmlns:r="http://schemas.openxmlformats.org/officeDocument/2006/relationships" r:id="rId10"/>
            <a:extLst>
              <a:ext uri="{FF2B5EF4-FFF2-40B4-BE49-F238E27FC236}">
                <a16:creationId xmlns:a16="http://schemas.microsoft.com/office/drawing/2014/main" id="{0F723D39-11CA-6A8A-AD76-15F572B4795D}"/>
              </a:ext>
            </a:extLst>
          </xdr:cNvPr>
          <xdr:cNvSpPr txBox="1"/>
        </xdr:nvSpPr>
        <xdr:spPr>
          <a:xfrm>
            <a:off x="0" y="2961081"/>
            <a:ext cx="1735455"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FF&amp;E Punch List</a:t>
            </a:r>
          </a:p>
        </xdr:txBody>
      </xdr:sp>
      <xdr:sp macro="" textlink="">
        <xdr:nvSpPr>
          <xdr:cNvPr id="22" name="TextBox 21">
            <a:hlinkClick xmlns:r="http://schemas.openxmlformats.org/officeDocument/2006/relationships" r:id="rId11"/>
            <a:extLst>
              <a:ext uri="{FF2B5EF4-FFF2-40B4-BE49-F238E27FC236}">
                <a16:creationId xmlns:a16="http://schemas.microsoft.com/office/drawing/2014/main" id="{0621019A-5B6C-994B-8919-AEABB5940B5A}"/>
              </a:ext>
            </a:extLst>
          </xdr:cNvPr>
          <xdr:cNvSpPr txBox="1"/>
        </xdr:nvSpPr>
        <xdr:spPr>
          <a:xfrm>
            <a:off x="0" y="2530322"/>
            <a:ext cx="1336542" cy="34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Issue Log</a:t>
            </a:r>
          </a:p>
        </xdr:txBody>
      </xdr:sp>
      <xdr:sp macro="" textlink="">
        <xdr:nvSpPr>
          <xdr:cNvPr id="23" name="TextBox 22">
            <a:hlinkClick xmlns:r="http://schemas.openxmlformats.org/officeDocument/2006/relationships" r:id="rId12"/>
            <a:extLst>
              <a:ext uri="{FF2B5EF4-FFF2-40B4-BE49-F238E27FC236}">
                <a16:creationId xmlns:a16="http://schemas.microsoft.com/office/drawing/2014/main" id="{F2052281-E41C-3105-D84A-E5054DC323E0}"/>
              </a:ext>
            </a:extLst>
          </xdr:cNvPr>
          <xdr:cNvSpPr txBox="1"/>
        </xdr:nvSpPr>
        <xdr:spPr>
          <a:xfrm>
            <a:off x="0" y="2076702"/>
            <a:ext cx="1733549" cy="36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50" b="1">
                <a:solidFill>
                  <a:schemeClr val="tx2">
                    <a:lumMod val="50000"/>
                  </a:schemeClr>
                </a:solidFill>
                <a:latin typeface="Arial" panose="020B0604020202020204" pitchFamily="34" charset="0"/>
                <a:cs typeface="Arial" panose="020B0604020202020204" pitchFamily="34" charset="0"/>
              </a:rPr>
              <a:t>Master FF&amp;E List</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8CCC946-DF62-41A1-869B-AA1417497D4E}" name="ProductType" displayName="ProductType" ref="A12:A18" totalsRowShown="0" headerRowDxfId="598" dataDxfId="597">
  <autoFilter ref="A12:A18" xr:uid="{58CCC946-DF62-41A1-869B-AA1417497D4E}"/>
  <tableColumns count="1">
    <tableColumn id="1" xr3:uid="{B3BD96CB-D4BE-41ED-9C55-534AEDD3D45A}" name="Product Type" dataDxfId="596"/>
  </tableColumns>
  <tableStyleInfo name="PPS Table Style Master"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7699EB5-0DAA-4066-A4EA-3635CB2EFD42}" name="PowerRequired" displayName="PowerRequired" ref="A20:A31" totalsRowShown="0" headerRowDxfId="595" dataDxfId="594">
  <autoFilter ref="A20:A31" xr:uid="{47699EB5-0DAA-4066-A4EA-3635CB2EFD42}"/>
  <tableColumns count="1">
    <tableColumn id="1" xr3:uid="{A58BF2C7-4AA0-4D1F-B6A5-4DEAC85F1638}" name="Power Required" dataDxfId="593"/>
  </tableColumns>
  <tableStyleInfo name="PPS Table Style Master"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7BA233-6F58-4CC6-A1AF-545EA931C8CF}" name="DataRequired" displayName="DataRequired" ref="A33:A37" totalsRowShown="0" headerRowDxfId="592" dataDxfId="591">
  <autoFilter ref="A33:A37" xr:uid="{707BA233-6F58-4CC6-A1AF-545EA931C8CF}"/>
  <tableColumns count="1">
    <tableColumn id="1" xr3:uid="{3A2AA962-A222-44AA-96DE-DD1EAEC1EE20}" name="Data Required" dataDxfId="590"/>
  </tableColumns>
  <tableStyleInfo name="PPS Table Style Master"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1EFA38A-9CDF-445B-9F44-EB76ADAC45AD}" name="Mounted" displayName="Mounted" ref="A39:A44" totalsRowShown="0" headerRowDxfId="589" dataDxfId="588">
  <autoFilter ref="A39:A44" xr:uid="{F1EFA38A-9CDF-445B-9F44-EB76ADAC45AD}"/>
  <tableColumns count="1">
    <tableColumn id="1" xr3:uid="{8672260D-3C04-44A4-B59B-3E9C24D5F7CB}" name="Mounted" dataDxfId="587"/>
  </tableColumns>
  <tableStyleInfo name="PPS Table Style Master"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FE7D081-4250-4F6C-BBF8-430F1AD74EB5}" name="RoomType" displayName="RoomType" ref="A46:A76" totalsRowShown="0" headerRowDxfId="586" dataDxfId="585">
  <autoFilter ref="A46:A76" xr:uid="{2FE7D081-4250-4F6C-BBF8-430F1AD74EB5}"/>
  <tableColumns count="1">
    <tableColumn id="1" xr3:uid="{44EB273D-63E4-49FF-8253-B03FEE0F2169}" name="Room Type" dataDxfId="584"/>
  </tableColumns>
  <tableStyleInfo name="PPS Table Style Master"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EB716A4-36D6-4247-933C-C5714E52B29C}" name="Procurement" displayName="Procurement" ref="A78:A83" totalsRowShown="0" headerRowDxfId="583" dataDxfId="582">
  <autoFilter ref="A78:A83" xr:uid="{BEB716A4-36D6-4247-933C-C5714E52B29C}"/>
  <tableColumns count="1">
    <tableColumn id="1" xr3:uid="{6F30435B-2E29-474A-A569-667735E9264E}" name="Procurement" dataDxfId="581"/>
  </tableColumns>
  <tableStyleInfo name="PPS Table Style Master"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B521A5-61A6-4388-9E66-37AE72FC09A4}" name="FundingSource" displayName="FundingSource" ref="A85:A89" totalsRowShown="0" headerRowDxfId="580" dataDxfId="579">
  <autoFilter ref="A85:A89" xr:uid="{93B521A5-61A6-4388-9E66-37AE72FC09A4}"/>
  <tableColumns count="1">
    <tableColumn id="1" xr3:uid="{E8F0DFE2-217A-4A68-9115-4F75F0065B77}" name="Funding Source" dataDxfId="578"/>
  </tableColumns>
  <tableStyleInfo name="PPS Table Style Master"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618C0CF-3831-4924-B8DB-01E9A49D7C9E}" name="UnitOfMeasure" displayName="UnitOfMeasure" ref="A91:A116" totalsRowShown="0" headerRowDxfId="577" dataDxfId="576">
  <autoFilter ref="A91:A116" xr:uid="{7618C0CF-3831-4924-B8DB-01E9A49D7C9E}"/>
  <tableColumns count="1">
    <tableColumn id="1" xr3:uid="{4DDE99F7-1530-4F75-A7D3-BEC1980BE7D2}" name="Unit of Measure" dataDxfId="575"/>
  </tableColumns>
  <tableStyleInfo name="PPS Table Style Master"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02B8965-0478-4453-A85E-DE06534B022E}" name="ProcessStatus" displayName="ProcessStatus" ref="A118:A128" totalsRowShown="0" headerRowDxfId="574" dataDxfId="573">
  <autoFilter ref="A118:A128" xr:uid="{602B8965-0478-4453-A85E-DE06534B022E}"/>
  <tableColumns count="1">
    <tableColumn id="1" xr3:uid="{8CD68F63-02B6-464A-A7B0-BAB2F5289E75}" name="Process Status" dataDxfId="572"/>
  </tableColumns>
  <tableStyleInfo name="PPS Table Style Master"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99C2F1B-1B79-492E-9A5D-094B8135858A}" name="FFEItemStatus" displayName="FFEItemStatus" ref="A130:A134" totalsRowShown="0" headerRowDxfId="571" dataDxfId="570">
  <autoFilter ref="A130:A134" xr:uid="{199C2F1B-1B79-492E-9A5D-094B8135858A}"/>
  <tableColumns count="1">
    <tableColumn id="1" xr3:uid="{10DBA5C9-5B97-4D8C-ADE3-B400B28656F5}" name="FFE Item Status" dataDxfId="569"/>
  </tableColumns>
  <tableStyleInfo name="PPS Table Style Master"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A7788D3-097E-4BE1-93C6-6B95289D5449}" name="ItemCondition" displayName="ItemCondition" ref="A136:A140" totalsRowShown="0" headerRowDxfId="568" dataDxfId="567">
  <autoFilter ref="A136:A140" xr:uid="{7A7788D3-097E-4BE1-93C6-6B95289D5449}"/>
  <tableColumns count="1">
    <tableColumn id="1" xr3:uid="{5A545870-8861-4BF3-A11E-E2C01D0086D3}" name="Item Condition" dataDxfId="566"/>
  </tableColumns>
  <tableStyleInfo name="PPS Table Style Master"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838C5D-C46D-4DC9-8917-25FBDFB37AD0}" name="Warranty" displayName="Warranty" ref="A142:A145" totalsRowShown="0" headerRowDxfId="565">
  <autoFilter ref="A142:A145" xr:uid="{89838C5D-C46D-4DC9-8917-25FBDFB37AD0}"/>
  <tableColumns count="1">
    <tableColumn id="1" xr3:uid="{797DE8A1-4283-46D6-813A-212D001A3E20}" name="Warranty"/>
  </tableColumns>
  <tableStyleInfo name="PPS Table Style Master"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C94AB25-4E69-457C-81E1-11B540BF4B55}" name="Priority" displayName="Priority" ref="A147:A150" totalsRowShown="0" headerRowDxfId="564">
  <autoFilter ref="A147:A150" xr:uid="{4C94AB25-4E69-457C-81E1-11B540BF4B55}"/>
  <tableColumns count="1">
    <tableColumn id="1" xr3:uid="{A88A89EF-3F29-4A9F-9B7C-A62FEB67AA31}" name="Priority"/>
  </tableColumns>
  <tableStyleInfo name="PPS Table Style Master"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B9907BE-174D-4A45-A089-077B57660167}" name="PunchListItem" displayName="PunchListItem" ref="A152:A154" totalsRowShown="0" headerRowDxfId="563">
  <autoFilter ref="A152:A154" xr:uid="{1B9907BE-174D-4A45-A089-077B57660167}"/>
  <tableColumns count="1">
    <tableColumn id="1" xr3:uid="{D8D97344-038D-41EE-B620-BE5AB3370E23}" name="Punch List Item"/>
  </tableColumns>
  <tableStyleInfo name="PPS Table Style Master"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A556487-8065-4438-8303-18E8C7696D29}" name="SwingSpaceItem" displayName="SwingSpaceItem" ref="A156:A158" totalsRowShown="0" headerRowDxfId="562">
  <autoFilter ref="A156:A158" xr:uid="{9A556487-8065-4438-8303-18E8C7696D29}"/>
  <tableColumns count="1">
    <tableColumn id="1" xr3:uid="{E8BC94A3-6C5B-41CB-ADC5-3C917104B631}" name="Swing Space Item"/>
  </tableColumns>
  <tableStyleInfo name="PPS Table Style Master"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D345C008-0C05-41A3-A1E2-936C1D7C8CB1}" name="IssueType" displayName="IssueType" ref="A160:A178" totalsRowShown="0" headerRowDxfId="561" dataDxfId="560">
  <autoFilter ref="A160:A178" xr:uid="{D345C008-0C05-41A3-A1E2-936C1D7C8CB1}"/>
  <tableColumns count="1">
    <tableColumn id="1" xr3:uid="{CA627AC2-CAAF-4EE2-A03A-B7EC10B17B90}" name="Issue Type" dataDxfId="559"/>
  </tableColumns>
  <tableStyleInfo name="PPS Table Style Master"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C54F94C-6FE8-4AFA-A5A4-1A2BC7A6D122}" name="IssueStatus" displayName="IssueStatus" ref="A180:A182" totalsRowShown="0" headerRowDxfId="558">
  <autoFilter ref="A180:A182" xr:uid="{0C54F94C-6FE8-4AFA-A5A4-1A2BC7A6D122}"/>
  <tableColumns count="1">
    <tableColumn id="1" xr3:uid="{8023D332-3017-40CA-AB73-F90CEFBC01F4}" name="Issue Status"/>
  </tableColumns>
  <tableStyleInfo name="PPS Table Style Master"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F80E451-5D9F-482B-B568-C602F104081C}" name="NumberOfOccupants" displayName="NumberOfOccupants" ref="A184:A194" totalsRowShown="0" headerRowDxfId="557">
  <autoFilter ref="A184:A194" xr:uid="{BF80E451-5D9F-482B-B568-C602F104081C}"/>
  <tableColumns count="1">
    <tableColumn id="1" xr3:uid="{8D270BAC-1BB7-49C9-A7F4-0019442BB9E5}" name="Number of Occupants"/>
  </tableColumns>
  <tableStyleInfo name="PPS Table Style Master"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872A4A2-6AE5-4666-B59B-05AD86AC2A90}" name="SwingSpacePhase" displayName="SwingSpacePhase" ref="A196:A202" totalsRowShown="0" headerRowDxfId="556">
  <autoFilter ref="A196:A202" xr:uid="{E872A4A2-6AE5-4666-B59B-05AD86AC2A90}"/>
  <tableColumns count="1">
    <tableColumn id="1" xr3:uid="{5FC8B0A6-B5F8-44B6-94FB-1E83598AF534}" name="Swing Space Phase"/>
  </tableColumns>
  <tableStyleInfo name="PPS Table Style Master"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ECBBE3B-35F0-4893-92A9-300371DBEA96}" name="WarrantyType" displayName="WarrantyType" ref="A204:A211" totalsRowShown="0" headerRowDxfId="555">
  <autoFilter ref="A204:A211" xr:uid="{8ECBBE3B-35F0-4893-92A9-300371DBEA96}"/>
  <tableColumns count="1">
    <tableColumn id="1" xr3:uid="{87E9D253-6F25-4B20-9C35-6DC90558034F}" name="Warranty Type"/>
  </tableColumns>
  <tableStyleInfo name="PPS Table Style Master"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45D7D17-F687-41BB-97F7-B96DD54B7325}" name="MoveStatus" displayName="MoveStatus" ref="A213:A217" totalsRowShown="0" headerRowDxfId="554" dataDxfId="553">
  <autoFilter ref="A213:A217" xr:uid="{845D7D17-F687-41BB-97F7-B96DD54B7325}"/>
  <tableColumns count="1">
    <tableColumn id="1" xr3:uid="{C4E46382-2916-479A-A300-D9A3397AC33D}" name="Move Status" dataDxfId="552"/>
  </tableColumns>
  <tableStyleInfo name="PPS Table Style Master"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89C0CA1-83C0-4AC6-961E-65B0FAECAD2F}" name="PunchListStatus" displayName="PunchListStatus" ref="A219:A222" totalsRowShown="0" headerRowDxfId="551">
  <autoFilter ref="A219:A222" xr:uid="{889C0CA1-83C0-4AC6-961E-65B0FAECAD2F}"/>
  <tableColumns count="1">
    <tableColumn id="1" xr3:uid="{9DE65859-2E81-4842-84B8-111101D78967}" name="Punch List Status"/>
  </tableColumns>
  <tableStyleInfo name="PPS Table Style Master"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4116EFF-5779-4855-93AD-BBF1BD366CEB}" name="ActivityTypeSchedule" displayName="ActivityTypeSchedule" ref="A224:A231" totalsRowShown="0" headerRowDxfId="550">
  <autoFilter ref="A224:A231" xr:uid="{24116EFF-5779-4855-93AD-BBF1BD366CEB}"/>
  <tableColumns count="1">
    <tableColumn id="1" xr3:uid="{6172AC5B-A0BF-45FE-8A82-5E80A44039D7}" name="Activity Type Schedule"/>
  </tableColumns>
  <tableStyleInfo name="PPS Table Style Master"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3791447-E3BB-4E30-8BF4-8BB3B34573E4}" name="Trades" displayName="Trades" ref="A233:A240" totalsRowShown="0" headerRowDxfId="549">
  <autoFilter ref="A233:A240" xr:uid="{B3791447-E3BB-4E30-8BF4-8BB3B34573E4}"/>
  <tableColumns count="1">
    <tableColumn id="1" xr3:uid="{D8702BB4-4625-4F74-B3A1-78AE0BB68E28}" name="Trades"/>
  </tableColumns>
  <tableStyleInfo name="PPS Table Style Master"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5F92650-0909-43D0-8B5F-5392DA58A005}" name="PlannedActualFinancials" displayName="PlannedActualFinancials" ref="H9:K19" totalsRowShown="0" headerRowDxfId="544">
  <tableColumns count="4">
    <tableColumn id="1" xr3:uid="{F0779CD4-1D8A-41FA-8219-14B725969CD9}" name="Cost Area "/>
    <tableColumn id="2" xr3:uid="{3F8C8004-5623-4495-9322-2D86B5DAE98A}" name="Planned" dataCellStyle="Currency"/>
    <tableColumn id="3" xr3:uid="{78BBA7FD-4ED8-4A14-8EB7-7CDF4EB72784}" name="Actual" dataCellStyle="Currency"/>
    <tableColumn id="4" xr3:uid="{8EC628F1-8140-4514-909C-D8F7C93354ED}" name="Variance" dataCellStyle="Currency"/>
  </tableColumns>
  <tableStyleInfo name="PPS Table Style Master"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119C632-0FAD-4D53-AE40-3CEEC2EE58C8}" name="MasterFFE" displayName="MasterFFE" ref="F7:BA444" totalsRowShown="0" headerRowDxfId="535" dataDxfId="534">
  <autoFilter ref="F7:BA444" xr:uid="{6119C632-0FAD-4D53-AE40-3CEEC2EE58C8}"/>
  <sortState xmlns:xlrd2="http://schemas.microsoft.com/office/spreadsheetml/2017/richdata2" ref="F9:BA438">
    <sortCondition ref="H7:H444"/>
  </sortState>
  <tableColumns count="48">
    <tableColumn id="1" xr3:uid="{A34AD966-8B94-4A07-8E15-E165B40D14D5}" name="FF&amp;E ID" dataDxfId="533"/>
    <tableColumn id="2" xr3:uid="{BB9D3DD0-B6AD-41A4-A7D8-649B243EE6B6}" name="Item Name" dataDxfId="532"/>
    <tableColumn id="3" xr3:uid="{BDC0C5EE-D0AA-4C7C-BBCE-D8D5D30EA1A6}" name="Item Description" dataDxfId="531"/>
    <tableColumn id="44" xr3:uid="{67034F6A-173F-497D-BEC8-BD107E40EA49}" name="Product Type" dataDxfId="530"/>
    <tableColumn id="4" xr3:uid="{4FD7B4DB-9C27-46A3-BFC6-B271920C9F19}" name="Vendor/Supplier" dataDxfId="529"/>
    <tableColumn id="5" xr3:uid="{FC512D1B-3B6B-419D-9454-0F06F2EE21BE}" name="Vendor/Supplier POC" dataDxfId="528"/>
    <tableColumn id="46" xr3:uid="{AA053301-9248-45F2-ACF5-7F96994DCA2A}" name="User/User Group" dataDxfId="527"/>
    <tableColumn id="45" xr3:uid="{A3083DDF-8FC4-4280-8DBB-6BEE5175B093}" name="Current Action Owner" dataDxfId="526"/>
    <tableColumn id="6" xr3:uid="{BEACEDAE-13CC-47A5-93AF-6F040BB6E738}" name="Manufacturer" dataDxfId="525"/>
    <tableColumn id="7" xr3:uid="{4313AE46-D208-4D32-B48F-2FBE01FCA391}" name="Product Link" dataDxfId="524"/>
    <tableColumn id="8" xr3:uid="{7BE0268F-3DB4-4812-AB6F-37D48A410572}" name="Model No." dataDxfId="523"/>
    <tableColumn id="9" xr3:uid="{DF5457EC-26E2-4798-BCAC-0B14F8204C08}" name="Equip No." dataDxfId="522"/>
    <tableColumn id="10" xr3:uid="{78A253D7-D9C9-4B90-9BE5-D74EB2C0AFB4}" name="Product/SKU Code" dataDxfId="521"/>
    <tableColumn id="11" xr3:uid="{EEE933EB-D987-4440-8F4A-27D87EF951C5}" name="Client Asset Tag" dataDxfId="520"/>
    <tableColumn id="12" xr3:uid="{ECB4E077-5AF9-4E45-BFA6-EE421F90EB94}" name="Ext. Dimensions" dataDxfId="519"/>
    <tableColumn id="13" xr3:uid="{59533B31-BF3D-46BC-AA3F-D7FDB0741010}" name="Weight" dataDxfId="518"/>
    <tableColumn id="14" xr3:uid="{92785B69-EE1D-437F-ACE0-BE4BA896A785}" name="Power Type Required" dataDxfId="517"/>
    <tableColumn id="15" xr3:uid="{1DB39E36-75BA-4B53-B7F8-92DD1E1212EE}" name="Data Type Required" dataDxfId="516"/>
    <tableColumn id="16" xr3:uid="{C893E9E1-D661-4DED-BBA2-2F3C38D1FDDD}" name="Mounting Type" dataDxfId="515"/>
    <tableColumn id="18" xr3:uid="{3BF6ADF6-E8B8-4E2B-B5F7-14292CD237AC}" name="Current Building Location" dataDxfId="514"/>
    <tableColumn id="19" xr3:uid="{41F676A8-0CCB-4B9C-B608-58494050B6EF}" name="Current Floor Location" dataDxfId="513"/>
    <tableColumn id="20" xr3:uid="{41DAADCA-4B6F-4F5F-97C1-C8A403E4C61C}" name="Current Room Type" dataDxfId="512"/>
    <tableColumn id="21" xr3:uid="{D7A1F82A-CA1B-428A-BC67-25577D595E6D}" name="Current Room No." dataDxfId="511"/>
    <tableColumn id="17" xr3:uid="{D15A15A5-E9D3-4188-AE02-61325A248B2D}" name="New Building Location" dataDxfId="510"/>
    <tableColumn id="41" xr3:uid="{0386EAC5-C680-4EFE-B4F5-233B3DFAE844}" name="New Floor Location" dataDxfId="509"/>
    <tableColumn id="42" xr3:uid="{E45DBDC3-7941-45D7-B81F-971B2BA3FFF0}" name="New Room Type" dataDxfId="508"/>
    <tableColumn id="43" xr3:uid="{9945211F-D016-422B-86FC-82554B464DE9}" name="New Room No." dataDxfId="507"/>
    <tableColumn id="22" xr3:uid="{C23F6436-ED9A-417E-A86E-53E88E40BD0A}" name="Procurement Method &amp; Installation" dataDxfId="506"/>
    <tableColumn id="23" xr3:uid="{9527E078-8901-4E34-A0AB-55FF87E5BE74}" name="Funding Source" dataDxfId="505"/>
    <tableColumn id="24" xr3:uid="{82A95327-7402-46B7-B66F-00FEC2CF5B1B}" name="Total Item Quantity Needed" dataDxfId="504"/>
    <tableColumn id="25" xr3:uid="{74A3D178-7A90-4D7A-B553-27F9591E35E8}" name="Existing Quantity (If Re-used)" dataDxfId="503"/>
    <tableColumn id="26" xr3:uid="{D50E2C39-4CA5-477E-97DD-9533350BE96D}" name="New Item Quantity (To Order)" dataDxfId="502"/>
    <tableColumn id="27" xr3:uid="{9D3B793C-98CF-4C3E-BE60-B31EB719B32E}" name="Unit Price of New Item" dataDxfId="501" dataCellStyle="Currency"/>
    <tableColumn id="28" xr3:uid="{928B3DD4-A774-4CE5-B454-4A9D5AB87E4C}" name="Unit of Measure" dataDxfId="500"/>
    <tableColumn id="40" xr3:uid="{A5722E17-680E-4608-9051-DD742C3E6023}" name="Extended Cost of Item" dataDxfId="499" dataCellStyle="Currency"/>
    <tableColumn id="29" xr3:uid="{4995F7FA-BF5B-4837-A260-D40D226BFBD8}" name="ETA" dataDxfId="498"/>
    <tableColumn id="30" xr3:uid="{A9686E0A-C4FF-494F-9499-3D2073F187C4}" name="Process Status" dataDxfId="497"/>
    <tableColumn id="31" xr3:uid="{4A879ED7-C322-4B08-B712-48806447473B}" name="FF&amp;E Item Status" dataDxfId="496"/>
    <tableColumn id="32" xr3:uid="{21D6C094-B91E-46A6-A8D1-F22DE0E60176}" name="Item Condition" dataDxfId="495"/>
    <tableColumn id="33" xr3:uid="{B9FBD9AF-F1B2-40DF-A440-A788C9E4432C}" name="Warranty (Y/N)" dataDxfId="494"/>
    <tableColumn id="34" xr3:uid="{B82EF146-67F3-4710-9039-25586F602569}" name="Warranty Type" dataDxfId="493"/>
    <tableColumn id="36" xr3:uid="{51D675B2-878B-418C-A9B1-BBBE9C341CB0}" name="Priority" dataDxfId="492"/>
    <tableColumn id="37" xr3:uid="{5EA2FD7C-3A1A-40C3-A7B9-DFD1DFA63383}" name="Punch List Item (Y/N)" dataDxfId="491"/>
    <tableColumn id="47" xr3:uid="{F5D8A18D-E125-4AFD-BCA5-0E03A35F28BE}" name="Swing Space Item (Y/N)" dataDxfId="490"/>
    <tableColumn id="48" xr3:uid="{A60E5BA9-11CD-4BFB-8E5A-61BA36D68072}" name="Associated Move Management ID" dataDxfId="489"/>
    <tableColumn id="49" xr3:uid="{0B49B239-0AA0-4315-8A65-E875810F8C09}" name="Associated Swing Space ID" dataDxfId="488"/>
    <tableColumn id="38" xr3:uid="{8DFB51C3-EE07-4649-B87E-775292A8A8EC}" name="Related Docs" dataDxfId="487"/>
    <tableColumn id="39" xr3:uid="{800A6371-1A8C-49A6-961E-92389C2E8EDB}" name="Notes" dataDxfId="486"/>
  </tableColumns>
  <tableStyleInfo name="Master FFE Table Style"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9DBAA0-EBA9-4BF3-BCC7-1F8DC14E4FA2}" name="ItemIssues" displayName="ItemIssues" ref="F7:AH23" totalsRowShown="0" headerRowDxfId="483" dataDxfId="482">
  <autoFilter ref="F7:AH23" xr:uid="{A59DBAA0-EBA9-4BF3-BCC7-1F8DC14E4FA2}"/>
  <tableColumns count="29">
    <tableColumn id="1" xr3:uid="{1A3BDDA0-660E-4518-8290-199860797C4E}" name="ID" dataDxfId="481"/>
    <tableColumn id="2" xr3:uid="{33865654-2178-479B-99FD-326E43328840}" name="Item Name" dataDxfId="480"/>
    <tableColumn id="3" xr3:uid="{B7AAE410-C41A-40DC-8B82-A159974D6923}" name="Product Type" dataDxfId="479"/>
    <tableColumn id="4" xr3:uid="{80F228C7-F93B-41E7-8365-A6750CF6BD2E}" name="Issue Type" dataDxfId="478"/>
    <tableColumn id="5" xr3:uid="{036282EF-51DB-41FA-84A8-CBFE70AE3BD8}" name="Issue Status" dataDxfId="477"/>
    <tableColumn id="6" xr3:uid="{85D49251-05E3-438C-93B5-08423F18340E}" name="No. of Items with Issue" dataDxfId="476"/>
    <tableColumn id="7" xr3:uid="{820E6AD3-1DF0-493D-92C7-14B7BFE74F95}" name="No. of Items Resolved" dataDxfId="475"/>
    <tableColumn id="8" xr3:uid="{A6A83FB7-538A-4315-BC00-7141D97B2087}" name="Description of Issue" dataDxfId="474"/>
    <tableColumn id="9" xr3:uid="{7D26F9C5-14F0-4DCD-8422-8C87794B4906}" name="Resolution" dataDxfId="473"/>
    <tableColumn id="10" xr3:uid="{82117463-2ACE-45C1-9681-A54D97B3F4D8}" name="Vendor/Supplier" dataDxfId="472"/>
    <tableColumn id="11" xr3:uid="{B47E5F96-E964-4B28-8028-F63C17DDB0FF}" name="Vendor/Supplier POC" dataDxfId="471"/>
    <tableColumn id="23" xr3:uid="{F921464B-A546-4E86-A9F7-3CF6F405CFC8}" name="Manufacturer" dataDxfId="470"/>
    <tableColumn id="12" xr3:uid="{6574D93C-70F8-4FED-8371-09573D14A08C}" name="Product Link" dataDxfId="469"/>
    <tableColumn id="13" xr3:uid="{4B9F84F5-787A-456C-9933-B4CEF0BAA0C6}" name="Model No." dataDxfId="468"/>
    <tableColumn id="14" xr3:uid="{BCA2FB92-5717-4159-8FB7-D66C4F19F0CC}" name="Equip No." dataDxfId="467"/>
    <tableColumn id="15" xr3:uid="{2ABA1265-46D9-4C7E-B1CC-1571CAF6E0B3}" name="Product/SKU Code" dataDxfId="466"/>
    <tableColumn id="16" xr3:uid="{0D4A3867-5B39-4252-A4FD-C20DD15A69BF}" name="Ext. Dimensions" dataDxfId="465"/>
    <tableColumn id="28" xr3:uid="{846587C2-7586-453A-ACA2-A086BADA5CCA}" name="Current Building Location" dataDxfId="464"/>
    <tableColumn id="27" xr3:uid="{519F3C01-A147-4A58-8703-544037D3DBD3}" name="Current Floor Location" dataDxfId="463"/>
    <tableColumn id="26" xr3:uid="{B50101E6-DB6C-459C-80B6-7DCB8C152168}" name="Current Room Type" dataDxfId="462"/>
    <tableColumn id="24" xr3:uid="{2392F3E3-2AD1-44FD-AB64-2E68B7767FF3}" name="Current Room No." dataDxfId="461"/>
    <tableColumn id="17" xr3:uid="{CFE6B79A-46CB-460B-9287-9CFDA87181F7}" name="Procurement Method &amp; Installation" dataDxfId="460"/>
    <tableColumn id="18" xr3:uid="{A6AEF7D2-53FD-442A-9111-BBEF9E0439B8}" name="Warranty (Y/N)" dataDxfId="459"/>
    <tableColumn id="19" xr3:uid="{CC7DC540-5E75-495E-8958-6385EA910D69}" name="Warranty Type" dataDxfId="458"/>
    <tableColumn id="21" xr3:uid="{99474E68-B1D3-4231-A272-16F1AFAB086E}" name="Priority" dataDxfId="457"/>
    <tableColumn id="20" xr3:uid="{2FCA1A71-28F4-4AA6-97E6-52B77103A3E4}" name="Associated FF&amp;E ID" dataDxfId="456"/>
    <tableColumn id="29" xr3:uid="{07D59698-85C0-415F-B25C-E4753E0EEFD0}" name="Associated Move Management ID" dataDxfId="455"/>
    <tableColumn id="25" xr3:uid="{24116907-F327-4DEB-9374-AC215C47707F}" name="Associated Swing Space ID" dataDxfId="454"/>
    <tableColumn id="22" xr3:uid="{FCA6DB9C-C38A-426E-B61D-122165F8F224}" name="Notes" dataDxfId="453"/>
  </tableColumns>
  <tableStyleInfo name="Master FFE Table Style"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F7578E2-662F-4EDD-B1B3-917E2A62F948}" name="FFEPunchList" displayName="FFEPunchList" ref="F7:AF8" insertRow="1" totalsRowShown="0" headerRowDxfId="449" dataDxfId="448">
  <autoFilter ref="F7:AF8" xr:uid="{3F7578E2-662F-4EDD-B1B3-917E2A62F948}"/>
  <tableColumns count="27">
    <tableColumn id="1" xr3:uid="{6FC80DD3-1A99-41AF-BBD3-4E12CB3031E4}" name="FF&amp;E ID" dataDxfId="447"/>
    <tableColumn id="2" xr3:uid="{6ECCD5BE-23D4-440B-86E8-7DC0358BBCD4}" name="Item Name" dataDxfId="446"/>
    <tableColumn id="3" xr3:uid="{C5E6C5E9-F63A-46E5-AE65-7BF9AAEF7303}" name="Item Description" dataDxfId="445"/>
    <tableColumn id="4" xr3:uid="{3BD7D83C-67D8-4728-8AA7-86F4E892DB4A}" name="Product Type" dataDxfId="444"/>
    <tableColumn id="5" xr3:uid="{88344B3F-73CC-4B3D-8F77-78F92DE23A15}" name="Remaining Tasks &amp; Corrections" dataDxfId="443"/>
    <tableColumn id="6" xr3:uid="{DDF110E8-8E6A-4719-9BA1-008AD1CC7B28}" name="Punch List Item Status" dataDxfId="442"/>
    <tableColumn id="7" xr3:uid="{49BFB533-B4DA-4CDE-9CB5-A13611C0CD9B}" name="Vendor/Supplier" dataDxfId="441"/>
    <tableColumn id="8" xr3:uid="{8D793E23-E83A-4903-BB3F-1A546EAA212B}" name="Vendor/Supplier POC" dataDxfId="440"/>
    <tableColumn id="26" xr3:uid="{3B779D9E-E39E-4D9B-ABB4-91E26E8772F5}" name="Manufacturer" dataDxfId="439"/>
    <tableColumn id="9" xr3:uid="{39EF2B15-24A9-47A0-B181-AE0CCE7408AF}" name="Product Link" dataDxfId="438"/>
    <tableColumn id="10" xr3:uid="{E692D5BD-4B9C-440C-8F2D-1385CF5247F2}" name="Model No." dataDxfId="437"/>
    <tableColumn id="11" xr3:uid="{188A0727-6B63-4698-8E4B-6BD83B1D97D8}" name="Equip No." dataDxfId="436"/>
    <tableColumn id="12" xr3:uid="{1915D406-4154-4073-9530-4CA95C004FB7}" name="Product/SKU Code" dataDxfId="435"/>
    <tableColumn id="13" xr3:uid="{715AA138-CE34-4827-B433-963A4D4DB54B}" name="Client Asset Tag" dataDxfId="434"/>
    <tableColumn id="14" xr3:uid="{B2A6DC4C-6D4A-4B00-A07F-DF5535C5EA03}" name="Ext. Dimensions" dataDxfId="433"/>
    <tableColumn id="15" xr3:uid="{B64C59C7-D0F1-4ACE-8298-6A8BD9EE4566}" name="Weight" dataDxfId="432"/>
    <tableColumn id="16" xr3:uid="{4B1CB9E4-B786-42BA-8E8A-8D7909676581}" name="Power Type Required" dataDxfId="431"/>
    <tableColumn id="17" xr3:uid="{47CE0DCF-5528-4540-B221-B4D57A180A23}" name="Data Type Required" dataDxfId="430"/>
    <tableColumn id="18" xr3:uid="{8B0DCDC2-1AA4-4089-93B2-8C54F02A1751}" name="Mounting Type" dataDxfId="429"/>
    <tableColumn id="19" xr3:uid="{30420B18-FB32-4012-96FF-CCDBFD2ECD48}" name="Building" dataDxfId="428"/>
    <tableColumn id="20" xr3:uid="{72C1122C-C371-4FFF-A0D7-D9CC90DF4463}" name="Floor" dataDxfId="427"/>
    <tableColumn id="21" xr3:uid="{89194B06-5B41-4009-8417-B5B2295B7DF8}" name="Room Type" dataDxfId="426"/>
    <tableColumn id="22" xr3:uid="{24865336-EF8A-4E7A-87A5-7EAFDD5709EB}" name="Room No." dataDxfId="425"/>
    <tableColumn id="23" xr3:uid="{59A4D22E-6314-440D-8814-5907652CD9D6}" name="Procurement Method &amp; Installation" dataDxfId="424"/>
    <tableColumn id="27" xr3:uid="{A27F5BCD-23F4-4F3B-A629-03DFB4D3E7B0}" name="Action Owner" dataDxfId="423"/>
    <tableColumn id="24" xr3:uid="{A5572D9A-E2D2-4B00-913B-EEFF07C4B21D}" name="Priority" dataDxfId="422"/>
    <tableColumn id="25" xr3:uid="{E4E9507E-33FE-434A-A93E-86F1B3D3CCBA}" name="Notes" dataDxfId="421"/>
  </tableColumns>
  <tableStyleInfo name="Master FFE Table Style"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3985128-D385-4A6F-B947-5A7766F00B30}" name="MoveManagement" displayName="MoveManagement" ref="F7:AD444" totalsRowShown="0" headerRowDxfId="416" dataDxfId="415" tableBorderDxfId="414">
  <autoFilter ref="F7:AD444" xr:uid="{13985128-D385-4A6F-B947-5A7766F00B30}">
    <filterColumn colId="11">
      <filters>
        <filter val="2nd"/>
      </filters>
    </filterColumn>
  </autoFilter>
  <tableColumns count="25">
    <tableColumn id="1" xr3:uid="{8B5837C6-AC05-4839-915C-0D6F2E117C7E}" name="Move Management ID" dataDxfId="413"/>
    <tableColumn id="2" xr3:uid="{B5927782-254D-446F-A736-88AF87E3B8F1}" name="User/User Group" dataDxfId="412"/>
    <tableColumn id="3" xr3:uid="{C4D30491-FDDE-43D2-88C3-93C3B8D86872}" name="Current Building Location" dataDxfId="411"/>
    <tableColumn id="4" xr3:uid="{37CD3D39-A6D3-4DE4-AA8D-4F8084AE03BD}" name="Current Floor Location" dataDxfId="410"/>
    <tableColumn id="5" xr3:uid="{5063E372-55C6-499B-A661-B42AC680387E}" name="Current Room Type" dataDxfId="409"/>
    <tableColumn id="6" xr3:uid="{3C824CDB-947B-425D-B4C8-D17AE0E5FFFF}" name="Current Room No." dataDxfId="408"/>
    <tableColumn id="7" xr3:uid="{BBD2C54B-D9EF-4797-9763-0D70F69ADB6B}" name="No. of Occupants" dataDxfId="407"/>
    <tableColumn id="8" xr3:uid="{7E7074B1-6D0F-45DD-9F7F-F729DBC68E7C}" name="Items Being Moved" dataDxfId="406"/>
    <tableColumn id="9" xr3:uid="{BD7F9934-9A79-433C-B330-7C809B6C2B2F}" name="No. of Boxes" dataDxfId="405"/>
    <tableColumn id="10" xr3:uid="{4DCEDFBE-EE36-49B3-A52F-E87C8B35CB3B}" name="Box Label/Tags" dataDxfId="404"/>
    <tableColumn id="11" xr3:uid="{693493D4-5BEB-408A-AF33-7CB2C22E23E0}" name="New Building Location" dataDxfId="403"/>
    <tableColumn id="12" xr3:uid="{A1EDA0FB-8A64-4A00-8836-34973F8C299F}" name="New Floor Location" dataDxfId="402"/>
    <tableColumn id="13" xr3:uid="{9AF40435-D0A7-4C70-AE52-709F7799498F}" name="New Room Type" dataDxfId="401"/>
    <tableColumn id="14" xr3:uid="{D2C2C3C2-ED00-4743-982B-96168ABC3D75}" name="New Room No." dataDxfId="400"/>
    <tableColumn id="15" xr3:uid="{E4726739-3122-4891-813C-9571A9A33131}" name="Scheduled Move Date" dataDxfId="399"/>
    <tableColumn id="16" xr3:uid="{F71FAF06-56F6-4160-93E4-13319B043A85}" name="Date Moved to New Location" dataDxfId="398"/>
    <tableColumn id="17" xr3:uid="{3948EE51-4554-4763-8D2E-95D84267CAF6}" name="Transportation Entity" dataDxfId="397"/>
    <tableColumn id="18" xr3:uid="{EB5780CA-03F1-490C-8B94-86861100E4ED}" name="Transportation Entity POC" dataDxfId="396"/>
    <tableColumn id="21" xr3:uid="{FBEE1104-E6C1-4D97-980A-F8F93150AFF6}" name="Move Management Status" dataDxfId="395"/>
    <tableColumn id="25" xr3:uid="{AF3B7971-5AE7-4572-8C98-FB9A1AD979C6}" name="Move Cost" dataDxfId="394" dataCellStyle="Currency"/>
    <tableColumn id="22" xr3:uid="{EFDB1571-9D30-477B-9165-97F9B7827A8F}" name="Swing Space Item (Y/N)" dataDxfId="393"/>
    <tableColumn id="23" xr3:uid="{6E23F2E5-AD8F-4C29-B13F-79E32E468606}" name="Associated FF&amp;E ID" dataDxfId="392"/>
    <tableColumn id="24" xr3:uid="{96896003-39C3-4A0B-8537-F637D9538B22}" name="Associated Swing Space ID" dataDxfId="391"/>
    <tableColumn id="19" xr3:uid="{9D66DC40-B98B-46F0-B72D-01103618D0E3}" name="Client/Owner POC" dataDxfId="390"/>
    <tableColumn id="20" xr3:uid="{D0ED3EC9-9B14-4077-BDB6-B12D6320DC94}" name="Notes" dataDxfId="389"/>
  </tableColumns>
  <tableStyleInfo name="Master FFE Table Style"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B629C37-239A-4401-93B4-5ED766CB96D5}" name="SwingSpace" displayName="SwingSpace" ref="F7:AK290" totalsRowShown="0" headerRowDxfId="378" dataDxfId="377" tableBorderDxfId="376">
  <autoFilter ref="F7:AK290" xr:uid="{3B629C37-239A-4401-93B4-5ED766CB96D5}"/>
  <sortState xmlns:xlrd2="http://schemas.microsoft.com/office/spreadsheetml/2017/richdata2" ref="F8:AK8">
    <sortCondition ref="F7:F8"/>
  </sortState>
  <tableColumns count="32">
    <tableColumn id="1" xr3:uid="{4C32E89B-46BD-43BC-8F67-7FABA476D512}" name="Swing Space ID" dataDxfId="375"/>
    <tableColumn id="2" xr3:uid="{7B75B392-313C-4E5E-83CC-B7BF31B15328}" name="User/User Group" dataDxfId="374"/>
    <tableColumn id="21" xr3:uid="{23D10CA0-BEF7-4B65-AD19-636A58527194}" name="Swing Space Phase" dataDxfId="373"/>
    <tableColumn id="22" xr3:uid="{470206AF-7F1A-4B08-B8CD-322A70BCB4FD}" name="No. of Occupants" dataDxfId="372"/>
    <tableColumn id="23" xr3:uid="{6B32B713-4DDC-40E4-97D8-56E5C9CF21CF}" name="FF&amp;E Needs" dataDxfId="371"/>
    <tableColumn id="24" xr3:uid="{A50F8172-35CE-4752-ACDF-889D7DBD1D75}" name="Technology Needs" dataDxfId="370"/>
    <tableColumn id="25" xr3:uid="{1EFAFAAD-0F12-4928-A4A3-9CD300E100BF}" name="Facility/Space Needs" dataDxfId="369"/>
    <tableColumn id="26" xr3:uid="{4B8EE99B-579A-4878-BE52-8526042F4011}" name="No. of Boxes Needed" dataDxfId="368"/>
    <tableColumn id="27" xr3:uid="{91CB17EE-E65D-4993-B9E1-650C5FD0E343}" name="Box Label/Tags" dataDxfId="367"/>
    <tableColumn id="3" xr3:uid="{09E8D79C-760E-4C45-8426-CB5931E14DB5}" name="Current Building Location" dataDxfId="366"/>
    <tableColumn id="4" xr3:uid="{E8022BA1-F1B6-44DF-9FCE-BBD8BC4E5C31}" name="Current Floor Location" dataDxfId="365"/>
    <tableColumn id="5" xr3:uid="{729D6373-9B00-4AFF-B42E-A275B8955C4C}" name="Current Room Type" dataDxfId="364"/>
    <tableColumn id="6" xr3:uid="{7FAF0BCB-6D52-4E92-A6E8-F0D0F1E12923}" name="Current Room No." dataDxfId="363"/>
    <tableColumn id="29" xr3:uid="{556B14F2-B647-4076-B6C4-25B1D0EB1822}" name="Scheduled Move Date to Swing Space" dataDxfId="362"/>
    <tableColumn id="30" xr3:uid="{E883A934-E493-49F7-A584-276A79F58D0B}" name="Date Moved to Swing Space" dataDxfId="361"/>
    <tableColumn id="7" xr3:uid="{14C55CF3-BEE7-4462-8A37-4D0F3510DB76}" name="Swing Building" dataDxfId="360"/>
    <tableColumn id="17" xr3:uid="{E6CA6EB3-A5F8-4FCC-93A8-E7D13A0A2373}" name="Swing Floor" dataDxfId="359"/>
    <tableColumn id="8" xr3:uid="{9FF4D435-321D-46B8-8873-9EFD3D60707D}" name="Swing Room Type" dataDxfId="358"/>
    <tableColumn id="28" xr3:uid="{399F7A8C-A992-4A96-BD2F-A44E4EB0F992}" name="Swing Room No." dataDxfId="357"/>
    <tableColumn id="32" xr3:uid="{1628D927-54E5-44E0-8C43-3B0B41A38403}" name="Scheduled Move Date to New Location" dataDxfId="356"/>
    <tableColumn id="31" xr3:uid="{E1F047BD-F490-41F1-8CEB-1B3D13D9C2C1}" name="Date Moved to New Location" dataDxfId="355"/>
    <tableColumn id="11" xr3:uid="{5689EF1E-53EB-41DF-80EA-6C8CDAA4DACB}" name="New Building Location" dataDxfId="354"/>
    <tableColumn id="12" xr3:uid="{CC343747-5E00-4FEC-8EDA-0D2DA56C6802}" name="New Floor Location" dataDxfId="353"/>
    <tableColumn id="13" xr3:uid="{35F4D31B-E0C3-48E8-811F-C21275A8DC81}" name="New Room Type" dataDxfId="352"/>
    <tableColumn id="14" xr3:uid="{DDFD7EE5-161E-4684-9AB8-9DA2BD3C1AFA}" name="New Room No." dataDxfId="351"/>
    <tableColumn id="9" xr3:uid="{B678C4B0-74C7-48D7-AEC9-4EE7F8316D33}" name="Swing Space Status" dataDxfId="350"/>
    <tableColumn id="36" xr3:uid="{DD96594B-6B43-4555-B6D6-AE9A7ED97136}" name="Swing Space Cost" dataDxfId="349" dataCellStyle="Currency"/>
    <tableColumn id="10" xr3:uid="{82C29BF7-EE5A-4909-8163-90D318CA2E8A}" name="Swing Space Punch List Item (Y/N)" dataDxfId="348"/>
    <tableColumn id="15" xr3:uid="{F7B77CEB-BF75-4B22-9096-F147D2EB2004}" name="Associated FF&amp;E ID" dataDxfId="347"/>
    <tableColumn id="16" xr3:uid="{67B41884-9D5E-4894-9660-F68443F17E43}" name="Associated Move Management ID" dataDxfId="346"/>
    <tableColumn id="19" xr3:uid="{E2499834-84D4-4495-B4F7-4903A2F59146}" name="Client/Owner POC" dataDxfId="345"/>
    <tableColumn id="20" xr3:uid="{C7B17EE8-6308-4008-9038-CE1822F1040D}" name="Notes" dataDxfId="344"/>
  </tableColumns>
  <tableStyleInfo name="Master FFE Table Style"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52F8CB6E-8603-4B4D-AD5E-D92FD1BD395F}" name="TenantImprovement" displayName="TenantImprovement" ref="F7:U8" totalsRowShown="0" headerRowDxfId="337" dataDxfId="336">
  <autoFilter ref="F7:U8" xr:uid="{52F8CB6E-8603-4B4D-AD5E-D92FD1BD395F}"/>
  <tableColumns count="16">
    <tableColumn id="1" xr3:uid="{54C787D6-69DF-4E0A-9D5B-B1A02052FAC4}" name="Tenant Improvement ID" dataDxfId="335"/>
    <tableColumn id="2" xr3:uid="{29016E43-0006-4ECD-9E8F-28AECFAA99A0}" name="User/User Group" dataDxfId="334"/>
    <tableColumn id="3" xr3:uid="{B43B8C63-0F36-4AFC-B1AA-0E664CA0ADB9}" name="Facility/Space Needs" dataDxfId="333"/>
    <tableColumn id="4" xr3:uid="{F2EED2A7-D848-4AED-907E-B3E293CD47CD}" name="Trade" dataDxfId="332"/>
    <tableColumn id="5" xr3:uid="{18C0DA26-4B57-4C71-9F9B-58E98EC4C084}" name="Building" dataDxfId="331"/>
    <tableColumn id="6" xr3:uid="{312E7112-3AB5-4CC8-800B-9549F427E34A}" name="Floor" dataDxfId="330"/>
    <tableColumn id="7" xr3:uid="{81A240B0-2470-4633-B4E6-23AE83E8B78F}" name="Room Type" dataDxfId="329"/>
    <tableColumn id="8" xr3:uid="{C259A5C4-E19D-4116-9092-2FCC44BC5F74}" name="Room No." dataDxfId="328"/>
    <tableColumn id="9" xr3:uid="{DA201FC1-BF1A-43FF-A5AF-8F0E699D3EFA}" name="Status" dataDxfId="327"/>
    <tableColumn id="10" xr3:uid="{FBC27C9A-5707-4F57-AF04-BA584A2AB3E2}" name="Action Owner" dataDxfId="326"/>
    <tableColumn id="11" xr3:uid="{E3A4F6B8-F3AF-4376-AC6F-D2DBF42F8E27}" name="Priority" dataDxfId="325"/>
    <tableColumn id="15" xr3:uid="{749BA782-853D-4981-B04F-3C3617D040AD}" name="Vendor" dataDxfId="324"/>
    <tableColumn id="16" xr3:uid="{E0D376B8-4519-4F26-B26F-6FA272A27B45}" name="Vendor POC" dataDxfId="323"/>
    <tableColumn id="17" xr3:uid="{54BD6BEE-03FA-4AD7-B5D3-B4D330E4ED15}" name="Client/Owner POC" dataDxfId="322"/>
    <tableColumn id="14" xr3:uid="{00D882B1-3054-4BAE-9A3E-A53AE86AA8A9}" name="Quoted Cost" dataDxfId="321"/>
    <tableColumn id="12" xr3:uid="{B7D9E444-2FDE-4400-A1B5-244544D7E347}" name="Notes" dataDxfId="320"/>
  </tableColumns>
  <tableStyleInfo name="Master FFE Table Style"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5173E98-ACA9-4D17-9715-E360B652D962}" name="SwingSpacePunchList" displayName="SwingSpacePunchList" ref="F7:S8" totalsRowShown="0" headerRowDxfId="316" dataDxfId="315">
  <autoFilter ref="F7:S8" xr:uid="{E5173E98-ACA9-4D17-9715-E360B652D962}"/>
  <tableColumns count="14">
    <tableColumn id="1" xr3:uid="{2463A42F-8647-4025-8710-90847D3BA35B}" name="Swing Space ID" dataDxfId="314"/>
    <tableColumn id="2" xr3:uid="{21F5554D-C085-4CAA-A332-F8F31B3F2811}" name="User/User Group" dataDxfId="313"/>
    <tableColumn id="8" xr3:uid="{C9B0FFDE-106B-48D6-8470-9CC6075DF3C2}" name="FF&amp;E Needs" dataDxfId="312"/>
    <tableColumn id="9" xr3:uid="{09D261F6-629C-4BBC-AE12-B39EB36C63F7}" name="Technology Needs" dataDxfId="311"/>
    <tableColumn id="10" xr3:uid="{ADC823A7-31FE-4118-A05E-412FD34D7D37}" name="Facility/Space Needs" dataDxfId="310"/>
    <tableColumn id="3" xr3:uid="{14327752-6FC4-4D4B-A2B5-C33F18BD53EC}" name="Swing Building" dataDxfId="309"/>
    <tableColumn id="7" xr3:uid="{0628716B-ECFC-4942-A946-E691034BBC95}" name="Swing Floor" dataDxfId="308"/>
    <tableColumn id="4" xr3:uid="{023B080A-8F2C-4DA6-B61E-28C9532215AB}" name="Swing Room Type" dataDxfId="307"/>
    <tableColumn id="26" xr3:uid="{84782088-8A04-4C58-ACBB-12CF4338BA61}" name="Swing Room No." dataDxfId="306"/>
    <tableColumn id="5" xr3:uid="{1DDBA0D4-30D9-4CB6-88EE-C1C871644CB2}" name="Remaining Tasks &amp; Corrections" dataDxfId="305"/>
    <tableColumn id="6" xr3:uid="{E41FF28D-E5EA-4989-AEDE-62619F7BEB9A}" name="Punch List Item Status" dataDxfId="304"/>
    <tableColumn id="27" xr3:uid="{524938FA-1F70-4177-83A8-920548F4E051}" name="Action Owner" dataDxfId="303"/>
    <tableColumn id="24" xr3:uid="{3FDD86D8-35BE-44C8-B95B-26CAEB6F4B57}" name="Priority" dataDxfId="302"/>
    <tableColumn id="25" xr3:uid="{4512A8E6-4C3D-44B2-BD01-3DB7DB599768}" name="Notes" dataDxfId="301"/>
  </tableColumns>
  <tableStyleInfo name="Master FFE Table Style"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3E2E81D-E9E6-4B52-B058-14D05C5C8482}" name="Schedule" displayName="Schedule" ref="F13:O47" totalsRowShown="0" headerRowDxfId="300" dataDxfId="299">
  <autoFilter ref="F13:O47" xr:uid="{93E2E81D-E9E6-4B52-B058-14D05C5C8482}"/>
  <sortState xmlns:xlrd2="http://schemas.microsoft.com/office/spreadsheetml/2017/richdata2" ref="F14:O14">
    <sortCondition ref="H13:H14"/>
  </sortState>
  <tableColumns count="10">
    <tableColumn id="1" xr3:uid="{E75D4FEB-462D-4854-8A48-45A56FDEFEF3}" name="Activity" dataDxfId="298"/>
    <tableColumn id="2" xr3:uid="{95413D79-98A3-4735-914C-C1647C75EFC2}" name="Activity Type" dataDxfId="297"/>
    <tableColumn id="3" xr3:uid="{E6D46FA7-17A1-4D70-9612-442B6E675A26}" name="Planned Start" dataDxfId="296"/>
    <tableColumn id="4" xr3:uid="{76838030-798E-4243-AB92-1A2540DC84DA}" name="Planned Finish" dataDxfId="295"/>
    <tableColumn id="12" xr3:uid="{C0D0E3A4-4AAE-43B7-983B-6B39986CF79C}" name="Planned Duration (in Days)" dataDxfId="294"/>
    <tableColumn id="5" xr3:uid="{18D31D12-F7D8-4AB0-A996-8B4C8F66D325}" name="Actual Start" dataDxfId="293"/>
    <tableColumn id="6" xr3:uid="{15C4023B-F28C-48DC-9DA7-B7B0A764E998}" name="Actual Finish" dataDxfId="292"/>
    <tableColumn id="13" xr3:uid="{D7F159E1-DB51-4026-8326-3EE97497BB38}" name="Actual Duration (in Days)" dataDxfId="291"/>
    <tableColumn id="14" xr3:uid="{2C60660E-7AA9-438B-845B-3F69DA1F31F8}" name="Variance" dataDxfId="290"/>
    <tableColumn id="7" xr3:uid="{E73B2F3F-686E-474C-A681-90363E1E593D}" name="% Complete" dataDxfId="289" dataCellStyle="Percent"/>
  </tableColumns>
  <tableStyleInfo name="Schedule Table"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E552B854-FE9C-47AA-9B11-E8A7D749046C}" name="ScheduleGantt" displayName="ScheduleGantt" ref="P13:KD47" totalsRowShown="0" headerRowDxfId="288" dataDxfId="286" headerRowBorderDxfId="287">
  <tableColumns count="275">
    <tableColumn id="1" xr3:uid="{E398A028-9EA9-43D0-8662-DDBCB01ADEE8}" name="Apr-01" dataDxfId="285"/>
    <tableColumn id="2" xr3:uid="{3FF9262E-495C-45DC-BFBB-D399E406DDA4}" name="Apr-02" dataDxfId="284"/>
    <tableColumn id="3" xr3:uid="{7DBD9477-B526-463E-B532-22DBC12885B0}" name="Apr-03" dataDxfId="283"/>
    <tableColumn id="4" xr3:uid="{8C17052F-8565-4B9B-8C17-372561F60C7D}" name="Apr-04" dataDxfId="282"/>
    <tableColumn id="5" xr3:uid="{7C065F1E-DABE-40C4-B926-1851FF3019F7}" name="Apr-05" dataDxfId="281"/>
    <tableColumn id="6" xr3:uid="{5D5E36B4-1C98-40FC-8664-6F09890FB767}" name="Apr-06" dataDxfId="280"/>
    <tableColumn id="7" xr3:uid="{E9EE21CD-152C-4994-B442-C26AF32BB107}" name="Apr-07" dataDxfId="279"/>
    <tableColumn id="8" xr3:uid="{BCF00729-20A5-46E2-9229-12512B914803}" name="Apr-08" dataDxfId="278"/>
    <tableColumn id="9" xr3:uid="{B8DDC45B-5226-40E7-8970-86A824690C62}" name="Apr-09" dataDxfId="277"/>
    <tableColumn id="10" xr3:uid="{C0194643-9591-4DCD-9994-4FF5458129A7}" name="Apr-10" dataDxfId="276"/>
    <tableColumn id="11" xr3:uid="{0083C7B9-CC04-4459-8ED5-89D3A53E0BC3}" name="Apr-11" dataDxfId="275"/>
    <tableColumn id="12" xr3:uid="{75D57EAE-C883-4660-97AD-511FCB3FF777}" name="Apr-12" dataDxfId="274"/>
    <tableColumn id="13" xr3:uid="{AC8D5462-7807-4D7F-B5DD-FFD379407B3F}" name="Apr-13" dataDxfId="273"/>
    <tableColumn id="14" xr3:uid="{AF80CE0C-D0CF-4C48-AFAE-751DBD92A14E}" name="Apr-14" dataDxfId="272"/>
    <tableColumn id="15" xr3:uid="{544DB8F4-6E54-4253-92EF-BC0297B01CF7}" name="Apr-15" dataDxfId="271"/>
    <tableColumn id="16" xr3:uid="{AFE3C821-F85C-48E0-9084-DEBE0C988A39}" name="Apr-16" dataDxfId="270"/>
    <tableColumn id="17" xr3:uid="{A5330569-AA71-4E55-AEE4-39FCEEC33ECA}" name="Apr-17" dataDxfId="269"/>
    <tableColumn id="18" xr3:uid="{90862979-D8A8-4BAA-9DB2-B17040FF1425}" name="Apr-18" dataDxfId="268"/>
    <tableColumn id="19" xr3:uid="{E8D22590-B0D1-4CA5-BB25-4832169B8AE4}" name="Apr-19" dataDxfId="267"/>
    <tableColumn id="20" xr3:uid="{2DE8A1A8-549A-4A9D-A940-8DD9E2FCCD86}" name="Apr-20" dataDxfId="266"/>
    <tableColumn id="21" xr3:uid="{F11BC1D8-7044-43E8-BFF4-848E9CFFA70A}" name="Apr-21" dataDxfId="265"/>
    <tableColumn id="22" xr3:uid="{FC480488-64D7-4F3C-8580-E6DC5D9B173D}" name="Apr-22" dataDxfId="264"/>
    <tableColumn id="23" xr3:uid="{E665D349-1417-42F8-AFEC-AE17FD0DC356}" name="Apr-23" dataDxfId="263"/>
    <tableColumn id="24" xr3:uid="{28F1080D-43B2-4595-8B9F-45A22C72C428}" name="Apr-24" dataDxfId="262"/>
    <tableColumn id="25" xr3:uid="{B5EB92A8-EF72-4D13-B503-04B0AB031E5A}" name="Apr-25" dataDxfId="261"/>
    <tableColumn id="26" xr3:uid="{1EE664CE-3681-4802-9294-FA360195D2BF}" name="Apr-26" dataDxfId="260"/>
    <tableColumn id="27" xr3:uid="{3251A6BC-CB88-4067-AACF-5B72801710B7}" name="Apr-27" dataDxfId="259"/>
    <tableColumn id="28" xr3:uid="{39931965-E3C1-4F26-8029-28CD202E9454}" name="Apr-28" dataDxfId="258"/>
    <tableColumn id="29" xr3:uid="{CBF44C00-3634-493D-905C-6E00BBBC72B7}" name="Apr-29" dataDxfId="257"/>
    <tableColumn id="30" xr3:uid="{103EA6FA-6725-4BBE-A1BB-12AB44FF6A1B}" name="Apr-30" dataDxfId="256"/>
    <tableColumn id="31" xr3:uid="{ED5BBB54-EA7E-4493-9AC9-620FFBD64D7C}" name="May-01" dataDxfId="255"/>
    <tableColumn id="32" xr3:uid="{9230A561-8DDD-46CA-8959-CAAF64974F98}" name="May-02" dataDxfId="254"/>
    <tableColumn id="33" xr3:uid="{0094B923-D9E3-45FB-B403-88A224C6335B}" name="May-03" dataDxfId="253"/>
    <tableColumn id="34" xr3:uid="{289C42C3-AE67-47E1-A704-1DAA85C5EAD2}" name="May-04" dataDxfId="252"/>
    <tableColumn id="35" xr3:uid="{55B6F25B-9CBF-45DD-9F95-5D95E6CCF66C}" name="May-05" dataDxfId="251"/>
    <tableColumn id="36" xr3:uid="{C87B51E0-B941-4B88-9768-BD6E36BB64D8}" name="May-06" dataDxfId="250"/>
    <tableColumn id="37" xr3:uid="{24FAA5A3-9010-40FE-862E-B6F510637565}" name="May-07" dataDxfId="249"/>
    <tableColumn id="38" xr3:uid="{ED4679AD-0105-4648-8EA4-8F8BF9DDF897}" name="May-08" dataDxfId="248"/>
    <tableColumn id="39" xr3:uid="{1F39B59F-B2BD-426C-831D-4618E6A597F0}" name="May-09" dataDxfId="247"/>
    <tableColumn id="40" xr3:uid="{ED8E1E28-E554-4A12-AEDE-975F0D27D1C1}" name="May-10" dataDxfId="246"/>
    <tableColumn id="41" xr3:uid="{3C866C5A-1C3D-4262-A85C-09733565BBC0}" name="May-11" dataDxfId="245"/>
    <tableColumn id="42" xr3:uid="{361150C9-32FC-4454-9C11-6FFD40D9DB8A}" name="May-12" dataDxfId="244"/>
    <tableColumn id="43" xr3:uid="{8A18C0CB-299D-495E-A82D-11850D51DBF4}" name="May-13" dataDxfId="243"/>
    <tableColumn id="44" xr3:uid="{D21E7215-38D6-4B58-BBEA-BBBB2163B7A9}" name="May-14" dataDxfId="242"/>
    <tableColumn id="45" xr3:uid="{810403C0-B8C7-4D89-9187-F4B3F61ADA9C}" name="May-15" dataDxfId="241"/>
    <tableColumn id="46" xr3:uid="{03638E44-0B77-4E37-8F27-966E56A60C17}" name="May-16" dataDxfId="240"/>
    <tableColumn id="47" xr3:uid="{6564F22D-5E94-4830-BFE9-840FADBCF3F3}" name="May-17" dataDxfId="239"/>
    <tableColumn id="48" xr3:uid="{1C39E985-9D14-4B0A-A81F-9DF4C2B13CB0}" name="May-18" dataDxfId="238"/>
    <tableColumn id="49" xr3:uid="{BFE59D89-1271-43ED-8530-884566F98E57}" name="May-19" dataDxfId="237"/>
    <tableColumn id="50" xr3:uid="{18661850-6D2A-41D5-B45D-5E7EBCAC4B16}" name="May-20" dataDxfId="236"/>
    <tableColumn id="51" xr3:uid="{51D91F14-DF17-452B-8C6E-4A94E3C04C3B}" name="May-21" dataDxfId="235"/>
    <tableColumn id="52" xr3:uid="{688DB656-215E-4814-A3D5-E39C3B660F88}" name="May-22" dataDxfId="234"/>
    <tableColumn id="53" xr3:uid="{FEDF5800-DB0E-4D78-AE4D-F9465A330E3C}" name="May-23" dataDxfId="233"/>
    <tableColumn id="54" xr3:uid="{4BDBAE67-68B8-42BE-BFC4-638E81DB983E}" name="May-24" dataDxfId="232"/>
    <tableColumn id="55" xr3:uid="{BDC78CA7-ECBA-453B-AAF8-84216E3E7B40}" name="May-25" dataDxfId="231"/>
    <tableColumn id="56" xr3:uid="{0D8A3442-FDAE-41DE-8E1F-A32F51157E14}" name="May-26" dataDxfId="230"/>
    <tableColumn id="57" xr3:uid="{2954F76E-EC1A-4A2E-AB3B-E0B5FFA0D509}" name="May-27" dataDxfId="229"/>
    <tableColumn id="58" xr3:uid="{0804EB2E-4BC9-40D6-8C6B-8EFC45686C09}" name="May-28" dataDxfId="228"/>
    <tableColumn id="59" xr3:uid="{E383094C-8703-403B-99DB-C9CE2D28E5D1}" name="May-29" dataDxfId="227"/>
    <tableColumn id="60" xr3:uid="{55C5B94F-0623-4894-B8CD-4E1D27BE7CE0}" name="May-30" dataDxfId="226"/>
    <tableColumn id="61" xr3:uid="{2B5707E0-440D-4DEE-97A3-2DDC31437EA3}" name="May-31" dataDxfId="225"/>
    <tableColumn id="62" xr3:uid="{746EB647-A05A-40EE-86B7-3709A295495E}" name="Jun-01" dataDxfId="224"/>
    <tableColumn id="63" xr3:uid="{D9F4CB63-F835-4B7A-853A-AD6ECFA8638D}" name="Jun-02" dataDxfId="223"/>
    <tableColumn id="64" xr3:uid="{4FE57267-6016-40A3-BAD8-152E12CFD480}" name="Jun-03" dataDxfId="222"/>
    <tableColumn id="65" xr3:uid="{6A81196C-81C5-4CE6-AD74-EC561ADC9E25}" name="Jun-04" dataDxfId="221"/>
    <tableColumn id="66" xr3:uid="{D6EA8ABA-7623-4D55-9D3E-11A2489BBB01}" name="Jun-05" dataDxfId="220"/>
    <tableColumn id="67" xr3:uid="{3D2C3017-F5F1-4575-A6EA-AF0537AF2C79}" name="Jun-06" dataDxfId="219"/>
    <tableColumn id="68" xr3:uid="{DF6A12B3-2BF2-4C72-B132-668AAF0FAECC}" name="Jun-07" dataDxfId="218"/>
    <tableColumn id="69" xr3:uid="{DED5AE83-E8E9-493F-8A65-D23B1DB690DA}" name="Jun-08" dataDxfId="217"/>
    <tableColumn id="70" xr3:uid="{D54EBDAD-B195-4D9B-888B-ED845B509B64}" name="Jun-09" dataDxfId="216"/>
    <tableColumn id="71" xr3:uid="{62545EC3-812E-49EC-96CB-5C28D66D84DA}" name="Jun-10" dataDxfId="215"/>
    <tableColumn id="72" xr3:uid="{4C8236FA-AF24-4210-93B6-D0708791B732}" name="Jun-11" dataDxfId="214"/>
    <tableColumn id="73" xr3:uid="{9898FED0-07B7-42A7-AADF-D7B5738627F2}" name="Jun-12" dataDxfId="213"/>
    <tableColumn id="74" xr3:uid="{F194C008-B15B-41E9-896C-6EDC19A57809}" name="Jun-13" dataDxfId="212"/>
    <tableColumn id="75" xr3:uid="{1F31A62E-2CA0-469F-97E4-1054BB9626EC}" name="Jun-14" dataDxfId="211"/>
    <tableColumn id="76" xr3:uid="{61796942-6D31-4D85-89EC-75FBE591DAD1}" name="Jun-15" dataDxfId="210"/>
    <tableColumn id="77" xr3:uid="{0BB8D66C-B7AB-4A1C-85B3-B97231EA2E13}" name="Jun-16" dataDxfId="209"/>
    <tableColumn id="78" xr3:uid="{E8BA51EE-B7DF-4E7A-A225-B98E28AF12A1}" name="Jun-17" dataDxfId="208"/>
    <tableColumn id="79" xr3:uid="{482F9E83-9475-4927-8F51-9A891E440ABA}" name="Jun-18" dataDxfId="207"/>
    <tableColumn id="80" xr3:uid="{22F55357-B7B0-484C-B4C4-A018DC99057D}" name="Jun-19" dataDxfId="206"/>
    <tableColumn id="81" xr3:uid="{5C9394D2-FB6B-4A44-B618-3870D65A6258}" name="Jun-20" dataDxfId="205"/>
    <tableColumn id="82" xr3:uid="{1406105F-D55F-448C-BF92-2EDE45CAF446}" name="Jun-21" dataDxfId="204"/>
    <tableColumn id="83" xr3:uid="{16E89AB4-5EDA-4D27-AE76-303AFBEF03F8}" name="Jun-22" dataDxfId="203"/>
    <tableColumn id="84" xr3:uid="{F9BE3DE4-1404-4AFB-A20C-F60CD9E7DAF5}" name="Jun-23" dataDxfId="202"/>
    <tableColumn id="85" xr3:uid="{6DFFDC94-6C93-49C4-8642-46F1D4AF4BFF}" name="Jun-24" dataDxfId="201"/>
    <tableColumn id="86" xr3:uid="{8811F14F-A0A3-437E-BD6D-2E46B73F7DC4}" name="Jun-25" dataDxfId="200"/>
    <tableColumn id="87" xr3:uid="{9A687847-DCC4-47EE-B0C5-E6C452732BE5}" name="Jun-26" dataDxfId="199"/>
    <tableColumn id="88" xr3:uid="{CC01AAA2-230A-495C-987D-6EAD9BD04F11}" name="Jun-27" dataDxfId="198"/>
    <tableColumn id="89" xr3:uid="{7561F193-F5FB-4D51-8F8F-D63FA7F3A3D3}" name="Jun-28" dataDxfId="197"/>
    <tableColumn id="90" xr3:uid="{0EDF6DCF-8B25-4318-AB30-7E2AFAE991F9}" name="Jun-29" dataDxfId="196"/>
    <tableColumn id="91" xr3:uid="{B0B939CD-8CD8-425A-80E4-50F864D3237D}" name="Jun-30" dataDxfId="195"/>
    <tableColumn id="92" xr3:uid="{AFDEE418-982D-499B-A0AB-D51EB1B1AB9D}" name="Jul-01" dataDxfId="194"/>
    <tableColumn id="93" xr3:uid="{A9A6A2C6-FF8B-4C19-8854-B05DEBB16C2F}" name="Jul-02" dataDxfId="193"/>
    <tableColumn id="94" xr3:uid="{332B6593-AA97-4AF3-A933-05B96B85B9B6}" name="Jul-03" dataDxfId="192"/>
    <tableColumn id="95" xr3:uid="{60A17ECC-3DEE-4F08-8838-F1E4027729FB}" name="Jul-04" dataDxfId="191"/>
    <tableColumn id="96" xr3:uid="{77CA0A05-42C6-48AF-92CC-A293BC113B75}" name="Jul-05" dataDxfId="190"/>
    <tableColumn id="97" xr3:uid="{B74AA154-414E-44F0-A234-DE875E73D631}" name="Jul-06" dataDxfId="189"/>
    <tableColumn id="98" xr3:uid="{B42FED8A-043D-4A27-8B17-9EFFAF42673D}" name="Jul-07" dataDxfId="188"/>
    <tableColumn id="99" xr3:uid="{1C15C188-D87D-4F55-8098-4136A3D33CEB}" name="Jul-08" dataDxfId="187"/>
    <tableColumn id="100" xr3:uid="{6CADED06-59E9-4ADC-9F6E-1BB044C99C95}" name="Jul-09" dataDxfId="186"/>
    <tableColumn id="101" xr3:uid="{C95D6D11-0E94-4C61-AE10-EBCF1B3BBE09}" name="Jul-10" dataDxfId="185"/>
    <tableColumn id="102" xr3:uid="{7C41B642-BEFE-4E87-855F-8F42D4A4FDCE}" name="Jul-11" dataDxfId="184"/>
    <tableColumn id="103" xr3:uid="{BBEDA1AD-FFE2-4FFF-B58F-4EA1787BA1C2}" name="Jul-12" dataDxfId="183"/>
    <tableColumn id="104" xr3:uid="{D791F9DE-7C3E-40FC-854C-480AF4B84F62}" name="Jul-13" dataDxfId="182"/>
    <tableColumn id="105" xr3:uid="{8473FAA8-C452-470C-995C-E3BC415CB182}" name="Jul-14" dataDxfId="181"/>
    <tableColumn id="106" xr3:uid="{5A1E82CE-093B-4297-969E-429892057BDD}" name="Jul-15" dataDxfId="180"/>
    <tableColumn id="107" xr3:uid="{DC2B5AE1-0F9C-41C6-9FEB-E491C3B44AD4}" name="Jul-16" dataDxfId="179"/>
    <tableColumn id="108" xr3:uid="{0C88A03B-7279-441F-82C5-7F274D858046}" name="Jul-17" dataDxfId="178"/>
    <tableColumn id="109" xr3:uid="{A40F26D7-4771-4FDB-8ADD-89A8A8C189B6}" name="Jul-18" dataDxfId="177"/>
    <tableColumn id="110" xr3:uid="{F76976DC-F724-4574-A0DA-4A152C36408B}" name="Jul-19" dataDxfId="176"/>
    <tableColumn id="111" xr3:uid="{E6A28DE0-A937-46EE-A31B-B69917CEAC37}" name="Jul-20" dataDxfId="175"/>
    <tableColumn id="112" xr3:uid="{75175A28-9835-4F15-938B-FC6BDD6DFF98}" name="Jul-21" dataDxfId="174"/>
    <tableColumn id="113" xr3:uid="{3FD8968B-BE42-4737-90B9-60AA7C217C12}" name="Jul-22" dataDxfId="173"/>
    <tableColumn id="114" xr3:uid="{192205BE-3588-4F3E-8C9F-149448002E9C}" name="Jul-23" dataDxfId="172"/>
    <tableColumn id="115" xr3:uid="{A800E5AA-79EB-4C37-8F48-676F60B2604C}" name="Jul-24" dataDxfId="171"/>
    <tableColumn id="116" xr3:uid="{8E50C6FD-569F-4031-B16C-CC848772BBF5}" name="Jul-25" dataDxfId="170"/>
    <tableColumn id="117" xr3:uid="{087C7231-09E1-455D-9B0A-77310FF21CB2}" name="Jul-26" dataDxfId="169"/>
    <tableColumn id="118" xr3:uid="{AC5DF9FA-4001-4668-9EF9-7342B407ACB2}" name="Jul-27" dataDxfId="168"/>
    <tableColumn id="119" xr3:uid="{DF64FAF4-3A9A-48CC-9ADD-6FCAA03DEC60}" name="Jul-28" dataDxfId="167"/>
    <tableColumn id="120" xr3:uid="{53DA3E32-B33D-4FB7-88B9-4D336B9F7C27}" name="Jul-29" dataDxfId="166"/>
    <tableColumn id="121" xr3:uid="{D905E225-52C8-40E7-AFBA-CA36480E558D}" name="Jul-30" dataDxfId="165"/>
    <tableColumn id="122" xr3:uid="{12EC3D72-AFEA-4C43-A6AB-4EE6AD0F4A3E}" name="Jul-31" dataDxfId="164"/>
    <tableColumn id="123" xr3:uid="{3A441044-05B5-4C03-A9EB-8102372D2834}" name="Aug-01" dataDxfId="163"/>
    <tableColumn id="124" xr3:uid="{4372FDFB-FF08-4225-BCFC-A5F65493C804}" name="Aug-02" dataDxfId="162"/>
    <tableColumn id="125" xr3:uid="{4F6D5DBD-F15A-4571-B4BF-ED72EF415CA3}" name="Aug-03" dataDxfId="161"/>
    <tableColumn id="126" xr3:uid="{30024E4B-2145-4D5D-B277-377A234024D8}" name="Aug-04" dataDxfId="160"/>
    <tableColumn id="127" xr3:uid="{58A4FB0E-CBC8-49FF-ACC9-2188DC5E96BE}" name="Aug-05" dataDxfId="159"/>
    <tableColumn id="128" xr3:uid="{A3709202-9CFD-4C62-9171-29225CF505C2}" name="Aug-06" dataDxfId="158"/>
    <tableColumn id="129" xr3:uid="{A2A0D139-8478-4986-9F5B-47FC6F5D88EF}" name="Aug-07" dataDxfId="157"/>
    <tableColumn id="130" xr3:uid="{742D9325-25B2-4F60-B350-2FDFDF606F62}" name="Aug-08" dataDxfId="156"/>
    <tableColumn id="131" xr3:uid="{A0305027-A979-4FE0-BEAE-CBDA599AF956}" name="Aug-09" dataDxfId="155"/>
    <tableColumn id="132" xr3:uid="{95575364-036B-41A9-B5A8-2A83E990DB54}" name="Aug-10" dataDxfId="154"/>
    <tableColumn id="133" xr3:uid="{E52D74D3-2662-41FA-BA10-C23956DC6157}" name="Aug-11" dataDxfId="153"/>
    <tableColumn id="134" xr3:uid="{EC20A320-34A6-4566-B9D7-AF16F57487ED}" name="Aug-12" dataDxfId="152"/>
    <tableColumn id="135" xr3:uid="{1B388FA0-2151-406A-823D-CB882A6D649D}" name="Aug-13" dataDxfId="151"/>
    <tableColumn id="136" xr3:uid="{8A9AEFF2-03AF-4939-B9FF-ADAECA0AF28B}" name="Aug-14" dataDxfId="150"/>
    <tableColumn id="137" xr3:uid="{8B3F2437-59FB-4D3B-BCC4-DB4413124575}" name="Aug-15" dataDxfId="149"/>
    <tableColumn id="138" xr3:uid="{467BF24F-A778-4727-A403-FB977FC1C0F3}" name="Aug-16" dataDxfId="148"/>
    <tableColumn id="139" xr3:uid="{E77F1748-89BE-46DE-9296-EF055B839693}" name="Aug-17" dataDxfId="147"/>
    <tableColumn id="140" xr3:uid="{A056AE11-A9F5-408B-A1A2-56369C5720FD}" name="Aug-18" dataDxfId="146"/>
    <tableColumn id="141" xr3:uid="{8716E974-EACD-4483-AD8C-D6FB24FBE50C}" name="Aug-19" dataDxfId="145"/>
    <tableColumn id="142" xr3:uid="{95CD01BD-FE06-428E-B5F6-210FA3F40846}" name="Aug-20" dataDxfId="144"/>
    <tableColumn id="143" xr3:uid="{64560694-FDBA-49FB-9271-282BA52BDBDC}" name="Aug-21" dataDxfId="143"/>
    <tableColumn id="144" xr3:uid="{0772F431-1F0C-4398-9B01-36B7F5E61FFC}" name="Aug-22" dataDxfId="142"/>
    <tableColumn id="145" xr3:uid="{D2D7A826-3E04-4FEC-97FE-D2B83B06EC6B}" name="Aug-23" dataDxfId="141"/>
    <tableColumn id="146" xr3:uid="{27BB5AE8-7E64-4661-AEF5-A34341F0BA72}" name="Aug-24" dataDxfId="140"/>
    <tableColumn id="147" xr3:uid="{135569D9-2E64-4BAB-A6D9-9F0A409ACA4C}" name="Aug-25" dataDxfId="139"/>
    <tableColumn id="148" xr3:uid="{7A7B833F-C0A7-40B6-B6E4-46453B0EAF64}" name="Aug-26" dataDxfId="138"/>
    <tableColumn id="149" xr3:uid="{D5496B8E-87CC-43FD-91AE-4EC4DC73DC62}" name="Aug-27" dataDxfId="137"/>
    <tableColumn id="150" xr3:uid="{2E921AE2-BA06-47FB-A92F-222D4F36D2D3}" name="Aug-28" dataDxfId="136"/>
    <tableColumn id="151" xr3:uid="{494F4990-F832-4294-8155-6BECC08E304B}" name="Aug-29" dataDxfId="135"/>
    <tableColumn id="152" xr3:uid="{24D86CEF-E9CC-4EA2-97AB-D7A114B88E15}" name="Aug-30" dataDxfId="134"/>
    <tableColumn id="153" xr3:uid="{7FA868D0-92B2-4656-B0A9-47491AD1E81C}" name="Aug-31" dataDxfId="133"/>
    <tableColumn id="154" xr3:uid="{12CF1B6C-A82E-48CB-82E8-2DC8859BF014}" name="Sep-01" dataDxfId="132"/>
    <tableColumn id="155" xr3:uid="{CEF453CF-078B-4095-B749-37B9D380781D}" name="Sep-02" dataDxfId="131"/>
    <tableColumn id="156" xr3:uid="{C2E78EC9-AB96-47EB-BE4F-13F6C9F95070}" name="Sep-03" dataDxfId="130"/>
    <tableColumn id="157" xr3:uid="{6230FB5D-8FA2-4A7C-B813-A45CB84A4A89}" name="Sep-04" dataDxfId="129"/>
    <tableColumn id="158" xr3:uid="{F95F780A-4C78-4945-B5FB-55BC7FF24788}" name="Sep-05" dataDxfId="128"/>
    <tableColumn id="159" xr3:uid="{0AA9596F-B9D6-4030-A474-57ACBE55BEF9}" name="Sep-06" dataDxfId="127"/>
    <tableColumn id="160" xr3:uid="{7EF5402C-0AAE-48C1-9394-66D328D0941A}" name="Sep-07" dataDxfId="126"/>
    <tableColumn id="161" xr3:uid="{51FAE91A-CF4D-4EA0-9345-CCCA2C7D14B4}" name="Sep-08" dataDxfId="125"/>
    <tableColumn id="162" xr3:uid="{7AEFB73F-DD61-497C-986B-2A737D282E12}" name="Sep-09" dataDxfId="124"/>
    <tableColumn id="163" xr3:uid="{C3ADDBD0-DBC9-4503-93F6-1E55E02C7B88}" name="Sep-10" dataDxfId="123"/>
    <tableColumn id="164" xr3:uid="{D2DFCC5E-017D-41CB-AA1C-2C5F4FE21BAB}" name="Sep-11" dataDxfId="122"/>
    <tableColumn id="165" xr3:uid="{A8F05A4C-37E1-4435-BE25-1FCB0AEC1FB1}" name="Sep-12" dataDxfId="121"/>
    <tableColumn id="166" xr3:uid="{20211C6B-9015-4D4A-8839-F66DC2DA30E5}" name="Sep-13" dataDxfId="120"/>
    <tableColumn id="167" xr3:uid="{7C413F7D-6657-49B8-A201-85EEA296813D}" name="Sep-14" dataDxfId="119"/>
    <tableColumn id="168" xr3:uid="{623E0DAA-BBBC-459E-9D5C-837B22849100}" name="Sep-15" dataDxfId="118"/>
    <tableColumn id="169" xr3:uid="{2C770414-E4DC-4F8D-9038-CC6080D28D5E}" name="Sep-16" dataDxfId="117"/>
    <tableColumn id="170" xr3:uid="{5872F9A5-3E30-4643-951D-1570EAC7AF30}" name="Sep-17" dataDxfId="116"/>
    <tableColumn id="171" xr3:uid="{2C34234E-6EF2-4BFB-B292-A0C3A25A16A4}" name="Sep-18" dataDxfId="115"/>
    <tableColumn id="172" xr3:uid="{D88A41A1-C02F-42AB-A5D0-F1E24040AB21}" name="Sep-19" dataDxfId="114"/>
    <tableColumn id="173" xr3:uid="{5FF0E8D0-7D32-4B7A-89F9-F25412A6B8BA}" name="Sep-20" dataDxfId="113"/>
    <tableColumn id="174" xr3:uid="{9C278A8D-F749-46C0-AB13-7657DCC226A6}" name="Sep-21" dataDxfId="112"/>
    <tableColumn id="175" xr3:uid="{565A66A3-40B3-4632-9D40-F3E1588CFC0A}" name="Sep-22" dataDxfId="111"/>
    <tableColumn id="176" xr3:uid="{EC7478BA-CA3A-4122-8860-71429BEF162A}" name="Sep-23" dataDxfId="110"/>
    <tableColumn id="177" xr3:uid="{8C843F96-F285-444F-B00B-12061E5A8CFF}" name="Sep-24" dataDxfId="109"/>
    <tableColumn id="178" xr3:uid="{722C832B-260C-444A-A51D-A2B8B8C7AE87}" name="Sep-25" dataDxfId="108"/>
    <tableColumn id="179" xr3:uid="{03249FE9-C204-41CB-A993-A3A8674474E5}" name="Sep-26" dataDxfId="107"/>
    <tableColumn id="180" xr3:uid="{6BBCB94E-70FA-46C2-BC90-BE0041191148}" name="Sep-27" dataDxfId="106"/>
    <tableColumn id="181" xr3:uid="{15C71285-762B-4C2D-ADA1-9EC718C95088}" name="Sep-28" dataDxfId="105"/>
    <tableColumn id="182" xr3:uid="{7F1291E3-8A7C-4FF8-AC8A-A7E6EF42D39A}" name="Sep-29" dataDxfId="104"/>
    <tableColumn id="183" xr3:uid="{8C4B287F-8BBA-4904-BA48-0E0FF4278143}" name="Sep-30" dataDxfId="103"/>
    <tableColumn id="184" xr3:uid="{F9702E8E-BD84-4F19-92DA-FB69038FF4C5}" name="Oct-01" dataDxfId="102"/>
    <tableColumn id="185" xr3:uid="{C3B302A1-725F-4028-BF4D-B611E584D73E}" name="Oct-02" dataDxfId="101"/>
    <tableColumn id="186" xr3:uid="{D436FC35-3C1D-4BC6-90A7-8B79C4215315}" name="Oct-03" dataDxfId="100"/>
    <tableColumn id="187" xr3:uid="{3BFADF8D-DDBD-4446-AF7B-0ABBB7B88441}" name="Oct-04" dataDxfId="99"/>
    <tableColumn id="188" xr3:uid="{271EBB50-FD9A-48CC-8B20-94E019F53AEB}" name="Oct-05" dataDxfId="98"/>
    <tableColumn id="189" xr3:uid="{81FB874F-F00D-4C87-994C-50F53A6DF821}" name="Oct-06" dataDxfId="97"/>
    <tableColumn id="190" xr3:uid="{482B7708-AB3A-4328-B86D-BC3FFEF3D60F}" name="Oct-07" dataDxfId="96"/>
    <tableColumn id="191" xr3:uid="{E807CB44-CD18-4C1A-9739-323F54C1A475}" name="Oct-08" dataDxfId="95"/>
    <tableColumn id="192" xr3:uid="{E865240C-5FD4-4C3F-B7F6-D922838A3497}" name="Oct-09" dataDxfId="94"/>
    <tableColumn id="193" xr3:uid="{38BC72A8-19D0-459F-A1E9-5655649CE042}" name="Oct-10" dataDxfId="93"/>
    <tableColumn id="194" xr3:uid="{C03750E1-81F7-456A-A2E7-F65C1B7A6310}" name="Oct-11" dataDxfId="92"/>
    <tableColumn id="195" xr3:uid="{55FB3953-3DA7-4E08-A6E9-91078E063DC2}" name="Oct-12" dataDxfId="91"/>
    <tableColumn id="196" xr3:uid="{40B729DC-6E3B-4E8B-A322-CB787CCB20BC}" name="Oct-13" dataDxfId="90"/>
    <tableColumn id="197" xr3:uid="{BE6D2F56-0810-4C52-B772-4B5C74531051}" name="Oct-14" dataDxfId="89"/>
    <tableColumn id="198" xr3:uid="{8A78401F-6F9E-4B08-8D44-B09A91C56BEE}" name="Oct-15" dataDxfId="88"/>
    <tableColumn id="199" xr3:uid="{755B0E35-AA69-4238-A308-DD8F15117236}" name="Oct-16" dataDxfId="87"/>
    <tableColumn id="200" xr3:uid="{3B216F0B-2403-443A-B132-C3D6AEDBFB1D}" name="Oct-17" dataDxfId="86"/>
    <tableColumn id="201" xr3:uid="{AA0423FD-5105-4442-BB82-CB572BAF5236}" name="Oct-18" dataDxfId="85"/>
    <tableColumn id="202" xr3:uid="{5DAC21C6-A9E5-4680-9943-22A0619439CE}" name="Oct-19" dataDxfId="84"/>
    <tableColumn id="203" xr3:uid="{41FCB767-EA72-46A3-97F8-734B76E21F17}" name="Oct-20" dataDxfId="83"/>
    <tableColumn id="204" xr3:uid="{BA8DA7B6-CDD0-4ABA-94BB-960FB99C2B32}" name="Oct-21" dataDxfId="82"/>
    <tableColumn id="205" xr3:uid="{D2E4D670-2DE7-4A80-A288-52A386F66BE3}" name="Oct-22" dataDxfId="81"/>
    <tableColumn id="206" xr3:uid="{22D8FCAF-F40E-470E-9BBE-0297D8895EE4}" name="Oct-23" dataDxfId="80"/>
    <tableColumn id="207" xr3:uid="{EEBFDC09-B250-4826-8F1D-7AE29EA1F354}" name="Oct-24" dataDxfId="79"/>
    <tableColumn id="208" xr3:uid="{1D500F4D-9802-42D8-B9B4-CBD55301FB7F}" name="Oct-25" dataDxfId="78"/>
    <tableColumn id="209" xr3:uid="{3C99D031-62DF-44DA-B28C-84DD889347BC}" name="Oct-26" dataDxfId="77"/>
    <tableColumn id="210" xr3:uid="{04247173-D3D0-4011-9B03-58F43E5B7F15}" name="Oct-27" dataDxfId="76"/>
    <tableColumn id="211" xr3:uid="{33F746AF-627B-42A0-96EE-1AE5C25D69C1}" name="Oct-28" dataDxfId="75"/>
    <tableColumn id="212" xr3:uid="{C60E94C9-2BF8-4B66-BC46-1CD72DD222BE}" name="Oct-29" dataDxfId="74"/>
    <tableColumn id="213" xr3:uid="{8EF22FCD-D4DF-4C89-9F67-EA16666F2523}" name="Oct-30" dataDxfId="73"/>
    <tableColumn id="214" xr3:uid="{773BCA01-36DA-4423-B199-833130BEBD68}" name="Oct-31" dataDxfId="72"/>
    <tableColumn id="215" xr3:uid="{0253B5F9-9252-4EE2-A193-0C103554E307}" name="Nov-01" dataDxfId="71"/>
    <tableColumn id="216" xr3:uid="{D8500F35-215E-4CA3-9286-74AE77CDA819}" name="Nov-02" dataDxfId="70"/>
    <tableColumn id="217" xr3:uid="{651443F0-F27E-41FA-A6D7-A203736848E6}" name="Nov-03" dataDxfId="69"/>
    <tableColumn id="218" xr3:uid="{898D4F2E-E82A-458F-8D5D-AE6E709C520C}" name="Nov-04" dataDxfId="68"/>
    <tableColumn id="219" xr3:uid="{673C63AC-1390-4AA3-BB81-1BEAC435A3C7}" name="Nov-05" dataDxfId="67"/>
    <tableColumn id="220" xr3:uid="{81E0DDC7-E7B4-4930-9D50-EC9D81240E7D}" name="Nov-06" dataDxfId="66"/>
    <tableColumn id="221" xr3:uid="{A0DD6DD8-D648-4608-B7AF-8495FCC53954}" name="Nov-07" dataDxfId="65"/>
    <tableColumn id="222" xr3:uid="{5FE8CF0F-2B35-4A53-AF62-1C77223B78CA}" name="Nov-08" dataDxfId="64"/>
    <tableColumn id="223" xr3:uid="{86D00A51-59B1-466B-873E-C4C2B4C20264}" name="Nov-09" dataDxfId="63"/>
    <tableColumn id="224" xr3:uid="{68B2BBCF-A503-45BE-8DD9-40470E448422}" name="Nov-10" dataDxfId="62"/>
    <tableColumn id="225" xr3:uid="{7E4999C9-B177-442D-BF0A-E192BF524140}" name="Nov-11" dataDxfId="61"/>
    <tableColumn id="226" xr3:uid="{D063FE79-93E5-44B0-A1AF-0BAAC457BE8B}" name="Nov-12" dataDxfId="60"/>
    <tableColumn id="227" xr3:uid="{A1A0AB58-9D47-4034-81DC-DDA7191C2BCA}" name="Nov-13" dataDxfId="59"/>
    <tableColumn id="228" xr3:uid="{95C37E7C-909A-4853-9322-44FF18BD2D29}" name="Nov-14" dataDxfId="58"/>
    <tableColumn id="229" xr3:uid="{016F9EF3-5A21-4B7B-B659-0B997787B6D8}" name="Nov-15" dataDxfId="57"/>
    <tableColumn id="230" xr3:uid="{A28389EA-50EF-4236-9C4A-0EC332BD66C0}" name="Nov-16" dataDxfId="56"/>
    <tableColumn id="231" xr3:uid="{36113637-F098-49A6-9DC4-BBA20F5C550C}" name="Nov-17" dataDxfId="55"/>
    <tableColumn id="232" xr3:uid="{B47ABE24-62D0-4A4D-93F0-FB03D6D30F3F}" name="Nov-18" dataDxfId="54"/>
    <tableColumn id="233" xr3:uid="{872CC9EA-832F-4196-B822-FBF0F0C71182}" name="Nov-19" dataDxfId="53"/>
    <tableColumn id="234" xr3:uid="{DA987E66-7F76-44A9-BFB5-AC3AF9307483}" name="Nov-20" dataDxfId="52"/>
    <tableColumn id="235" xr3:uid="{F3B6A925-3538-4AA9-BE71-A2FD70FB2484}" name="Nov-21" dataDxfId="51"/>
    <tableColumn id="236" xr3:uid="{47AEB8B1-9C7D-489B-9D43-051ED8AC868C}" name="Nov-22" dataDxfId="50"/>
    <tableColumn id="237" xr3:uid="{ED665102-8688-4BA3-BD51-DB07238D436C}" name="Nov-23" dataDxfId="49"/>
    <tableColumn id="238" xr3:uid="{31F6BF99-D24C-49F2-90CA-E1940DC541EE}" name="Nov-24" dataDxfId="48"/>
    <tableColumn id="239" xr3:uid="{4B6A3653-2E3D-4289-8A93-5ADFE84B632D}" name="Nov-25" dataDxfId="47"/>
    <tableColumn id="240" xr3:uid="{B7804FB0-DC37-4915-8F5E-A31FB51B0029}" name="Nov-26" dataDxfId="46"/>
    <tableColumn id="241" xr3:uid="{FD6ACA1F-2839-4ED3-B45E-670E0B63C10D}" name="Nov-27" dataDxfId="45"/>
    <tableColumn id="242" xr3:uid="{4F049088-CF84-4D02-BF6C-E56A6F128DD8}" name="Nov-28" dataDxfId="44"/>
    <tableColumn id="243" xr3:uid="{73447AB0-5097-4B8D-A6CD-25A7AF134C05}" name="Nov-29" dataDxfId="43"/>
    <tableColumn id="244" xr3:uid="{468C59A1-3D46-48CE-80D6-C72653FE5A9C}" name="Nov-30" dataDxfId="42"/>
    <tableColumn id="245" xr3:uid="{9EB38AC1-FB83-4CCF-852C-C6FEA76CF706}" name="Dec-01" dataDxfId="41"/>
    <tableColumn id="246" xr3:uid="{C868DCDC-B4B8-4B9D-84A2-9BF0C586D9ED}" name="Dec-02" dataDxfId="40"/>
    <tableColumn id="247" xr3:uid="{C7D46AE8-F518-43FF-875A-18A859DC3084}" name="Dec-03" dataDxfId="39"/>
    <tableColumn id="248" xr3:uid="{742CBBEF-C11B-4A2F-90E9-9EFDEC9E739A}" name="Dec-04" dataDxfId="38"/>
    <tableColumn id="249" xr3:uid="{61A54BF9-8034-4C19-AF08-6894B88DDE02}" name="Dec-05" dataDxfId="37"/>
    <tableColumn id="250" xr3:uid="{4E84C6B3-1979-43BD-9826-0653BD8452FF}" name="Dec-06" dataDxfId="36"/>
    <tableColumn id="251" xr3:uid="{EA59378E-2ED8-4C95-BD72-4B28FCA3116F}" name="Dec-07" dataDxfId="35"/>
    <tableColumn id="252" xr3:uid="{AD6215B2-6535-44F1-9272-A249309389AE}" name="Dec-08" dataDxfId="34"/>
    <tableColumn id="253" xr3:uid="{C3830094-32DD-4CCB-A7AF-B719562B457E}" name="Dec-09" dataDxfId="33"/>
    <tableColumn id="254" xr3:uid="{9C4D4484-C4E9-403A-BE18-90DED4AA3430}" name="Dec-10" dataDxfId="32"/>
    <tableColumn id="255" xr3:uid="{EF32D6C3-C1FF-4562-9E3C-5E0B10313DE6}" name="Dec-11" dataDxfId="31"/>
    <tableColumn id="256" xr3:uid="{AB00D447-8FC7-49A9-A231-31CD2F59BEC4}" name="Dec-12" dataDxfId="30"/>
    <tableColumn id="257" xr3:uid="{A6A96C93-B619-4B04-B414-7BF100918AEA}" name="Dec-13" dataDxfId="29"/>
    <tableColumn id="258" xr3:uid="{689F3D72-519D-41BE-94A3-98D4BEC34288}" name="Dec-14" dataDxfId="28"/>
    <tableColumn id="259" xr3:uid="{F5180486-5374-4B00-B55E-3AFFD6724A1E}" name="Dec-15" dataDxfId="27"/>
    <tableColumn id="260" xr3:uid="{FD1162A0-4944-4EA7-903A-C81EAFDF5710}" name="Dec-16" dataDxfId="26"/>
    <tableColumn id="261" xr3:uid="{D57BC883-1B9B-4FF1-8AFB-851EF05CC2B5}" name="Dec-17" dataDxfId="25"/>
    <tableColumn id="262" xr3:uid="{16B15E0A-AE39-4058-BD05-CB1DDB29179F}" name="Dec-18" dataDxfId="24"/>
    <tableColumn id="263" xr3:uid="{0F8B858A-3AA9-4D42-B23D-9F398E83F9AF}" name="Dec-19" dataDxfId="23"/>
    <tableColumn id="264" xr3:uid="{7BC76641-CD82-4AD2-B50C-D0009099BDD8}" name="Dec-20" dataDxfId="22"/>
    <tableColumn id="265" xr3:uid="{59D1835A-989A-4AC5-A323-755C932B24BD}" name="Dec-21" dataDxfId="21"/>
    <tableColumn id="266" xr3:uid="{E3D363C8-3048-4AF2-BC20-94AE1BC66792}" name="Dec-22" dataDxfId="20"/>
    <tableColumn id="267" xr3:uid="{8463A227-81DA-4453-B961-D832AA4FD17E}" name="Dec-23" dataDxfId="19"/>
    <tableColumn id="268" xr3:uid="{664398D8-9CCC-457F-B50D-BC0A687B0978}" name="Dec-24" dataDxfId="18"/>
    <tableColumn id="269" xr3:uid="{27654F5F-3062-44DA-B1DC-5DAA8B6CE5A0}" name="Dec-25" dataDxfId="17"/>
    <tableColumn id="270" xr3:uid="{1D5C557E-2E8F-49BD-BD7C-0C3763F67C4B}" name="Dec-26" dataDxfId="16"/>
    <tableColumn id="271" xr3:uid="{FAAB8336-DC7F-499E-BDAE-B9EC6EAE37D7}" name="Dec-27" dataDxfId="15"/>
    <tableColumn id="272" xr3:uid="{41E1DA21-855C-464A-96DF-E20129CB023E}" name="Dec-28" dataDxfId="14"/>
    <tableColumn id="273" xr3:uid="{4DF0A7AF-675A-4FCB-B462-A6BFC87A32C4}" name="Dec-29" dataDxfId="13"/>
    <tableColumn id="274" xr3:uid="{BEE9DE12-A979-461B-8A43-2B27B8029125}" name="Dec-30" dataDxfId="12"/>
    <tableColumn id="275" xr3:uid="{539E8308-08F5-48D5-B5A2-9445FB2F344C}" name="Dec-31" dataDxfId="11"/>
  </tableColumns>
  <tableStyleInfo name="PPS Table Style Master"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45135D-F63C-4C6C-A852-84F5C91B61FD}" name="BudgetCosts" displayName="BudgetCosts" ref="F7:L444" totalsRowShown="0" headerRowDxfId="10" headerRowBorderDxfId="9" tableBorderDxfId="8" totalsRowBorderDxfId="7">
  <autoFilter ref="F7:L444" xr:uid="{4345135D-F63C-4C6C-A852-84F5C91B61FD}"/>
  <tableColumns count="7">
    <tableColumn id="1" xr3:uid="{D3292AEA-0DCA-48E6-88D5-E44FEAD51801}" name=" ID" dataDxfId="6"/>
    <tableColumn id="2" xr3:uid="{1181ECDF-C095-4E7D-BE1E-CA48C8F9B200}" name="Vendor" dataDxfId="5"/>
    <tableColumn id="3" xr3:uid="{16343F97-94BE-48BC-88C5-54078521FFCC}" name="Cost Area" dataDxfId="4"/>
    <tableColumn id="4" xr3:uid="{CC374647-9B64-407D-A451-53ADC93DAEA5}" name="Item" dataDxfId="3"/>
    <tableColumn id="5" xr3:uid="{125DE0BA-BDBB-47A2-AB91-65FCC92AAA47}" name="Quote Amount" dataDxfId="2"/>
    <tableColumn id="6" xr3:uid="{6A22C644-4220-445C-B17D-C83264F2D5EC}" name="Actual Spend Amount" dataDxfId="1"/>
    <tableColumn id="7" xr3:uid="{3A78EB80-EB25-437E-9FD4-DD2A511F527A}" name="Comments" dataDxfId="0"/>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18E98E4-5E32-44BE-AA0D-D7884AAB6DF3}">
  <we:reference id="wa200001095" version="1.0.0.4" store="en-US" storeType="OMEX"/>
  <we:alternateReferences>
    <we:reference id="wa200001095" version="1.0.0.4" store="WA200001095" storeType="OMEX"/>
  </we:alternateReferences>
  <we:properties>
    <we:property name="Office.AutoShowTaskpaneWithDocument" value="false"/>
    <we:property name="gantt_start" value="&quot;2025-06-22T00:00&quot;"/>
    <we:property name="version" value="&quot;2.0&quot;"/>
    <we:property name="gantt_zoom" value="0"/>
    <we:property name="progress_column" value="false"/>
    <we:property name="progress_gantt" value="false"/>
    <we:property name="critical_gantt" value="false"/>
    <we:property name="slack_gantt" value="false"/>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table" Target="../tables/table3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4F98D-5A1D-47C8-8EEB-27AD3387ABCA}">
  <sheetPr codeName="Sheet2"/>
  <dimension ref="A1:E240"/>
  <sheetViews>
    <sheetView view="pageBreakPreview" zoomScale="70" zoomScaleNormal="100" zoomScaleSheetLayoutView="70" workbookViewId="0">
      <selection activeCell="A2" sqref="A2"/>
    </sheetView>
  </sheetViews>
  <sheetFormatPr defaultRowHeight="14.5" x14ac:dyDescent="0.35"/>
  <cols>
    <col min="1" max="1" width="46.08984375" bestFit="1" customWidth="1"/>
  </cols>
  <sheetData>
    <row r="1" spans="1:5" ht="29" x14ac:dyDescent="0.5">
      <c r="A1" s="2" t="s">
        <v>2201</v>
      </c>
      <c r="B1" s="3" t="str">
        <f>ProjectName &amp; " Project Dashboard"</f>
        <v>San Diego Community College District: 
SDCCD 1450 Frazee Project Dashboard</v>
      </c>
    </row>
    <row r="2" spans="1:5" ht="25" x14ac:dyDescent="0.5">
      <c r="B2" s="3" t="str">
        <f>ProjectName &amp; " Project Master FF&amp;E List"</f>
        <v>San Diego Community College District: 
SDCCD 1450 Frazee Project Master FF&amp;E List</v>
      </c>
    </row>
    <row r="3" spans="1:5" ht="25" x14ac:dyDescent="0.5">
      <c r="B3" s="3" t="str">
        <f>ProjectName &amp; " Project Item Issue Log"</f>
        <v>San Diego Community College District: 
SDCCD 1450 Frazee Project Item Issue Log</v>
      </c>
    </row>
    <row r="4" spans="1:5" ht="25" x14ac:dyDescent="0.5">
      <c r="B4" s="3" t="str">
        <f>ProjectName &amp; " Project FF&amp;E Punch List"</f>
        <v>San Diego Community College District: 
SDCCD 1450 Frazee Project FF&amp;E Punch List</v>
      </c>
    </row>
    <row r="5" spans="1:5" ht="25" x14ac:dyDescent="0.5">
      <c r="B5" s="3" t="str">
        <f>ProjectName &amp; " Project Move Management"</f>
        <v>San Diego Community College District: 
SDCCD 1450 Frazee Project Move Management</v>
      </c>
    </row>
    <row r="6" spans="1:5" ht="25" x14ac:dyDescent="0.5">
      <c r="B6" s="3" t="str">
        <f>ProjectName &amp; " Project Swing Space"</f>
        <v>San Diego Community College District: 
SDCCD 1450 Frazee Project Swing Space</v>
      </c>
    </row>
    <row r="7" spans="1:5" ht="25" x14ac:dyDescent="0.5">
      <c r="B7" s="3" t="str">
        <f>ProjectName &amp; " Project Swing Space Punch List"</f>
        <v>San Diego Community College District: 
SDCCD 1450 Frazee Project Swing Space Punch List</v>
      </c>
    </row>
    <row r="8" spans="1:5" ht="25" x14ac:dyDescent="0.5">
      <c r="B8" s="3" t="str">
        <f>ProjectName &amp; " Project Schedule"</f>
        <v>San Diego Community College District: 
SDCCD 1450 Frazee Project Schedule</v>
      </c>
    </row>
    <row r="9" spans="1:5" ht="25" x14ac:dyDescent="0.5">
      <c r="B9" s="3" t="str">
        <f>ProjectName &amp; " Project Budget &amp; Costs"</f>
        <v>San Diego Community College District: 
SDCCD 1450 Frazee Project Budget &amp; Costs</v>
      </c>
      <c r="D9" s="1"/>
    </row>
    <row r="10" spans="1:5" ht="25" x14ac:dyDescent="0.5">
      <c r="B10" s="3" t="str">
        <f>ProjectName &amp; " Project Tenant Improvement"</f>
        <v>San Diego Community College District: 
SDCCD 1450 Frazee Project Tenant Improvement</v>
      </c>
      <c r="D10" s="1"/>
    </row>
    <row r="12" spans="1:5" x14ac:dyDescent="0.35">
      <c r="A12" s="37" t="s">
        <v>3</v>
      </c>
      <c r="D12" t="s">
        <v>539</v>
      </c>
      <c r="E12" t="s">
        <v>540</v>
      </c>
    </row>
    <row r="13" spans="1:5" x14ac:dyDescent="0.35">
      <c r="A13" t="s">
        <v>104</v>
      </c>
    </row>
    <row r="14" spans="1:5" ht="15.5" x14ac:dyDescent="0.35">
      <c r="A14" s="36" t="s">
        <v>223</v>
      </c>
    </row>
    <row r="15" spans="1:5" ht="15.5" x14ac:dyDescent="0.35">
      <c r="A15" s="36" t="s">
        <v>100</v>
      </c>
    </row>
    <row r="16" spans="1:5" ht="15.5" x14ac:dyDescent="0.35">
      <c r="A16" s="36" t="s">
        <v>101</v>
      </c>
    </row>
    <row r="17" spans="1:1" ht="15.5" x14ac:dyDescent="0.35">
      <c r="A17" s="36" t="s">
        <v>102</v>
      </c>
    </row>
    <row r="18" spans="1:1" ht="15.5" x14ac:dyDescent="0.35">
      <c r="A18" s="36" t="s">
        <v>103</v>
      </c>
    </row>
    <row r="20" spans="1:1" x14ac:dyDescent="0.35">
      <c r="A20" s="37" t="s">
        <v>9</v>
      </c>
    </row>
    <row r="21" spans="1:1" ht="15.5" x14ac:dyDescent="0.35">
      <c r="A21" s="36" t="s">
        <v>104</v>
      </c>
    </row>
    <row r="22" spans="1:1" ht="15.5" x14ac:dyDescent="0.35">
      <c r="A22" s="36" t="s">
        <v>105</v>
      </c>
    </row>
    <row r="23" spans="1:1" ht="15.5" x14ac:dyDescent="0.35">
      <c r="A23" s="36" t="s">
        <v>106</v>
      </c>
    </row>
    <row r="24" spans="1:1" ht="15.5" x14ac:dyDescent="0.35">
      <c r="A24" s="36" t="s">
        <v>544</v>
      </c>
    </row>
    <row r="25" spans="1:1" ht="15.5" x14ac:dyDescent="0.35">
      <c r="A25" s="36" t="s">
        <v>107</v>
      </c>
    </row>
    <row r="26" spans="1:1" ht="15.5" x14ac:dyDescent="0.35">
      <c r="A26" s="36" t="s">
        <v>545</v>
      </c>
    </row>
    <row r="27" spans="1:1" ht="15.5" x14ac:dyDescent="0.35">
      <c r="A27" s="36" t="s">
        <v>108</v>
      </c>
    </row>
    <row r="28" spans="1:1" ht="15.5" x14ac:dyDescent="0.35">
      <c r="A28" s="36" t="s">
        <v>109</v>
      </c>
    </row>
    <row r="29" spans="1:1" ht="15.5" x14ac:dyDescent="0.35">
      <c r="A29" s="36" t="s">
        <v>543</v>
      </c>
    </row>
    <row r="30" spans="1:1" ht="15.5" x14ac:dyDescent="0.35">
      <c r="A30" s="36" t="s">
        <v>110</v>
      </c>
    </row>
    <row r="31" spans="1:1" ht="15.5" x14ac:dyDescent="0.35">
      <c r="A31" s="36" t="s">
        <v>102</v>
      </c>
    </row>
    <row r="33" spans="1:1" x14ac:dyDescent="0.35">
      <c r="A33" s="37" t="s">
        <v>10</v>
      </c>
    </row>
    <row r="34" spans="1:1" ht="15.5" x14ac:dyDescent="0.35">
      <c r="A34" s="36" t="s">
        <v>104</v>
      </c>
    </row>
    <row r="35" spans="1:1" ht="15.5" x14ac:dyDescent="0.35">
      <c r="A35" s="36" t="s">
        <v>111</v>
      </c>
    </row>
    <row r="36" spans="1:1" ht="15.5" x14ac:dyDescent="0.35">
      <c r="A36" s="36" t="s">
        <v>112</v>
      </c>
    </row>
    <row r="37" spans="1:1" ht="15.5" x14ac:dyDescent="0.35">
      <c r="A37" s="36" t="s">
        <v>113</v>
      </c>
    </row>
    <row r="39" spans="1:1" x14ac:dyDescent="0.35">
      <c r="A39" s="37" t="s">
        <v>11</v>
      </c>
    </row>
    <row r="40" spans="1:1" ht="15.5" x14ac:dyDescent="0.35">
      <c r="A40" s="36" t="s">
        <v>104</v>
      </c>
    </row>
    <row r="41" spans="1:1" ht="15.5" x14ac:dyDescent="0.35">
      <c r="A41" s="36" t="s">
        <v>114</v>
      </c>
    </row>
    <row r="42" spans="1:1" ht="15.5" x14ac:dyDescent="0.35">
      <c r="A42" s="36" t="s">
        <v>115</v>
      </c>
    </row>
    <row r="43" spans="1:1" ht="15.5" x14ac:dyDescent="0.35">
      <c r="A43" s="36" t="s">
        <v>37</v>
      </c>
    </row>
    <row r="44" spans="1:1" ht="15.5" x14ac:dyDescent="0.35">
      <c r="A44" s="36" t="s">
        <v>102</v>
      </c>
    </row>
    <row r="46" spans="1:1" x14ac:dyDescent="0.35">
      <c r="A46" s="37" t="s">
        <v>12</v>
      </c>
    </row>
    <row r="47" spans="1:1" ht="15.5" x14ac:dyDescent="0.35">
      <c r="A47" s="38" t="s">
        <v>116</v>
      </c>
    </row>
    <row r="48" spans="1:1" ht="15.5" x14ac:dyDescent="0.35">
      <c r="A48" s="38" t="s">
        <v>117</v>
      </c>
    </row>
    <row r="49" spans="1:1" ht="15.5" x14ac:dyDescent="0.35">
      <c r="A49" s="38" t="s">
        <v>118</v>
      </c>
    </row>
    <row r="50" spans="1:1" ht="15.5" x14ac:dyDescent="0.35">
      <c r="A50" s="38" t="s">
        <v>119</v>
      </c>
    </row>
    <row r="51" spans="1:1" ht="15.5" x14ac:dyDescent="0.35">
      <c r="A51" s="38" t="s">
        <v>120</v>
      </c>
    </row>
    <row r="52" spans="1:1" ht="15.5" x14ac:dyDescent="0.35">
      <c r="A52" s="38" t="s">
        <v>121</v>
      </c>
    </row>
    <row r="53" spans="1:1" ht="15.5" x14ac:dyDescent="0.35">
      <c r="A53" s="38" t="s">
        <v>122</v>
      </c>
    </row>
    <row r="54" spans="1:1" ht="15.5" x14ac:dyDescent="0.35">
      <c r="A54" s="38" t="s">
        <v>123</v>
      </c>
    </row>
    <row r="55" spans="1:1" ht="15.5" x14ac:dyDescent="0.35">
      <c r="A55" s="38" t="s">
        <v>124</v>
      </c>
    </row>
    <row r="56" spans="1:1" ht="15.5" x14ac:dyDescent="0.35">
      <c r="A56" s="38" t="s">
        <v>125</v>
      </c>
    </row>
    <row r="57" spans="1:1" ht="15.5" x14ac:dyDescent="0.35">
      <c r="A57" s="38" t="s">
        <v>126</v>
      </c>
    </row>
    <row r="58" spans="1:1" ht="15.5" x14ac:dyDescent="0.35">
      <c r="A58" s="38" t="s">
        <v>127</v>
      </c>
    </row>
    <row r="59" spans="1:1" ht="15.5" x14ac:dyDescent="0.35">
      <c r="A59" s="38" t="s">
        <v>128</v>
      </c>
    </row>
    <row r="60" spans="1:1" ht="15.5" x14ac:dyDescent="0.35">
      <c r="A60" s="38" t="s">
        <v>129</v>
      </c>
    </row>
    <row r="61" spans="1:1" ht="15.5" x14ac:dyDescent="0.35">
      <c r="A61" s="38" t="s">
        <v>130</v>
      </c>
    </row>
    <row r="62" spans="1:1" ht="15.5" x14ac:dyDescent="0.35">
      <c r="A62" s="38" t="s">
        <v>131</v>
      </c>
    </row>
    <row r="63" spans="1:1" ht="15.5" x14ac:dyDescent="0.35">
      <c r="A63" s="38" t="s">
        <v>132</v>
      </c>
    </row>
    <row r="64" spans="1:1" ht="15.5" x14ac:dyDescent="0.35">
      <c r="A64" s="38" t="s">
        <v>133</v>
      </c>
    </row>
    <row r="65" spans="1:1" ht="15.5" x14ac:dyDescent="0.35">
      <c r="A65" s="38" t="s">
        <v>134</v>
      </c>
    </row>
    <row r="66" spans="1:1" ht="15.5" x14ac:dyDescent="0.35">
      <c r="A66" s="38" t="s">
        <v>135</v>
      </c>
    </row>
    <row r="67" spans="1:1" ht="15.5" x14ac:dyDescent="0.35">
      <c r="A67" s="38" t="s">
        <v>546</v>
      </c>
    </row>
    <row r="68" spans="1:1" ht="15.5" x14ac:dyDescent="0.35">
      <c r="A68" s="38" t="s">
        <v>547</v>
      </c>
    </row>
    <row r="69" spans="1:1" ht="15.5" x14ac:dyDescent="0.35">
      <c r="A69" s="38" t="s">
        <v>548</v>
      </c>
    </row>
    <row r="70" spans="1:1" ht="15.5" x14ac:dyDescent="0.35">
      <c r="A70" s="38" t="s">
        <v>549</v>
      </c>
    </row>
    <row r="71" spans="1:1" ht="15.5" x14ac:dyDescent="0.35">
      <c r="A71" s="38" t="s">
        <v>550</v>
      </c>
    </row>
    <row r="72" spans="1:1" ht="15.5" x14ac:dyDescent="0.35">
      <c r="A72" s="38" t="s">
        <v>551</v>
      </c>
    </row>
    <row r="73" spans="1:1" ht="15.5" x14ac:dyDescent="0.35">
      <c r="A73" s="38" t="s">
        <v>552</v>
      </c>
    </row>
    <row r="74" spans="1:1" ht="15.5" x14ac:dyDescent="0.35">
      <c r="A74" s="38" t="s">
        <v>553</v>
      </c>
    </row>
    <row r="75" spans="1:1" ht="15.5" x14ac:dyDescent="0.35">
      <c r="A75" s="38" t="s">
        <v>554</v>
      </c>
    </row>
    <row r="76" spans="1:1" ht="15.5" x14ac:dyDescent="0.35">
      <c r="A76" s="38" t="s">
        <v>102</v>
      </c>
    </row>
    <row r="78" spans="1:1" x14ac:dyDescent="0.35">
      <c r="A78" s="37" t="s">
        <v>136</v>
      </c>
    </row>
    <row r="79" spans="1:1" ht="15.5" x14ac:dyDescent="0.35">
      <c r="A79" s="38" t="s">
        <v>137</v>
      </c>
    </row>
    <row r="80" spans="1:1" ht="15.5" x14ac:dyDescent="0.35">
      <c r="A80" s="38" t="s">
        <v>138</v>
      </c>
    </row>
    <row r="81" spans="1:1" ht="15.5" x14ac:dyDescent="0.35">
      <c r="A81" s="38" t="s">
        <v>139</v>
      </c>
    </row>
    <row r="82" spans="1:1" ht="15.5" x14ac:dyDescent="0.35">
      <c r="A82" s="38" t="s">
        <v>140</v>
      </c>
    </row>
    <row r="83" spans="1:1" ht="15.5" x14ac:dyDescent="0.35">
      <c r="A83" s="38" t="s">
        <v>102</v>
      </c>
    </row>
    <row r="85" spans="1:1" x14ac:dyDescent="0.35">
      <c r="A85" s="37" t="s">
        <v>15</v>
      </c>
    </row>
    <row r="86" spans="1:1" ht="15.5" x14ac:dyDescent="0.35">
      <c r="A86" s="38" t="s">
        <v>104</v>
      </c>
    </row>
    <row r="87" spans="1:1" ht="15.5" x14ac:dyDescent="0.35">
      <c r="A87" s="38" t="s">
        <v>169</v>
      </c>
    </row>
    <row r="88" spans="1:1" ht="15.5" x14ac:dyDescent="0.35">
      <c r="A88" s="38" t="s">
        <v>141</v>
      </c>
    </row>
    <row r="89" spans="1:1" ht="15.5" x14ac:dyDescent="0.35">
      <c r="A89" s="38" t="s">
        <v>102</v>
      </c>
    </row>
    <row r="91" spans="1:1" x14ac:dyDescent="0.35">
      <c r="A91" s="37" t="s">
        <v>18</v>
      </c>
    </row>
    <row r="92" spans="1:1" ht="15.5" x14ac:dyDescent="0.35">
      <c r="A92" s="38" t="s">
        <v>224</v>
      </c>
    </row>
    <row r="93" spans="1:1" ht="15.5" x14ac:dyDescent="0.35">
      <c r="A93" s="38" t="s">
        <v>225</v>
      </c>
    </row>
    <row r="94" spans="1:1" ht="15.5" x14ac:dyDescent="0.35">
      <c r="A94" s="38" t="s">
        <v>226</v>
      </c>
    </row>
    <row r="95" spans="1:1" ht="15.5" x14ac:dyDescent="0.35">
      <c r="A95" s="38" t="s">
        <v>142</v>
      </c>
    </row>
    <row r="96" spans="1:1" ht="15.5" x14ac:dyDescent="0.35">
      <c r="A96" s="38" t="s">
        <v>143</v>
      </c>
    </row>
    <row r="97" spans="1:1" ht="15.5" x14ac:dyDescent="0.35">
      <c r="A97" s="38" t="s">
        <v>227</v>
      </c>
    </row>
    <row r="98" spans="1:1" ht="15.5" x14ac:dyDescent="0.35">
      <c r="A98" s="38" t="s">
        <v>228</v>
      </c>
    </row>
    <row r="99" spans="1:1" ht="15.5" x14ac:dyDescent="0.35">
      <c r="A99" s="38" t="s">
        <v>229</v>
      </c>
    </row>
    <row r="100" spans="1:1" ht="15.5" x14ac:dyDescent="0.35">
      <c r="A100" s="38" t="s">
        <v>230</v>
      </c>
    </row>
    <row r="101" spans="1:1" ht="15.5" x14ac:dyDescent="0.35">
      <c r="A101" s="38" t="s">
        <v>231</v>
      </c>
    </row>
    <row r="102" spans="1:1" ht="15.5" x14ac:dyDescent="0.35">
      <c r="A102" s="38" t="s">
        <v>232</v>
      </c>
    </row>
    <row r="103" spans="1:1" ht="15.5" x14ac:dyDescent="0.35">
      <c r="A103" s="38" t="s">
        <v>233</v>
      </c>
    </row>
    <row r="104" spans="1:1" ht="15.5" x14ac:dyDescent="0.35">
      <c r="A104" s="38" t="s">
        <v>234</v>
      </c>
    </row>
    <row r="105" spans="1:1" ht="15.5" x14ac:dyDescent="0.35">
      <c r="A105" s="38" t="s">
        <v>235</v>
      </c>
    </row>
    <row r="106" spans="1:1" ht="15.5" x14ac:dyDescent="0.35">
      <c r="A106" s="38" t="s">
        <v>236</v>
      </c>
    </row>
    <row r="107" spans="1:1" ht="15.5" x14ac:dyDescent="0.35">
      <c r="A107" s="38" t="s">
        <v>144</v>
      </c>
    </row>
    <row r="108" spans="1:1" ht="15.5" x14ac:dyDescent="0.35">
      <c r="A108" s="38" t="s">
        <v>145</v>
      </c>
    </row>
    <row r="109" spans="1:1" ht="15.5" x14ac:dyDescent="0.35">
      <c r="A109" s="38" t="s">
        <v>146</v>
      </c>
    </row>
    <row r="110" spans="1:1" ht="15.5" x14ac:dyDescent="0.35">
      <c r="A110" s="38" t="s">
        <v>147</v>
      </c>
    </row>
    <row r="111" spans="1:1" ht="15.5" x14ac:dyDescent="0.35">
      <c r="A111" s="38" t="s">
        <v>148</v>
      </c>
    </row>
    <row r="112" spans="1:1" ht="15.5" x14ac:dyDescent="0.35">
      <c r="A112" s="38" t="s">
        <v>149</v>
      </c>
    </row>
    <row r="113" spans="1:1" ht="15.5" x14ac:dyDescent="0.35">
      <c r="A113" s="38" t="s">
        <v>150</v>
      </c>
    </row>
    <row r="114" spans="1:1" ht="15.5" x14ac:dyDescent="0.35">
      <c r="A114" s="38" t="s">
        <v>151</v>
      </c>
    </row>
    <row r="115" spans="1:1" ht="15.5" x14ac:dyDescent="0.35">
      <c r="A115" s="38" t="s">
        <v>152</v>
      </c>
    </row>
    <row r="116" spans="1:1" ht="15.5" x14ac:dyDescent="0.35">
      <c r="A116" s="38" t="s">
        <v>102</v>
      </c>
    </row>
    <row r="118" spans="1:1" x14ac:dyDescent="0.35">
      <c r="A118" s="37" t="s">
        <v>20</v>
      </c>
    </row>
    <row r="119" spans="1:1" ht="15.5" x14ac:dyDescent="0.35">
      <c r="A119" s="38" t="s">
        <v>104</v>
      </c>
    </row>
    <row r="120" spans="1:1" ht="15.5" x14ac:dyDescent="0.35">
      <c r="A120" s="38" t="s">
        <v>153</v>
      </c>
    </row>
    <row r="121" spans="1:1" ht="15.5" x14ac:dyDescent="0.35">
      <c r="A121" s="38" t="s">
        <v>154</v>
      </c>
    </row>
    <row r="122" spans="1:1" ht="15.5" x14ac:dyDescent="0.35">
      <c r="A122" s="38" t="s">
        <v>155</v>
      </c>
    </row>
    <row r="123" spans="1:1" ht="15.5" x14ac:dyDescent="0.35">
      <c r="A123" s="38" t="s">
        <v>156</v>
      </c>
    </row>
    <row r="124" spans="1:1" ht="15.5" x14ac:dyDescent="0.35">
      <c r="A124" s="38" t="s">
        <v>157</v>
      </c>
    </row>
    <row r="125" spans="1:1" ht="15.5" x14ac:dyDescent="0.35">
      <c r="A125" s="38" t="s">
        <v>158</v>
      </c>
    </row>
    <row r="126" spans="1:1" ht="15.5" x14ac:dyDescent="0.35">
      <c r="A126" s="38" t="s">
        <v>159</v>
      </c>
    </row>
    <row r="127" spans="1:1" ht="15.5" x14ac:dyDescent="0.35">
      <c r="A127" s="38" t="s">
        <v>541</v>
      </c>
    </row>
    <row r="128" spans="1:1" ht="15.5" x14ac:dyDescent="0.35">
      <c r="A128" s="38" t="s">
        <v>160</v>
      </c>
    </row>
    <row r="130" spans="1:1" x14ac:dyDescent="0.35">
      <c r="A130" s="37" t="s">
        <v>161</v>
      </c>
    </row>
    <row r="131" spans="1:1" ht="15.5" x14ac:dyDescent="0.35">
      <c r="A131" s="38" t="s">
        <v>104</v>
      </c>
    </row>
    <row r="132" spans="1:1" ht="15.5" x14ac:dyDescent="0.35">
      <c r="A132" s="38" t="s">
        <v>162</v>
      </c>
    </row>
    <row r="133" spans="1:1" ht="15.5" x14ac:dyDescent="0.35">
      <c r="A133" s="38" t="s">
        <v>163</v>
      </c>
    </row>
    <row r="134" spans="1:1" ht="15.5" x14ac:dyDescent="0.35">
      <c r="A134" s="38" t="s">
        <v>559</v>
      </c>
    </row>
    <row r="136" spans="1:1" x14ac:dyDescent="0.35">
      <c r="A136" s="37" t="s">
        <v>22</v>
      </c>
    </row>
    <row r="137" spans="1:1" ht="15.5" x14ac:dyDescent="0.35">
      <c r="A137" s="38" t="s">
        <v>164</v>
      </c>
    </row>
    <row r="138" spans="1:1" ht="15.5" x14ac:dyDescent="0.35">
      <c r="A138" s="38" t="s">
        <v>165</v>
      </c>
    </row>
    <row r="139" spans="1:1" ht="15.5" x14ac:dyDescent="0.35">
      <c r="A139" s="38" t="s">
        <v>166</v>
      </c>
    </row>
    <row r="140" spans="1:1" ht="15.5" x14ac:dyDescent="0.35">
      <c r="A140" s="38" t="s">
        <v>167</v>
      </c>
    </row>
    <row r="142" spans="1:1" x14ac:dyDescent="0.35">
      <c r="A142" s="37" t="s">
        <v>168</v>
      </c>
    </row>
    <row r="143" spans="1:1" x14ac:dyDescent="0.35">
      <c r="A143" t="s">
        <v>169</v>
      </c>
    </row>
    <row r="144" spans="1:1" x14ac:dyDescent="0.35">
      <c r="A144" t="s">
        <v>170</v>
      </c>
    </row>
    <row r="145" spans="1:1" x14ac:dyDescent="0.35">
      <c r="A145" t="s">
        <v>171</v>
      </c>
    </row>
    <row r="147" spans="1:1" x14ac:dyDescent="0.35">
      <c r="A147" s="37" t="s">
        <v>24</v>
      </c>
    </row>
    <row r="148" spans="1:1" x14ac:dyDescent="0.35">
      <c r="A148" t="s">
        <v>172</v>
      </c>
    </row>
    <row r="149" spans="1:1" x14ac:dyDescent="0.35">
      <c r="A149" t="s">
        <v>173</v>
      </c>
    </row>
    <row r="150" spans="1:1" x14ac:dyDescent="0.35">
      <c r="A150" t="s">
        <v>174</v>
      </c>
    </row>
    <row r="152" spans="1:1" x14ac:dyDescent="0.35">
      <c r="A152" s="37" t="s">
        <v>175</v>
      </c>
    </row>
    <row r="153" spans="1:1" x14ac:dyDescent="0.35">
      <c r="A153" t="s">
        <v>170</v>
      </c>
    </row>
    <row r="154" spans="1:1" x14ac:dyDescent="0.35">
      <c r="A154" t="s">
        <v>171</v>
      </c>
    </row>
    <row r="156" spans="1:1" x14ac:dyDescent="0.35">
      <c r="A156" s="37" t="s">
        <v>176</v>
      </c>
    </row>
    <row r="157" spans="1:1" x14ac:dyDescent="0.35">
      <c r="A157" t="s">
        <v>170</v>
      </c>
    </row>
    <row r="158" spans="1:1" x14ac:dyDescent="0.35">
      <c r="A158" t="s">
        <v>171</v>
      </c>
    </row>
    <row r="160" spans="1:1" x14ac:dyDescent="0.35">
      <c r="A160" s="37" t="s">
        <v>27</v>
      </c>
    </row>
    <row r="161" spans="1:1" ht="15.5" x14ac:dyDescent="0.35">
      <c r="A161" s="38" t="s">
        <v>177</v>
      </c>
    </row>
    <row r="162" spans="1:1" ht="15.5" x14ac:dyDescent="0.35">
      <c r="A162" s="38" t="s">
        <v>178</v>
      </c>
    </row>
    <row r="163" spans="1:1" ht="15.5" x14ac:dyDescent="0.35">
      <c r="A163" s="38" t="s">
        <v>179</v>
      </c>
    </row>
    <row r="164" spans="1:1" ht="15.5" x14ac:dyDescent="0.35">
      <c r="A164" s="38" t="s">
        <v>180</v>
      </c>
    </row>
    <row r="165" spans="1:1" ht="15.5" x14ac:dyDescent="0.35">
      <c r="A165" s="38" t="s">
        <v>181</v>
      </c>
    </row>
    <row r="166" spans="1:1" ht="15.5" x14ac:dyDescent="0.35">
      <c r="A166" s="38" t="s">
        <v>182</v>
      </c>
    </row>
    <row r="167" spans="1:1" ht="15.5" x14ac:dyDescent="0.35">
      <c r="A167" s="38" t="s">
        <v>183</v>
      </c>
    </row>
    <row r="168" spans="1:1" ht="15.5" x14ac:dyDescent="0.35">
      <c r="A168" s="38" t="s">
        <v>184</v>
      </c>
    </row>
    <row r="169" spans="1:1" ht="15.5" x14ac:dyDescent="0.35">
      <c r="A169" s="38" t="s">
        <v>185</v>
      </c>
    </row>
    <row r="170" spans="1:1" ht="15.5" x14ac:dyDescent="0.35">
      <c r="A170" s="38" t="s">
        <v>186</v>
      </c>
    </row>
    <row r="171" spans="1:1" ht="15.5" x14ac:dyDescent="0.35">
      <c r="A171" s="38" t="s">
        <v>187</v>
      </c>
    </row>
    <row r="172" spans="1:1" ht="15.5" x14ac:dyDescent="0.35">
      <c r="A172" s="38" t="s">
        <v>188</v>
      </c>
    </row>
    <row r="173" spans="1:1" ht="15.5" x14ac:dyDescent="0.35">
      <c r="A173" s="38" t="s">
        <v>189</v>
      </c>
    </row>
    <row r="174" spans="1:1" ht="15.5" x14ac:dyDescent="0.35">
      <c r="A174" s="38" t="s">
        <v>193</v>
      </c>
    </row>
    <row r="175" spans="1:1" ht="15.5" x14ac:dyDescent="0.35">
      <c r="A175" s="38" t="s">
        <v>190</v>
      </c>
    </row>
    <row r="176" spans="1:1" ht="15.5" x14ac:dyDescent="0.35">
      <c r="A176" s="38" t="s">
        <v>191</v>
      </c>
    </row>
    <row r="177" spans="1:1" ht="15.5" x14ac:dyDescent="0.35">
      <c r="A177" s="38" t="s">
        <v>192</v>
      </c>
    </row>
    <row r="178" spans="1:1" ht="15.5" x14ac:dyDescent="0.35">
      <c r="A178" s="38" t="s">
        <v>102</v>
      </c>
    </row>
    <row r="180" spans="1:1" x14ac:dyDescent="0.35">
      <c r="A180" s="37" t="s">
        <v>28</v>
      </c>
    </row>
    <row r="181" spans="1:1" x14ac:dyDescent="0.35">
      <c r="A181" t="s">
        <v>194</v>
      </c>
    </row>
    <row r="182" spans="1:1" x14ac:dyDescent="0.35">
      <c r="A182" t="s">
        <v>195</v>
      </c>
    </row>
    <row r="184" spans="1:1" x14ac:dyDescent="0.35">
      <c r="A184" s="37" t="s">
        <v>196</v>
      </c>
    </row>
    <row r="185" spans="1:1" x14ac:dyDescent="0.35">
      <c r="A185" t="s">
        <v>104</v>
      </c>
    </row>
    <row r="186" spans="1:1" x14ac:dyDescent="0.35">
      <c r="A186" s="39" t="s">
        <v>197</v>
      </c>
    </row>
    <row r="187" spans="1:1" x14ac:dyDescent="0.35">
      <c r="A187" t="s">
        <v>198</v>
      </c>
    </row>
    <row r="188" spans="1:1" x14ac:dyDescent="0.35">
      <c r="A188" t="s">
        <v>199</v>
      </c>
    </row>
    <row r="189" spans="1:1" x14ac:dyDescent="0.35">
      <c r="A189" t="s">
        <v>200</v>
      </c>
    </row>
    <row r="190" spans="1:1" x14ac:dyDescent="0.35">
      <c r="A190" t="s">
        <v>201</v>
      </c>
    </row>
    <row r="191" spans="1:1" x14ac:dyDescent="0.35">
      <c r="A191" t="s">
        <v>202</v>
      </c>
    </row>
    <row r="192" spans="1:1" x14ac:dyDescent="0.35">
      <c r="A192" t="s">
        <v>203</v>
      </c>
    </row>
    <row r="193" spans="1:1" x14ac:dyDescent="0.35">
      <c r="A193" t="s">
        <v>204</v>
      </c>
    </row>
    <row r="194" spans="1:1" x14ac:dyDescent="0.35">
      <c r="A194" t="s">
        <v>205</v>
      </c>
    </row>
    <row r="196" spans="1:1" x14ac:dyDescent="0.35">
      <c r="A196" s="37" t="s">
        <v>89</v>
      </c>
    </row>
    <row r="197" spans="1:1" x14ac:dyDescent="0.35">
      <c r="A197" t="s">
        <v>190</v>
      </c>
    </row>
    <row r="198" spans="1:1" x14ac:dyDescent="0.35">
      <c r="A198" t="s">
        <v>206</v>
      </c>
    </row>
    <row r="199" spans="1:1" x14ac:dyDescent="0.35">
      <c r="A199" t="s">
        <v>207</v>
      </c>
    </row>
    <row r="200" spans="1:1" x14ac:dyDescent="0.35">
      <c r="A200" t="s">
        <v>208</v>
      </c>
    </row>
    <row r="201" spans="1:1" x14ac:dyDescent="0.35">
      <c r="A201" t="s">
        <v>209</v>
      </c>
    </row>
    <row r="202" spans="1:1" x14ac:dyDescent="0.35">
      <c r="A202" t="s">
        <v>210</v>
      </c>
    </row>
    <row r="204" spans="1:1" x14ac:dyDescent="0.35">
      <c r="A204" s="37" t="s">
        <v>23</v>
      </c>
    </row>
    <row r="205" spans="1:1" x14ac:dyDescent="0.35">
      <c r="A205" t="s">
        <v>104</v>
      </c>
    </row>
    <row r="206" spans="1:1" x14ac:dyDescent="0.35">
      <c r="A206" t="s">
        <v>218</v>
      </c>
    </row>
    <row r="207" spans="1:1" x14ac:dyDescent="0.35">
      <c r="A207" t="s">
        <v>219</v>
      </c>
    </row>
    <row r="208" spans="1:1" x14ac:dyDescent="0.35">
      <c r="A208" t="s">
        <v>220</v>
      </c>
    </row>
    <row r="209" spans="1:1" x14ac:dyDescent="0.35">
      <c r="A209" t="s">
        <v>221</v>
      </c>
    </row>
    <row r="210" spans="1:1" x14ac:dyDescent="0.35">
      <c r="A210" t="s">
        <v>222</v>
      </c>
    </row>
    <row r="211" spans="1:1" x14ac:dyDescent="0.35">
      <c r="A211" t="s">
        <v>102</v>
      </c>
    </row>
    <row r="213" spans="1:1" x14ac:dyDescent="0.35">
      <c r="A213" s="37" t="s">
        <v>243</v>
      </c>
    </row>
    <row r="214" spans="1:1" ht="15.5" x14ac:dyDescent="0.35">
      <c r="A214" s="38" t="s">
        <v>104</v>
      </c>
    </row>
    <row r="215" spans="1:1" ht="15.5" x14ac:dyDescent="0.35">
      <c r="A215" s="38" t="s">
        <v>162</v>
      </c>
    </row>
    <row r="216" spans="1:1" ht="15.5" x14ac:dyDescent="0.35">
      <c r="A216" s="38" t="s">
        <v>163</v>
      </c>
    </row>
    <row r="217" spans="1:1" ht="15.5" x14ac:dyDescent="0.35">
      <c r="A217" s="38" t="s">
        <v>242</v>
      </c>
    </row>
    <row r="219" spans="1:1" x14ac:dyDescent="0.35">
      <c r="A219" s="37" t="s">
        <v>246</v>
      </c>
    </row>
    <row r="220" spans="1:1" x14ac:dyDescent="0.35">
      <c r="A220" t="s">
        <v>194</v>
      </c>
    </row>
    <row r="221" spans="1:1" x14ac:dyDescent="0.35">
      <c r="A221" t="s">
        <v>195</v>
      </c>
    </row>
    <row r="222" spans="1:1" x14ac:dyDescent="0.35">
      <c r="A222" t="s">
        <v>247</v>
      </c>
    </row>
    <row r="224" spans="1:1" x14ac:dyDescent="0.35">
      <c r="A224" s="37" t="s">
        <v>253</v>
      </c>
    </row>
    <row r="225" spans="1:1" x14ac:dyDescent="0.35">
      <c r="A225" t="s">
        <v>104</v>
      </c>
    </row>
    <row r="226" spans="1:1" x14ac:dyDescent="0.35">
      <c r="A226" t="s">
        <v>223</v>
      </c>
    </row>
    <row r="227" spans="1:1" x14ac:dyDescent="0.35">
      <c r="A227" t="s">
        <v>100</v>
      </c>
    </row>
    <row r="228" spans="1:1" x14ac:dyDescent="0.35">
      <c r="A228" t="s">
        <v>101</v>
      </c>
    </row>
    <row r="229" spans="1:1" x14ac:dyDescent="0.35">
      <c r="A229" t="s">
        <v>102</v>
      </c>
    </row>
    <row r="230" spans="1:1" x14ac:dyDescent="0.35">
      <c r="A230" t="s">
        <v>251</v>
      </c>
    </row>
    <row r="231" spans="1:1" x14ac:dyDescent="0.35">
      <c r="A231" t="s">
        <v>252</v>
      </c>
    </row>
    <row r="233" spans="1:1" x14ac:dyDescent="0.35">
      <c r="A233" s="37" t="s">
        <v>560</v>
      </c>
    </row>
    <row r="234" spans="1:1" x14ac:dyDescent="0.35">
      <c r="A234" t="s">
        <v>104</v>
      </c>
    </row>
    <row r="235" spans="1:1" x14ac:dyDescent="0.35">
      <c r="A235" t="s">
        <v>561</v>
      </c>
    </row>
    <row r="236" spans="1:1" x14ac:dyDescent="0.35">
      <c r="A236" t="s">
        <v>562</v>
      </c>
    </row>
    <row r="237" spans="1:1" x14ac:dyDescent="0.35">
      <c r="A237" t="s">
        <v>563</v>
      </c>
    </row>
    <row r="238" spans="1:1" x14ac:dyDescent="0.35">
      <c r="A238" t="s">
        <v>564</v>
      </c>
    </row>
    <row r="239" spans="1:1" x14ac:dyDescent="0.35">
      <c r="A239" t="s">
        <v>565</v>
      </c>
    </row>
    <row r="240" spans="1:1" x14ac:dyDescent="0.35">
      <c r="A240" t="s">
        <v>102</v>
      </c>
    </row>
  </sheetData>
  <pageMargins left="0.7" right="0.7" top="0.75" bottom="0.75" header="0.3" footer="0.3"/>
  <pageSetup scale="38" orientation="portrait" r:id="rId1"/>
  <ignoredErrors>
    <ignoredError sqref="B2" formula="1"/>
  </ignoredErrors>
  <tableParts count="24">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04938-B7E1-485A-95E9-A335DA96F98E}">
  <sheetPr codeName="Sheet1">
    <pageSetUpPr autoPageBreaks="0"/>
  </sheetPr>
  <dimension ref="F8:AU66"/>
  <sheetViews>
    <sheetView showGridLines="0" showRowColHeaders="0" zoomScaleNormal="100" workbookViewId="0">
      <pane xSplit="5" ySplit="6" topLeftCell="F7" activePane="bottomRight" state="frozen"/>
      <selection pane="topRight" activeCell="F1" sqref="F1"/>
      <selection pane="bottomLeft" activeCell="A7" sqref="A7"/>
      <selection pane="bottomRight" activeCell="P66" sqref="P66:AU66"/>
    </sheetView>
  </sheetViews>
  <sheetFormatPr defaultRowHeight="14.5" x14ac:dyDescent="0.35"/>
  <cols>
    <col min="5" max="5" width="3.54296875" customWidth="1"/>
    <col min="6" max="6" width="25.453125" bestFit="1" customWidth="1"/>
    <col min="7" max="7" width="52.453125" customWidth="1"/>
    <col min="8" max="8" width="21.08984375" bestFit="1" customWidth="1"/>
    <col min="9" max="9" width="14.08984375" bestFit="1" customWidth="1"/>
    <col min="10" max="10" width="14" bestFit="1" customWidth="1"/>
    <col min="11" max="11" width="14.90625" bestFit="1" customWidth="1"/>
    <col min="12" max="12" width="14.08984375" bestFit="1" customWidth="1"/>
    <col min="13" max="13" width="12.54296875" bestFit="1" customWidth="1"/>
    <col min="14" max="14" width="10.54296875" bestFit="1" customWidth="1"/>
    <col min="15" max="15" width="19.90625" bestFit="1" customWidth="1"/>
    <col min="16" max="36" width="6.90625" bestFit="1" customWidth="1"/>
    <col min="37" max="56" width="7.453125" bestFit="1" customWidth="1"/>
  </cols>
  <sheetData>
    <row r="8" spans="6:11" x14ac:dyDescent="0.35">
      <c r="H8" s="114" t="s">
        <v>535</v>
      </c>
      <c r="I8" s="114"/>
      <c r="J8" s="114"/>
      <c r="K8" s="114"/>
    </row>
    <row r="9" spans="6:11" x14ac:dyDescent="0.35">
      <c r="F9" s="49"/>
      <c r="H9" s="53" t="s">
        <v>532</v>
      </c>
      <c r="I9" s="53" t="s">
        <v>533</v>
      </c>
      <c r="J9" s="53" t="s">
        <v>534</v>
      </c>
      <c r="K9" s="53" t="s">
        <v>256</v>
      </c>
    </row>
    <row r="10" spans="6:11" x14ac:dyDescent="0.35">
      <c r="H10" t="s">
        <v>536</v>
      </c>
      <c r="I10" s="111">
        <v>225208.72000000012</v>
      </c>
      <c r="J10" s="111">
        <v>0</v>
      </c>
      <c r="K10" s="111">
        <v>225208.72</v>
      </c>
    </row>
    <row r="11" spans="6:11" x14ac:dyDescent="0.35">
      <c r="H11" t="s">
        <v>101</v>
      </c>
      <c r="I11" s="111">
        <v>0</v>
      </c>
      <c r="J11" s="111">
        <v>0</v>
      </c>
      <c r="K11" s="111">
        <v>0</v>
      </c>
    </row>
    <row r="12" spans="6:11" x14ac:dyDescent="0.35">
      <c r="H12" t="s">
        <v>100</v>
      </c>
      <c r="I12" s="111">
        <v>0</v>
      </c>
      <c r="J12" s="111">
        <v>0</v>
      </c>
      <c r="K12" s="111">
        <v>0</v>
      </c>
    </row>
    <row r="13" spans="6:11" x14ac:dyDescent="0.35">
      <c r="H13" t="s">
        <v>102</v>
      </c>
      <c r="I13" s="111">
        <v>83819.27</v>
      </c>
      <c r="J13" s="111">
        <v>0</v>
      </c>
      <c r="K13" s="111">
        <v>83819.27</v>
      </c>
    </row>
    <row r="14" spans="6:11" x14ac:dyDescent="0.35">
      <c r="H14" t="s">
        <v>251</v>
      </c>
      <c r="I14" s="111">
        <v>0</v>
      </c>
      <c r="J14" s="111">
        <v>0</v>
      </c>
      <c r="K14" s="111">
        <v>0</v>
      </c>
    </row>
    <row r="15" spans="6:11" x14ac:dyDescent="0.35">
      <c r="H15" t="s">
        <v>252</v>
      </c>
      <c r="I15" s="111">
        <v>0</v>
      </c>
      <c r="J15" s="111">
        <v>0</v>
      </c>
      <c r="K15" s="111">
        <v>0</v>
      </c>
    </row>
    <row r="16" spans="6:11" x14ac:dyDescent="0.35">
      <c r="H16" t="s">
        <v>569</v>
      </c>
      <c r="I16" s="111">
        <v>0</v>
      </c>
      <c r="J16" s="111">
        <v>0</v>
      </c>
      <c r="K16" s="111">
        <v>0</v>
      </c>
    </row>
    <row r="17" spans="8:11" x14ac:dyDescent="0.35">
      <c r="H17" t="s">
        <v>103</v>
      </c>
      <c r="I17" s="111">
        <v>0</v>
      </c>
      <c r="J17" s="111">
        <v>0</v>
      </c>
      <c r="K17" s="111">
        <v>0</v>
      </c>
    </row>
    <row r="18" spans="8:11" x14ac:dyDescent="0.35">
      <c r="H18" t="s">
        <v>542</v>
      </c>
      <c r="I18" s="111">
        <v>0</v>
      </c>
      <c r="J18" s="111">
        <v>0</v>
      </c>
      <c r="K18" s="111">
        <v>0</v>
      </c>
    </row>
    <row r="19" spans="8:11" x14ac:dyDescent="0.35">
      <c r="H19" s="54" t="s">
        <v>537</v>
      </c>
      <c r="I19" s="112">
        <v>309027.99000000011</v>
      </c>
      <c r="J19" s="112">
        <v>0</v>
      </c>
      <c r="K19" s="112">
        <v>309027.99</v>
      </c>
    </row>
    <row r="21" spans="8:11" ht="15" thickBot="1" x14ac:dyDescent="0.4"/>
    <row r="22" spans="8:11" ht="15" thickBot="1" x14ac:dyDescent="0.4">
      <c r="H22" s="55" t="s">
        <v>538</v>
      </c>
      <c r="I22" s="56">
        <v>330000</v>
      </c>
    </row>
    <row r="52" spans="6:47" ht="15" thickBot="1" x14ac:dyDescent="0.4"/>
    <row r="53" spans="6:47" ht="44" thickBot="1" x14ac:dyDescent="0.4">
      <c r="F53" s="50" t="s">
        <v>211</v>
      </c>
      <c r="G53" s="50" t="s">
        <v>212</v>
      </c>
      <c r="H53" s="50" t="s">
        <v>213</v>
      </c>
      <c r="I53" s="50" t="s">
        <v>214</v>
      </c>
      <c r="J53" s="52" t="s">
        <v>254</v>
      </c>
      <c r="K53" s="50" t="s">
        <v>215</v>
      </c>
      <c r="L53" s="50" t="s">
        <v>216</v>
      </c>
      <c r="M53" s="52" t="s">
        <v>255</v>
      </c>
      <c r="N53" s="52" t="s">
        <v>256</v>
      </c>
      <c r="O53" s="50" t="s">
        <v>217</v>
      </c>
      <c r="P53" s="47" t="s">
        <v>397</v>
      </c>
      <c r="Q53" s="47" t="s">
        <v>398</v>
      </c>
      <c r="R53" s="47" t="s">
        <v>399</v>
      </c>
      <c r="S53" s="47" t="s">
        <v>400</v>
      </c>
      <c r="T53" s="47" t="s">
        <v>401</v>
      </c>
      <c r="U53" s="47" t="s">
        <v>402</v>
      </c>
      <c r="V53" s="47" t="s">
        <v>403</v>
      </c>
      <c r="W53" s="47" t="s">
        <v>404</v>
      </c>
      <c r="X53" s="47" t="s">
        <v>405</v>
      </c>
      <c r="Y53" s="47" t="s">
        <v>406</v>
      </c>
      <c r="Z53" s="47" t="s">
        <v>407</v>
      </c>
      <c r="AA53" s="47" t="s">
        <v>408</v>
      </c>
      <c r="AB53" s="47" t="s">
        <v>409</v>
      </c>
      <c r="AC53" s="47" t="s">
        <v>410</v>
      </c>
      <c r="AD53" s="47" t="s">
        <v>411</v>
      </c>
      <c r="AE53" s="47" t="s">
        <v>412</v>
      </c>
      <c r="AF53" s="47" t="s">
        <v>413</v>
      </c>
      <c r="AG53" s="47" t="s">
        <v>414</v>
      </c>
      <c r="AH53" s="47" t="s">
        <v>415</v>
      </c>
      <c r="AI53" s="47" t="s">
        <v>416</v>
      </c>
      <c r="AJ53" s="47" t="s">
        <v>417</v>
      </c>
      <c r="AK53" s="47" t="s">
        <v>418</v>
      </c>
      <c r="AL53" s="47" t="s">
        <v>419</v>
      </c>
      <c r="AM53" s="47" t="s">
        <v>420</v>
      </c>
      <c r="AN53" s="47" t="s">
        <v>421</v>
      </c>
      <c r="AO53" s="47" t="s">
        <v>422</v>
      </c>
      <c r="AP53" s="47" t="s">
        <v>423</v>
      </c>
      <c r="AQ53" s="47" t="s">
        <v>424</v>
      </c>
      <c r="AR53" s="47" t="s">
        <v>425</v>
      </c>
      <c r="AS53" s="47" t="s">
        <v>426</v>
      </c>
      <c r="AT53" s="47" t="s">
        <v>427</v>
      </c>
      <c r="AU53" s="47" t="s">
        <v>428</v>
      </c>
    </row>
    <row r="54" spans="6:47" ht="29" x14ac:dyDescent="0.35">
      <c r="F54" s="76" t="s">
        <v>2199</v>
      </c>
      <c r="G54" s="77" t="s">
        <v>251</v>
      </c>
      <c r="H54" s="105">
        <v>45901</v>
      </c>
      <c r="I54" s="105">
        <v>45901</v>
      </c>
      <c r="J54" s="78">
        <v>0</v>
      </c>
      <c r="K54" s="105">
        <v>45901</v>
      </c>
      <c r="L54" s="105"/>
      <c r="M54" s="78"/>
      <c r="N54" s="78"/>
      <c r="O54" s="106">
        <v>0</v>
      </c>
      <c r="P54" s="80"/>
      <c r="Q54" s="80"/>
      <c r="R54" s="80"/>
      <c r="S54" s="80"/>
      <c r="T54" s="80"/>
      <c r="U54" s="80"/>
      <c r="V54" s="80"/>
      <c r="W54" s="80"/>
      <c r="X54" s="80"/>
      <c r="Y54" s="80"/>
      <c r="Z54" s="80"/>
      <c r="AA54" s="80"/>
      <c r="AB54" s="80"/>
      <c r="AC54" s="82"/>
      <c r="AD54" s="80"/>
      <c r="AE54" s="80"/>
      <c r="AF54" s="80"/>
      <c r="AG54" s="80"/>
      <c r="AH54" s="80"/>
      <c r="AI54" s="80"/>
      <c r="AJ54" s="80"/>
      <c r="AK54" s="80"/>
      <c r="AL54" s="80"/>
      <c r="AM54" s="80"/>
      <c r="AN54" s="80"/>
      <c r="AO54" s="80"/>
      <c r="AP54" s="80"/>
      <c r="AQ54" s="80"/>
      <c r="AR54" s="80"/>
      <c r="AS54" s="80"/>
      <c r="AT54" s="80"/>
      <c r="AU54" s="80"/>
    </row>
    <row r="55" spans="6:47" ht="29" x14ac:dyDescent="0.35">
      <c r="F55" s="100" t="s">
        <v>583</v>
      </c>
      <c r="G55" s="101" t="s">
        <v>251</v>
      </c>
      <c r="H55" s="102">
        <v>45901</v>
      </c>
      <c r="I55" s="102">
        <v>45901</v>
      </c>
      <c r="J55" s="103">
        <v>0</v>
      </c>
      <c r="K55" s="102">
        <v>45901</v>
      </c>
      <c r="L55" s="102"/>
      <c r="M55" s="103"/>
      <c r="N55" s="103"/>
      <c r="O55" s="104">
        <v>0.5</v>
      </c>
      <c r="P55" s="80"/>
      <c r="Q55" s="80"/>
      <c r="R55" s="80"/>
      <c r="S55" s="80"/>
      <c r="T55" s="80"/>
      <c r="U55" s="80"/>
      <c r="V55" s="80"/>
      <c r="W55" s="80"/>
      <c r="X55" s="80"/>
      <c r="Y55" s="80"/>
      <c r="Z55" s="80"/>
      <c r="AA55" s="80"/>
      <c r="AB55" s="80"/>
      <c r="AC55" s="82"/>
      <c r="AD55" s="80"/>
      <c r="AE55" s="80"/>
      <c r="AF55" s="80"/>
      <c r="AG55" s="80"/>
      <c r="AH55" s="80"/>
      <c r="AI55" s="80"/>
      <c r="AJ55" s="80"/>
      <c r="AK55" s="80"/>
      <c r="AL55" s="80"/>
      <c r="AM55" s="80"/>
      <c r="AN55" s="80"/>
      <c r="AO55" s="80"/>
      <c r="AP55" s="80"/>
      <c r="AQ55" s="80"/>
      <c r="AR55" s="80"/>
      <c r="AS55" s="80"/>
      <c r="AT55" s="80"/>
      <c r="AU55" s="80"/>
    </row>
    <row r="56" spans="6:47" ht="29" x14ac:dyDescent="0.35">
      <c r="F56" s="76" t="s">
        <v>584</v>
      </c>
      <c r="G56" s="77" t="s">
        <v>252</v>
      </c>
      <c r="H56" s="105">
        <v>45913</v>
      </c>
      <c r="I56" s="105">
        <v>45913</v>
      </c>
      <c r="J56" s="78">
        <v>0</v>
      </c>
      <c r="K56" s="105">
        <v>45913</v>
      </c>
      <c r="L56" s="105"/>
      <c r="M56" s="78"/>
      <c r="N56" s="78"/>
      <c r="O56" s="106">
        <v>0</v>
      </c>
      <c r="P56" s="80"/>
      <c r="Q56" s="80"/>
      <c r="R56" s="80"/>
      <c r="S56" s="80"/>
      <c r="T56" s="80"/>
      <c r="U56" s="80"/>
      <c r="V56" s="80"/>
      <c r="W56" s="80"/>
      <c r="X56" s="80"/>
      <c r="Y56" s="80"/>
      <c r="Z56" s="80"/>
      <c r="AA56" s="80"/>
      <c r="AB56" s="80"/>
      <c r="AC56" s="80"/>
      <c r="AD56" s="80"/>
      <c r="AE56" s="80"/>
      <c r="AF56" s="80"/>
      <c r="AG56" s="80"/>
      <c r="AH56" s="80"/>
      <c r="AI56" s="80"/>
      <c r="AJ56" s="80"/>
      <c r="AK56" s="80"/>
      <c r="AL56" s="80"/>
      <c r="AM56" s="80"/>
      <c r="AN56" s="80"/>
      <c r="AO56" s="82"/>
      <c r="AP56" s="80"/>
      <c r="AQ56" s="80"/>
      <c r="AR56" s="80"/>
      <c r="AS56" s="80"/>
      <c r="AT56" s="80"/>
      <c r="AU56" s="80"/>
    </row>
    <row r="57" spans="6:47" x14ac:dyDescent="0.35">
      <c r="F57" s="100" t="s">
        <v>585</v>
      </c>
      <c r="G57" s="101" t="s">
        <v>223</v>
      </c>
      <c r="H57" s="102">
        <v>45913</v>
      </c>
      <c r="I57" s="102">
        <v>45913</v>
      </c>
      <c r="J57" s="103">
        <v>0</v>
      </c>
      <c r="K57" s="102">
        <v>45913</v>
      </c>
      <c r="L57" s="102"/>
      <c r="M57" s="103"/>
      <c r="N57" s="103"/>
      <c r="O57" s="104">
        <v>0</v>
      </c>
      <c r="P57" s="80"/>
      <c r="Q57" s="80"/>
      <c r="R57" s="80"/>
      <c r="S57" s="80"/>
      <c r="T57" s="80"/>
      <c r="U57" s="80"/>
      <c r="V57" s="80"/>
      <c r="W57" s="80"/>
      <c r="X57" s="80"/>
      <c r="Y57" s="80"/>
      <c r="Z57" s="80"/>
      <c r="AA57" s="80"/>
      <c r="AB57" s="80"/>
      <c r="AC57" s="80"/>
      <c r="AD57" s="80"/>
      <c r="AE57" s="80"/>
      <c r="AF57" s="80"/>
      <c r="AG57" s="80"/>
      <c r="AH57" s="80"/>
      <c r="AI57" s="80"/>
      <c r="AJ57" s="80"/>
      <c r="AK57" s="80"/>
      <c r="AL57" s="80"/>
      <c r="AM57" s="80"/>
      <c r="AN57" s="80"/>
      <c r="AO57" s="82"/>
      <c r="AP57" s="80"/>
      <c r="AQ57" s="80"/>
      <c r="AR57" s="80"/>
      <c r="AS57" s="80"/>
      <c r="AT57" s="80"/>
      <c r="AU57" s="80"/>
    </row>
    <row r="58" spans="6:47" ht="29" x14ac:dyDescent="0.35">
      <c r="F58" s="76" t="s">
        <v>586</v>
      </c>
      <c r="G58" s="77" t="s">
        <v>251</v>
      </c>
      <c r="H58" s="105">
        <v>45913</v>
      </c>
      <c r="I58" s="105">
        <v>45913</v>
      </c>
      <c r="J58" s="78">
        <v>0</v>
      </c>
      <c r="K58" s="105">
        <v>45913</v>
      </c>
      <c r="L58" s="105"/>
      <c r="M58" s="78"/>
      <c r="N58" s="78"/>
      <c r="O58" s="106">
        <v>0</v>
      </c>
      <c r="P58" s="80"/>
      <c r="Q58" s="80"/>
      <c r="R58" s="80"/>
      <c r="S58" s="80"/>
      <c r="T58" s="80"/>
      <c r="U58" s="80"/>
      <c r="V58" s="80"/>
      <c r="W58" s="80"/>
      <c r="X58" s="80"/>
      <c r="Y58" s="80"/>
      <c r="Z58" s="80"/>
      <c r="AA58" s="80"/>
      <c r="AB58" s="80"/>
      <c r="AC58" s="80"/>
      <c r="AD58" s="80"/>
      <c r="AE58" s="80"/>
      <c r="AF58" s="80"/>
      <c r="AG58" s="80"/>
      <c r="AH58" s="80"/>
      <c r="AI58" s="80"/>
      <c r="AJ58" s="80"/>
      <c r="AK58" s="80"/>
      <c r="AL58" s="80"/>
      <c r="AM58" s="80"/>
      <c r="AN58" s="80"/>
      <c r="AO58" s="82"/>
      <c r="AP58" s="80"/>
      <c r="AQ58" s="80"/>
      <c r="AR58" s="80"/>
      <c r="AS58" s="80"/>
      <c r="AT58" s="80"/>
      <c r="AU58" s="80"/>
    </row>
    <row r="59" spans="6:47" x14ac:dyDescent="0.35">
      <c r="F59" s="100" t="s">
        <v>587</v>
      </c>
      <c r="G59" s="101" t="s">
        <v>251</v>
      </c>
      <c r="H59" s="102">
        <v>45913</v>
      </c>
      <c r="I59" s="102">
        <v>45913</v>
      </c>
      <c r="J59" s="103">
        <v>0</v>
      </c>
      <c r="K59" s="102">
        <v>45913</v>
      </c>
      <c r="L59" s="102"/>
      <c r="M59" s="103"/>
      <c r="N59" s="103"/>
      <c r="O59" s="104">
        <v>0</v>
      </c>
      <c r="P59" s="80"/>
      <c r="Q59" s="80"/>
      <c r="R59" s="80"/>
      <c r="S59" s="80"/>
      <c r="T59" s="80"/>
      <c r="U59" s="80"/>
      <c r="V59" s="80"/>
      <c r="W59" s="80"/>
      <c r="X59" s="80"/>
      <c r="Y59" s="80"/>
      <c r="Z59" s="80"/>
      <c r="AA59" s="80"/>
      <c r="AB59" s="80"/>
      <c r="AC59" s="80"/>
      <c r="AD59" s="80"/>
      <c r="AE59" s="80"/>
      <c r="AF59" s="80"/>
      <c r="AG59" s="80"/>
      <c r="AH59" s="80"/>
      <c r="AI59" s="80"/>
      <c r="AJ59" s="80"/>
      <c r="AK59" s="80"/>
      <c r="AL59" s="80"/>
      <c r="AM59" s="80"/>
      <c r="AN59" s="80"/>
      <c r="AO59" s="82"/>
      <c r="AP59" s="80"/>
      <c r="AQ59" s="80"/>
      <c r="AR59" s="80"/>
      <c r="AS59" s="80"/>
      <c r="AT59" s="80"/>
      <c r="AU59" s="80"/>
    </row>
    <row r="60" spans="6:47" x14ac:dyDescent="0.35">
      <c r="F60" s="76" t="s">
        <v>599</v>
      </c>
      <c r="G60" s="77" t="s">
        <v>102</v>
      </c>
      <c r="H60" s="105">
        <v>45913</v>
      </c>
      <c r="I60" s="105"/>
      <c r="J60" s="78"/>
      <c r="K60" s="105"/>
      <c r="L60" s="105"/>
      <c r="M60" s="78"/>
      <c r="N60" s="78"/>
      <c r="O60" s="106">
        <v>0</v>
      </c>
      <c r="P60" s="80"/>
      <c r="Q60" s="80"/>
      <c r="R60" s="80"/>
      <c r="S60" s="80"/>
      <c r="T60" s="80"/>
      <c r="U60" s="80"/>
      <c r="V60" s="80"/>
      <c r="W60" s="80"/>
      <c r="X60" s="80"/>
      <c r="Y60" s="80"/>
      <c r="Z60" s="80"/>
      <c r="AA60" s="80"/>
      <c r="AB60" s="80"/>
      <c r="AC60" s="80"/>
      <c r="AD60" s="80"/>
      <c r="AE60" s="80"/>
      <c r="AF60" s="80"/>
      <c r="AG60" s="80"/>
      <c r="AH60" s="80"/>
      <c r="AI60" s="80"/>
      <c r="AJ60" s="80"/>
      <c r="AK60" s="80"/>
      <c r="AL60" s="80"/>
      <c r="AM60" s="80"/>
      <c r="AN60" s="80"/>
      <c r="AO60" s="80"/>
      <c r="AP60" s="80"/>
      <c r="AQ60" s="80"/>
      <c r="AR60" s="80"/>
      <c r="AS60" s="80"/>
      <c r="AT60" s="80"/>
      <c r="AU60" s="80"/>
    </row>
    <row r="61" spans="6:47" ht="29" x14ac:dyDescent="0.35">
      <c r="F61" s="100" t="s">
        <v>588</v>
      </c>
      <c r="G61" s="101" t="s">
        <v>251</v>
      </c>
      <c r="H61" s="102">
        <v>45915</v>
      </c>
      <c r="I61" s="102">
        <v>45919</v>
      </c>
      <c r="J61" s="103">
        <v>4</v>
      </c>
      <c r="K61" s="102">
        <v>45915</v>
      </c>
      <c r="L61" s="102"/>
      <c r="M61" s="103"/>
      <c r="N61" s="103"/>
      <c r="O61" s="104">
        <v>0</v>
      </c>
      <c r="P61" s="80"/>
      <c r="Q61" s="80"/>
      <c r="R61" s="80"/>
      <c r="S61" s="80"/>
      <c r="T61" s="80"/>
      <c r="U61" s="80"/>
      <c r="V61" s="80"/>
      <c r="W61" s="80"/>
      <c r="X61" s="80"/>
      <c r="Y61" s="80"/>
      <c r="Z61" s="80"/>
      <c r="AA61" s="80"/>
      <c r="AB61" s="80"/>
      <c r="AC61" s="80"/>
      <c r="AD61" s="80"/>
      <c r="AE61" s="80"/>
      <c r="AF61" s="80"/>
      <c r="AG61" s="80"/>
      <c r="AH61" s="80"/>
      <c r="AI61" s="80"/>
      <c r="AJ61" s="80"/>
      <c r="AK61" s="80"/>
      <c r="AL61" s="80"/>
      <c r="AM61" s="80"/>
      <c r="AN61" s="80"/>
      <c r="AO61" s="80"/>
      <c r="AP61" s="80"/>
      <c r="AQ61" s="82"/>
      <c r="AR61" s="82"/>
      <c r="AS61" s="82"/>
      <c r="AT61" s="82"/>
      <c r="AU61" s="82"/>
    </row>
    <row r="62" spans="6:47" ht="29" x14ac:dyDescent="0.35">
      <c r="F62" s="76" t="s">
        <v>589</v>
      </c>
      <c r="G62" s="77" t="s">
        <v>223</v>
      </c>
      <c r="H62" s="105">
        <v>45916</v>
      </c>
      <c r="I62" s="105">
        <v>45916</v>
      </c>
      <c r="J62" s="78">
        <v>0</v>
      </c>
      <c r="K62" s="105">
        <v>45916</v>
      </c>
      <c r="L62" s="105"/>
      <c r="M62" s="78"/>
      <c r="N62" s="78"/>
      <c r="O62" s="106">
        <v>0</v>
      </c>
      <c r="P62" s="80"/>
      <c r="Q62" s="80"/>
      <c r="R62" s="80"/>
      <c r="S62" s="80"/>
      <c r="T62" s="80"/>
      <c r="U62" s="80"/>
      <c r="V62" s="80"/>
      <c r="W62" s="80"/>
      <c r="X62" s="80"/>
      <c r="Y62" s="80"/>
      <c r="Z62" s="80"/>
      <c r="AA62" s="80"/>
      <c r="AB62" s="80"/>
      <c r="AC62" s="80"/>
      <c r="AD62" s="80"/>
      <c r="AE62" s="80"/>
      <c r="AF62" s="80"/>
      <c r="AG62" s="80"/>
      <c r="AH62" s="80"/>
      <c r="AI62" s="80"/>
      <c r="AJ62" s="80"/>
      <c r="AK62" s="80"/>
      <c r="AL62" s="80"/>
      <c r="AM62" s="80"/>
      <c r="AN62" s="80"/>
      <c r="AO62" s="80"/>
      <c r="AP62" s="80"/>
      <c r="AQ62" s="80"/>
      <c r="AR62" s="82"/>
      <c r="AS62" s="80"/>
      <c r="AT62" s="80"/>
      <c r="AU62" s="80"/>
    </row>
    <row r="63" spans="6:47" ht="43.5" x14ac:dyDescent="0.35">
      <c r="F63" s="100" t="s">
        <v>590</v>
      </c>
      <c r="G63" s="101" t="s">
        <v>102</v>
      </c>
      <c r="H63" s="102">
        <v>45916</v>
      </c>
      <c r="I63" s="102">
        <v>45916</v>
      </c>
      <c r="J63" s="103">
        <v>0</v>
      </c>
      <c r="K63" s="102">
        <v>45916</v>
      </c>
      <c r="L63" s="102"/>
      <c r="M63" s="103"/>
      <c r="N63" s="103"/>
      <c r="O63" s="104">
        <v>0</v>
      </c>
      <c r="P63" s="80"/>
      <c r="Q63" s="80"/>
      <c r="R63" s="80"/>
      <c r="S63" s="80"/>
      <c r="T63" s="80"/>
      <c r="U63" s="80"/>
      <c r="V63" s="80"/>
      <c r="W63" s="80"/>
      <c r="X63" s="80"/>
      <c r="Y63" s="80"/>
      <c r="Z63" s="80"/>
      <c r="AA63" s="80"/>
      <c r="AB63" s="80"/>
      <c r="AC63" s="80"/>
      <c r="AD63" s="80"/>
      <c r="AE63" s="80"/>
      <c r="AF63" s="80"/>
      <c r="AG63" s="80"/>
      <c r="AH63" s="80"/>
      <c r="AI63" s="80"/>
      <c r="AJ63" s="80"/>
      <c r="AK63" s="80"/>
      <c r="AL63" s="80"/>
      <c r="AM63" s="80"/>
      <c r="AN63" s="80"/>
      <c r="AO63" s="80"/>
      <c r="AP63" s="80"/>
      <c r="AQ63" s="80"/>
      <c r="AR63" s="82"/>
      <c r="AS63" s="80"/>
      <c r="AT63" s="80"/>
      <c r="AU63" s="80"/>
    </row>
    <row r="64" spans="6:47" x14ac:dyDescent="0.35">
      <c r="F64" s="76" t="s">
        <v>591</v>
      </c>
      <c r="G64" s="77" t="s">
        <v>102</v>
      </c>
      <c r="H64" s="105">
        <v>45916</v>
      </c>
      <c r="I64" s="105">
        <v>45916</v>
      </c>
      <c r="J64" s="78">
        <v>0</v>
      </c>
      <c r="K64" s="105">
        <v>45916</v>
      </c>
      <c r="L64" s="105"/>
      <c r="M64" s="78"/>
      <c r="N64" s="78"/>
      <c r="O64" s="106">
        <v>0</v>
      </c>
      <c r="P64" s="80"/>
      <c r="Q64" s="80"/>
      <c r="R64" s="80"/>
      <c r="S64" s="80"/>
      <c r="T64" s="80"/>
      <c r="U64" s="80"/>
      <c r="V64" s="80"/>
      <c r="W64" s="80"/>
      <c r="X64" s="80"/>
      <c r="Y64" s="80"/>
      <c r="Z64" s="80"/>
      <c r="AA64" s="80"/>
      <c r="AB64" s="80"/>
      <c r="AC64" s="80"/>
      <c r="AD64" s="80"/>
      <c r="AE64" s="80"/>
      <c r="AF64" s="80"/>
      <c r="AG64" s="80"/>
      <c r="AH64" s="80"/>
      <c r="AI64" s="80"/>
      <c r="AJ64" s="80"/>
      <c r="AK64" s="80"/>
      <c r="AL64" s="80"/>
      <c r="AM64" s="80"/>
      <c r="AN64" s="80"/>
      <c r="AO64" s="80"/>
      <c r="AP64" s="80"/>
      <c r="AQ64" s="80"/>
      <c r="AR64" s="82"/>
      <c r="AS64" s="80"/>
      <c r="AT64" s="80"/>
      <c r="AU64" s="80"/>
    </row>
    <row r="65" spans="6:47" x14ac:dyDescent="0.35">
      <c r="F65" s="100" t="s">
        <v>592</v>
      </c>
      <c r="G65" s="101" t="s">
        <v>102</v>
      </c>
      <c r="H65" s="102">
        <v>45916</v>
      </c>
      <c r="I65" s="102">
        <v>45916</v>
      </c>
      <c r="J65" s="103">
        <v>0</v>
      </c>
      <c r="K65" s="102">
        <v>45916</v>
      </c>
      <c r="L65" s="102"/>
      <c r="M65" s="103"/>
      <c r="N65" s="103"/>
      <c r="O65" s="104">
        <v>0</v>
      </c>
      <c r="P65" s="80"/>
      <c r="Q65" s="80"/>
      <c r="R65" s="80"/>
      <c r="S65" s="80"/>
      <c r="T65" s="80"/>
      <c r="U65" s="80"/>
      <c r="V65" s="80"/>
      <c r="W65" s="80"/>
      <c r="X65" s="80"/>
      <c r="Y65" s="80"/>
      <c r="Z65" s="80"/>
      <c r="AA65" s="80"/>
      <c r="AB65" s="80"/>
      <c r="AC65" s="80"/>
      <c r="AD65" s="80"/>
      <c r="AE65" s="80"/>
      <c r="AF65" s="80"/>
      <c r="AG65" s="80"/>
      <c r="AH65" s="80"/>
      <c r="AI65" s="80"/>
      <c r="AJ65" s="80"/>
      <c r="AK65" s="80"/>
      <c r="AL65" s="80"/>
      <c r="AM65" s="80"/>
      <c r="AN65" s="80"/>
      <c r="AO65" s="80"/>
      <c r="AP65" s="80"/>
      <c r="AQ65" s="80"/>
      <c r="AR65" s="82"/>
      <c r="AS65" s="80"/>
      <c r="AT65" s="80"/>
      <c r="AU65" s="80"/>
    </row>
    <row r="66" spans="6:47" ht="29" x14ac:dyDescent="0.35">
      <c r="F66" s="76" t="s">
        <v>593</v>
      </c>
      <c r="G66" s="77" t="s">
        <v>102</v>
      </c>
      <c r="H66" s="105">
        <v>45916</v>
      </c>
      <c r="I66" s="105">
        <v>45916</v>
      </c>
      <c r="J66" s="78">
        <v>0</v>
      </c>
      <c r="K66" s="105">
        <v>45916</v>
      </c>
      <c r="L66" s="105"/>
      <c r="M66" s="78"/>
      <c r="N66" s="78"/>
      <c r="O66" s="106">
        <v>0</v>
      </c>
      <c r="P66" s="80"/>
      <c r="Q66" s="80"/>
      <c r="R66" s="80"/>
      <c r="S66" s="80"/>
      <c r="T66" s="80"/>
      <c r="U66" s="80"/>
      <c r="V66" s="80"/>
      <c r="W66" s="80"/>
      <c r="X66" s="80"/>
      <c r="Y66" s="80"/>
      <c r="Z66" s="80"/>
      <c r="AA66" s="80"/>
      <c r="AB66" s="80"/>
      <c r="AC66" s="80"/>
      <c r="AD66" s="80"/>
      <c r="AE66" s="80"/>
      <c r="AF66" s="80"/>
      <c r="AG66" s="80"/>
      <c r="AH66" s="80"/>
      <c r="AI66" s="80"/>
      <c r="AJ66" s="80"/>
      <c r="AK66" s="80"/>
      <c r="AL66" s="80"/>
      <c r="AM66" s="80"/>
      <c r="AN66" s="80"/>
      <c r="AO66" s="80"/>
      <c r="AP66" s="80"/>
      <c r="AQ66" s="80"/>
      <c r="AR66" s="82"/>
      <c r="AS66" s="80"/>
      <c r="AT66" s="80"/>
      <c r="AU66" s="80"/>
    </row>
  </sheetData>
  <mergeCells count="1">
    <mergeCell ref="H8:K8"/>
  </mergeCells>
  <conditionalFormatting sqref="K10:K19">
    <cfRule type="cellIs" dxfId="548" priority="1" stopIfTrue="1" operator="lessThan">
      <formula>0</formula>
    </cfRule>
    <cfRule type="cellIs" dxfId="547" priority="2" stopIfTrue="1" operator="greaterThan">
      <formula>0</formula>
    </cfRule>
  </conditionalFormatting>
  <conditionalFormatting sqref="I22">
    <cfRule type="cellIs" dxfId="546" priority="3" stopIfTrue="1" operator="lessThan">
      <formula>0</formula>
    </cfRule>
    <cfRule type="cellIs" dxfId="545" priority="4" stopIfTrue="1" operator="greaterThan">
      <formula>0</formula>
    </cfRule>
  </conditionalFormatting>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6727D-F057-43A8-BF29-94BBEDD70FAC}">
  <sheetPr codeName="Sheet3">
    <pageSetUpPr autoPageBreaks="0"/>
  </sheetPr>
  <dimension ref="F1:BA444"/>
  <sheetViews>
    <sheetView showGridLines="0" showRowColHeaders="0" view="pageBreakPreview" zoomScale="70" zoomScaleNormal="60" zoomScaleSheetLayoutView="70" workbookViewId="0">
      <pane xSplit="5" ySplit="7" topLeftCell="F320" activePane="bottomRight" state="frozen"/>
      <selection pane="topRight" activeCell="F1" sqref="F1"/>
      <selection pane="bottomLeft" activeCell="A8" sqref="A8"/>
      <selection pane="bottomRight" activeCell="AQ321" sqref="AQ321"/>
    </sheetView>
  </sheetViews>
  <sheetFormatPr defaultRowHeight="14.5" x14ac:dyDescent="0.35"/>
  <cols>
    <col min="5" max="5" width="2.90625" customWidth="1"/>
    <col min="6" max="6" width="12.08984375" style="40" customWidth="1"/>
    <col min="7" max="7" width="32.90625" style="62" customWidth="1"/>
    <col min="8" max="8" width="50.54296875" style="40" customWidth="1"/>
    <col min="9" max="9" width="23.08984375" style="41" customWidth="1"/>
    <col min="10" max="10" width="20.54296875" style="41" bestFit="1" customWidth="1"/>
    <col min="11" max="11" width="21" style="41" customWidth="1"/>
    <col min="12" max="12" width="20.54296875" style="40" customWidth="1"/>
    <col min="13" max="13" width="31.90625" style="41" customWidth="1"/>
    <col min="14" max="14" width="13.90625" style="41" customWidth="1"/>
    <col min="15" max="15" width="12.90625" style="40" customWidth="1"/>
    <col min="16" max="16" width="19.453125" style="41" customWidth="1"/>
    <col min="17" max="17" width="17.08984375" style="41" customWidth="1"/>
    <col min="18" max="18" width="25.54296875" style="41" customWidth="1"/>
    <col min="19" max="19" width="18.54296875" style="40" customWidth="1"/>
    <col min="20" max="20" width="17.453125" style="41" customWidth="1"/>
    <col min="21" max="21" width="15.54296875" style="41" customWidth="1"/>
    <col min="22" max="22" width="23.453125" style="41" customWidth="1"/>
    <col min="23" max="23" width="28.453125" style="41" bestFit="1" customWidth="1"/>
    <col min="24" max="24" width="25.453125" style="41" bestFit="1" customWidth="1"/>
    <col min="25" max="25" width="22.90625" style="40" customWidth="1"/>
    <col min="26" max="28" width="21.54296875" style="41" customWidth="1"/>
    <col min="29" max="29" width="21.54296875" style="40" customWidth="1"/>
    <col min="30" max="30" width="21.54296875" style="41" customWidth="1"/>
    <col min="31" max="31" width="24" style="41" customWidth="1"/>
    <col min="32" max="32" width="16.54296875" style="41" customWidth="1"/>
    <col min="33" max="33" width="35" style="41" customWidth="1"/>
    <col min="34" max="34" width="22.08984375" style="41" customWidth="1"/>
    <col min="35" max="35" width="35" style="41" customWidth="1"/>
    <col min="36" max="36" width="30.90625" style="41" customWidth="1"/>
    <col min="37" max="37" width="32.54296875" style="41" customWidth="1"/>
    <col min="38" max="38" width="22.08984375" style="40" customWidth="1"/>
    <col min="39" max="39" width="15.54296875" style="41" customWidth="1"/>
    <col min="40" max="40" width="24.90625" style="40" customWidth="1"/>
    <col min="41" max="41" width="16.453125" style="41" customWidth="1"/>
    <col min="42" max="42" width="16.54296875" style="41" customWidth="1"/>
    <col min="43" max="43" width="22.54296875" style="41" customWidth="1"/>
    <col min="44" max="44" width="25.08984375" style="41" customWidth="1"/>
    <col min="45" max="45" width="15.6328125" style="41" customWidth="1"/>
    <col min="46" max="46" width="21.90625" style="41" customWidth="1"/>
    <col min="47" max="47" width="17" style="41" bestFit="1" customWidth="1"/>
    <col min="48" max="48" width="19.36328125" style="41" customWidth="1"/>
    <col min="49" max="49" width="21.36328125" style="41" customWidth="1"/>
    <col min="50" max="50" width="31.453125" style="41" customWidth="1"/>
    <col min="51" max="51" width="25.54296875" style="40" customWidth="1"/>
    <col min="52" max="52" width="36.90625" customWidth="1"/>
    <col min="53" max="53" width="52.90625" customWidth="1"/>
  </cols>
  <sheetData>
    <row r="1" spans="6:53" x14ac:dyDescent="0.35">
      <c r="F1" s="10"/>
      <c r="G1"/>
      <c r="H1"/>
      <c r="I1"/>
      <c r="J1"/>
      <c r="K1"/>
      <c r="L1"/>
      <c r="M1"/>
      <c r="N1"/>
      <c r="O1"/>
      <c r="P1"/>
      <c r="Q1"/>
      <c r="R1"/>
      <c r="S1"/>
      <c r="T1"/>
      <c r="U1"/>
      <c r="V1"/>
      <c r="W1"/>
      <c r="X1"/>
      <c r="Y1"/>
      <c r="Z1"/>
      <c r="AA1"/>
      <c r="AB1"/>
      <c r="AC1"/>
      <c r="AD1"/>
      <c r="AE1"/>
      <c r="AF1"/>
      <c r="AG1" s="10"/>
      <c r="AH1"/>
      <c r="AI1"/>
      <c r="AJ1"/>
      <c r="AK1"/>
      <c r="AL1"/>
      <c r="AM1"/>
      <c r="AN1"/>
      <c r="AO1"/>
      <c r="AP1"/>
      <c r="AQ1"/>
      <c r="AR1"/>
      <c r="AS1"/>
      <c r="AT1"/>
      <c r="AU1"/>
      <c r="AV1"/>
      <c r="AW1"/>
      <c r="AX1"/>
      <c r="AY1"/>
    </row>
    <row r="2" spans="6:53" x14ac:dyDescent="0.35">
      <c r="F2" s="10"/>
      <c r="G2"/>
      <c r="H2"/>
      <c r="I2"/>
      <c r="J2"/>
      <c r="K2"/>
      <c r="L2"/>
      <c r="M2"/>
      <c r="N2"/>
      <c r="O2"/>
      <c r="P2"/>
      <c r="Q2"/>
      <c r="R2"/>
      <c r="S2"/>
      <c r="T2"/>
      <c r="U2"/>
      <c r="V2"/>
      <c r="W2"/>
      <c r="X2"/>
      <c r="Y2"/>
      <c r="Z2"/>
      <c r="AA2"/>
      <c r="AB2"/>
      <c r="AC2"/>
      <c r="AD2"/>
      <c r="AE2"/>
      <c r="AF2"/>
      <c r="AG2" s="10"/>
      <c r="AH2"/>
      <c r="AI2"/>
      <c r="AJ2"/>
      <c r="AK2"/>
      <c r="AL2"/>
      <c r="AM2"/>
      <c r="AN2"/>
      <c r="AO2"/>
      <c r="AP2"/>
      <c r="AQ2"/>
      <c r="AR2"/>
      <c r="AS2"/>
      <c r="AT2"/>
      <c r="AU2"/>
      <c r="AV2"/>
      <c r="AW2"/>
      <c r="AX2"/>
      <c r="AY2"/>
    </row>
    <row r="3" spans="6:53" x14ac:dyDescent="0.35">
      <c r="F3" s="10"/>
      <c r="G3"/>
      <c r="H3"/>
      <c r="I3"/>
      <c r="J3"/>
      <c r="K3"/>
      <c r="L3"/>
      <c r="M3"/>
      <c r="N3"/>
      <c r="O3"/>
      <c r="P3"/>
      <c r="Q3"/>
      <c r="R3"/>
      <c r="S3"/>
      <c r="T3"/>
      <c r="U3"/>
      <c r="V3"/>
      <c r="W3"/>
      <c r="X3"/>
      <c r="Y3"/>
      <c r="Z3"/>
      <c r="AA3"/>
      <c r="AB3"/>
      <c r="AC3"/>
      <c r="AD3"/>
      <c r="AE3"/>
      <c r="AF3"/>
      <c r="AG3" s="10"/>
      <c r="AH3"/>
      <c r="AI3"/>
      <c r="AJ3"/>
      <c r="AK3"/>
      <c r="AL3"/>
      <c r="AM3"/>
      <c r="AN3"/>
      <c r="AO3"/>
      <c r="AP3"/>
      <c r="AQ3"/>
      <c r="AR3"/>
      <c r="AS3"/>
      <c r="AT3"/>
      <c r="AU3"/>
      <c r="AV3"/>
      <c r="AW3"/>
      <c r="AX3"/>
      <c r="AY3"/>
    </row>
    <row r="4" spans="6:53" x14ac:dyDescent="0.35">
      <c r="F4" s="10"/>
      <c r="G4"/>
      <c r="H4"/>
      <c r="I4"/>
      <c r="J4"/>
      <c r="K4"/>
      <c r="L4"/>
      <c r="M4"/>
      <c r="N4"/>
      <c r="O4"/>
      <c r="P4"/>
      <c r="Q4"/>
      <c r="R4"/>
      <c r="S4"/>
      <c r="T4"/>
      <c r="U4"/>
      <c r="V4"/>
      <c r="W4"/>
      <c r="X4"/>
      <c r="Y4"/>
      <c r="Z4"/>
      <c r="AA4"/>
      <c r="AB4"/>
      <c r="AC4"/>
      <c r="AD4"/>
      <c r="AE4"/>
      <c r="AF4"/>
      <c r="AG4" s="10"/>
      <c r="AH4"/>
      <c r="AI4"/>
      <c r="AJ4"/>
      <c r="AK4"/>
      <c r="AL4"/>
      <c r="AM4"/>
      <c r="AN4"/>
      <c r="AO4"/>
      <c r="AP4"/>
      <c r="AQ4"/>
      <c r="AR4"/>
      <c r="AS4"/>
      <c r="AT4"/>
      <c r="AU4"/>
      <c r="AV4"/>
      <c r="AW4"/>
      <c r="AX4"/>
      <c r="AY4"/>
    </row>
    <row r="5" spans="6:53" x14ac:dyDescent="0.35">
      <c r="F5" s="10"/>
      <c r="G5"/>
      <c r="H5"/>
      <c r="I5"/>
      <c r="J5"/>
      <c r="K5"/>
      <c r="L5"/>
      <c r="M5"/>
      <c r="N5"/>
      <c r="O5"/>
      <c r="P5"/>
      <c r="Q5"/>
      <c r="R5"/>
      <c r="S5"/>
      <c r="T5"/>
      <c r="U5"/>
      <c r="V5"/>
      <c r="W5"/>
      <c r="X5"/>
      <c r="Y5"/>
      <c r="Z5"/>
      <c r="AA5"/>
      <c r="AB5"/>
      <c r="AC5"/>
      <c r="AD5"/>
      <c r="AE5"/>
      <c r="AF5"/>
      <c r="AG5" s="10"/>
      <c r="AH5"/>
      <c r="AI5"/>
      <c r="AJ5"/>
      <c r="AK5"/>
      <c r="AL5"/>
      <c r="AM5"/>
      <c r="AN5"/>
      <c r="AO5"/>
      <c r="AP5"/>
      <c r="AQ5"/>
      <c r="AR5"/>
      <c r="AS5"/>
      <c r="AT5"/>
      <c r="AU5"/>
      <c r="AV5"/>
      <c r="AW5"/>
      <c r="AX5"/>
      <c r="AY5"/>
    </row>
    <row r="6" spans="6:53" x14ac:dyDescent="0.35">
      <c r="F6" s="10"/>
      <c r="G6"/>
      <c r="H6"/>
      <c r="I6"/>
      <c r="J6"/>
      <c r="K6"/>
      <c r="L6"/>
      <c r="M6"/>
      <c r="N6"/>
      <c r="O6"/>
      <c r="P6"/>
      <c r="Q6"/>
      <c r="R6"/>
      <c r="S6"/>
      <c r="T6"/>
      <c r="U6"/>
      <c r="V6"/>
      <c r="W6"/>
      <c r="X6"/>
      <c r="Y6"/>
      <c r="Z6"/>
      <c r="AA6"/>
      <c r="AB6"/>
      <c r="AC6"/>
      <c r="AD6"/>
      <c r="AE6"/>
      <c r="AF6"/>
      <c r="AG6" s="10"/>
      <c r="AH6"/>
      <c r="AI6"/>
      <c r="AJ6"/>
      <c r="AK6"/>
      <c r="AL6"/>
      <c r="AM6"/>
      <c r="AN6"/>
      <c r="AO6"/>
      <c r="AP6"/>
      <c r="AQ6"/>
      <c r="AR6"/>
      <c r="AS6"/>
      <c r="AT6"/>
      <c r="AU6"/>
      <c r="AV6"/>
      <c r="AW6"/>
      <c r="AX6"/>
      <c r="AY6"/>
    </row>
    <row r="7" spans="6:53" ht="52.4" customHeight="1" x14ac:dyDescent="0.35">
      <c r="F7" s="5" t="s">
        <v>81</v>
      </c>
      <c r="G7" s="4" t="s">
        <v>0</v>
      </c>
      <c r="H7" s="4" t="s">
        <v>1</v>
      </c>
      <c r="I7" s="5" t="s">
        <v>3</v>
      </c>
      <c r="J7" s="4" t="s">
        <v>93</v>
      </c>
      <c r="K7" s="4" t="s">
        <v>94</v>
      </c>
      <c r="L7" s="5" t="s">
        <v>92</v>
      </c>
      <c r="M7" s="5" t="s">
        <v>79</v>
      </c>
      <c r="N7" s="5" t="s">
        <v>98</v>
      </c>
      <c r="O7" s="4" t="s">
        <v>4</v>
      </c>
      <c r="P7" s="4" t="s">
        <v>5</v>
      </c>
      <c r="Q7" s="4" t="s">
        <v>91</v>
      </c>
      <c r="R7" s="4" t="s">
        <v>6</v>
      </c>
      <c r="S7" s="4" t="s">
        <v>7</v>
      </c>
      <c r="T7" s="5" t="s">
        <v>555</v>
      </c>
      <c r="U7" s="4" t="s">
        <v>8</v>
      </c>
      <c r="V7" s="4" t="s">
        <v>95</v>
      </c>
      <c r="W7" s="4" t="s">
        <v>96</v>
      </c>
      <c r="X7" s="4" t="s">
        <v>97</v>
      </c>
      <c r="Y7" s="4" t="s">
        <v>42</v>
      </c>
      <c r="Z7" s="4" t="s">
        <v>43</v>
      </c>
      <c r="AA7" s="4" t="s">
        <v>38</v>
      </c>
      <c r="AB7" s="4" t="s">
        <v>39</v>
      </c>
      <c r="AC7" s="4" t="s">
        <v>44</v>
      </c>
      <c r="AD7" s="4" t="s">
        <v>45</v>
      </c>
      <c r="AE7" s="4" t="s">
        <v>40</v>
      </c>
      <c r="AF7" s="4" t="s">
        <v>41</v>
      </c>
      <c r="AG7" s="5" t="s">
        <v>14</v>
      </c>
      <c r="AH7" s="4" t="s">
        <v>15</v>
      </c>
      <c r="AI7" s="5" t="s">
        <v>16</v>
      </c>
      <c r="AJ7" s="5" t="s">
        <v>240</v>
      </c>
      <c r="AK7" s="5" t="s">
        <v>239</v>
      </c>
      <c r="AL7" s="5" t="s">
        <v>17</v>
      </c>
      <c r="AM7" s="5" t="s">
        <v>18</v>
      </c>
      <c r="AN7" s="5" t="s">
        <v>33</v>
      </c>
      <c r="AO7" s="5" t="s">
        <v>19</v>
      </c>
      <c r="AP7" s="4" t="s">
        <v>20</v>
      </c>
      <c r="AQ7" s="4" t="s">
        <v>21</v>
      </c>
      <c r="AR7" s="4" t="s">
        <v>22</v>
      </c>
      <c r="AS7" s="5" t="s">
        <v>237</v>
      </c>
      <c r="AT7" s="4" t="s">
        <v>23</v>
      </c>
      <c r="AU7" s="4" t="s">
        <v>24</v>
      </c>
      <c r="AV7" s="5" t="s">
        <v>238</v>
      </c>
      <c r="AW7" s="5" t="s">
        <v>80</v>
      </c>
      <c r="AX7" s="5" t="s">
        <v>86</v>
      </c>
      <c r="AY7" s="5" t="s">
        <v>87</v>
      </c>
      <c r="AZ7" s="4" t="s">
        <v>26</v>
      </c>
      <c r="BA7" s="6" t="s">
        <v>25</v>
      </c>
    </row>
    <row r="8" spans="6:53" ht="29" x14ac:dyDescent="0.35">
      <c r="F8" s="40" t="s">
        <v>241</v>
      </c>
      <c r="G8" s="61" t="s">
        <v>600</v>
      </c>
      <c r="H8" s="40" t="s">
        <v>600</v>
      </c>
      <c r="I8" s="41" t="s">
        <v>223</v>
      </c>
      <c r="J8" s="41" t="s">
        <v>601</v>
      </c>
      <c r="K8" s="41" t="s">
        <v>602</v>
      </c>
      <c r="L8" s="40" t="s">
        <v>603</v>
      </c>
      <c r="O8" s="40" t="s">
        <v>104</v>
      </c>
      <c r="P8" s="41" t="s">
        <v>104</v>
      </c>
      <c r="Q8" s="41" t="s">
        <v>104</v>
      </c>
      <c r="R8" s="41" t="s">
        <v>104</v>
      </c>
      <c r="S8" s="40" t="s">
        <v>169</v>
      </c>
      <c r="U8" s="41" t="s">
        <v>104</v>
      </c>
      <c r="V8" s="41" t="s">
        <v>104</v>
      </c>
      <c r="W8" s="41" t="s">
        <v>104</v>
      </c>
      <c r="X8" s="41" t="s">
        <v>104</v>
      </c>
      <c r="Y8" s="40" t="s">
        <v>604</v>
      </c>
      <c r="Z8" s="41" t="s">
        <v>607</v>
      </c>
      <c r="AA8" s="41" t="s">
        <v>121</v>
      </c>
      <c r="AB8" s="41">
        <v>568</v>
      </c>
      <c r="AC8" s="40" t="s">
        <v>604</v>
      </c>
      <c r="AD8" s="41" t="s">
        <v>607</v>
      </c>
      <c r="AE8" s="41" t="s">
        <v>121</v>
      </c>
      <c r="AF8" s="41">
        <v>568</v>
      </c>
      <c r="AG8" s="41" t="s">
        <v>138</v>
      </c>
      <c r="AH8" s="41" t="s">
        <v>169</v>
      </c>
      <c r="AI8" s="41">
        <v>1</v>
      </c>
      <c r="AJ8" s="41">
        <v>1</v>
      </c>
      <c r="AK8" s="41">
        <v>0</v>
      </c>
      <c r="AL8" s="42">
        <v>0</v>
      </c>
      <c r="AM8" s="41" t="s">
        <v>144</v>
      </c>
      <c r="AN8" s="42">
        <v>0</v>
      </c>
      <c r="AO8" s="41" t="s">
        <v>104</v>
      </c>
      <c r="AP8" s="41" t="s">
        <v>541</v>
      </c>
      <c r="AQ8" s="41" t="s">
        <v>104</v>
      </c>
      <c r="AR8" s="41" t="s">
        <v>165</v>
      </c>
      <c r="AS8" s="41" t="s">
        <v>169</v>
      </c>
      <c r="AT8" s="41" t="s">
        <v>104</v>
      </c>
      <c r="AU8" s="41" t="s">
        <v>173</v>
      </c>
      <c r="AW8" s="41" t="s">
        <v>170</v>
      </c>
      <c r="AX8" s="41" t="s">
        <v>66</v>
      </c>
      <c r="AY8" s="41" t="s">
        <v>245</v>
      </c>
      <c r="AZ8" s="40"/>
      <c r="BA8" s="40"/>
    </row>
    <row r="9" spans="6:53" ht="29" x14ac:dyDescent="0.35">
      <c r="F9" s="40" t="s">
        <v>1022</v>
      </c>
      <c r="G9" s="85" t="s">
        <v>637</v>
      </c>
      <c r="H9" s="40" t="s">
        <v>637</v>
      </c>
      <c r="I9" s="41" t="s">
        <v>223</v>
      </c>
      <c r="J9" s="41" t="s">
        <v>601</v>
      </c>
      <c r="K9" s="41" t="s">
        <v>602</v>
      </c>
      <c r="L9" s="40" t="s">
        <v>603</v>
      </c>
      <c r="O9" s="40" t="s">
        <v>104</v>
      </c>
      <c r="P9" s="41" t="s">
        <v>104</v>
      </c>
      <c r="Q9" s="41" t="s">
        <v>104</v>
      </c>
      <c r="R9" s="41" t="s">
        <v>104</v>
      </c>
      <c r="S9" s="40" t="s">
        <v>169</v>
      </c>
      <c r="U9" s="41" t="s">
        <v>104</v>
      </c>
      <c r="V9" s="41" t="s">
        <v>104</v>
      </c>
      <c r="W9" s="41" t="s">
        <v>104</v>
      </c>
      <c r="X9" s="41" t="s">
        <v>104</v>
      </c>
      <c r="Y9" s="40" t="s">
        <v>604</v>
      </c>
      <c r="Z9" s="41" t="s">
        <v>605</v>
      </c>
      <c r="AA9" s="41" t="s">
        <v>120</v>
      </c>
      <c r="AB9" s="41" t="s">
        <v>2207</v>
      </c>
      <c r="AC9" s="40" t="s">
        <v>604</v>
      </c>
      <c r="AD9" s="41" t="s">
        <v>605</v>
      </c>
      <c r="AE9" s="41" t="s">
        <v>120</v>
      </c>
      <c r="AF9" s="41" t="s">
        <v>2207</v>
      </c>
      <c r="AG9" s="41" t="s">
        <v>138</v>
      </c>
      <c r="AH9" s="41" t="s">
        <v>169</v>
      </c>
      <c r="AI9" s="41">
        <v>6</v>
      </c>
      <c r="AJ9" s="41">
        <v>6</v>
      </c>
      <c r="AK9" s="41">
        <v>0</v>
      </c>
      <c r="AL9" s="42">
        <v>0</v>
      </c>
      <c r="AM9" s="41" t="s">
        <v>144</v>
      </c>
      <c r="AN9" s="42">
        <v>0</v>
      </c>
      <c r="AO9" s="41" t="s">
        <v>104</v>
      </c>
      <c r="AP9" s="41" t="s">
        <v>541</v>
      </c>
      <c r="AQ9" s="41" t="s">
        <v>104</v>
      </c>
      <c r="AR9" s="41" t="s">
        <v>165</v>
      </c>
      <c r="AS9" s="41" t="s">
        <v>169</v>
      </c>
      <c r="AT9" s="41" t="s">
        <v>104</v>
      </c>
      <c r="AU9" s="41" t="s">
        <v>173</v>
      </c>
      <c r="AW9" s="41" t="s">
        <v>170</v>
      </c>
      <c r="AX9" s="41" t="s">
        <v>1458</v>
      </c>
      <c r="AY9" s="41" t="s">
        <v>1894</v>
      </c>
      <c r="AZ9" s="40"/>
      <c r="BA9" s="40"/>
    </row>
    <row r="10" spans="6:53" ht="29" x14ac:dyDescent="0.35">
      <c r="F10" s="40" t="s">
        <v>1005</v>
      </c>
      <c r="G10" s="85" t="s">
        <v>609</v>
      </c>
      <c r="H10" s="40" t="s">
        <v>609</v>
      </c>
      <c r="I10" s="41" t="s">
        <v>223</v>
      </c>
      <c r="J10" s="41" t="s">
        <v>601</v>
      </c>
      <c r="K10" s="41" t="s">
        <v>602</v>
      </c>
      <c r="L10" s="40" t="s">
        <v>603</v>
      </c>
      <c r="O10" s="40" t="s">
        <v>104</v>
      </c>
      <c r="P10" s="41" t="s">
        <v>104</v>
      </c>
      <c r="Q10" s="41" t="s">
        <v>104</v>
      </c>
      <c r="R10" s="41" t="s">
        <v>104</v>
      </c>
      <c r="S10" s="40" t="s">
        <v>169</v>
      </c>
      <c r="U10" s="41" t="s">
        <v>104</v>
      </c>
      <c r="V10" s="41" t="s">
        <v>104</v>
      </c>
      <c r="W10" s="41" t="s">
        <v>104</v>
      </c>
      <c r="X10" s="41" t="s">
        <v>104</v>
      </c>
      <c r="Y10" s="40" t="s">
        <v>604</v>
      </c>
      <c r="Z10" s="41" t="s">
        <v>607</v>
      </c>
      <c r="AA10" s="41" t="s">
        <v>117</v>
      </c>
      <c r="AB10" s="41" t="s">
        <v>2214</v>
      </c>
      <c r="AC10" s="40" t="s">
        <v>604</v>
      </c>
      <c r="AD10" s="41" t="s">
        <v>607</v>
      </c>
      <c r="AE10" s="41" t="s">
        <v>117</v>
      </c>
      <c r="AF10" s="41" t="s">
        <v>2214</v>
      </c>
      <c r="AG10" s="41" t="s">
        <v>138</v>
      </c>
      <c r="AH10" s="41" t="s">
        <v>169</v>
      </c>
      <c r="AI10" s="41">
        <v>3</v>
      </c>
      <c r="AJ10" s="41">
        <v>3</v>
      </c>
      <c r="AK10" s="41">
        <v>0</v>
      </c>
      <c r="AL10" s="42">
        <v>0</v>
      </c>
      <c r="AM10" s="41" t="s">
        <v>144</v>
      </c>
      <c r="AN10" s="42">
        <v>0</v>
      </c>
      <c r="AO10" s="41" t="s">
        <v>104</v>
      </c>
      <c r="AP10" s="41" t="s">
        <v>541</v>
      </c>
      <c r="AQ10" s="41" t="s">
        <v>104</v>
      </c>
      <c r="AR10" s="41" t="s">
        <v>165</v>
      </c>
      <c r="AS10" s="41" t="s">
        <v>169</v>
      </c>
      <c r="AT10" s="41" t="s">
        <v>104</v>
      </c>
      <c r="AU10" s="41" t="s">
        <v>173</v>
      </c>
      <c r="AW10" s="41" t="s">
        <v>170</v>
      </c>
      <c r="AX10" s="41" t="s">
        <v>1441</v>
      </c>
      <c r="AY10" s="41" t="s">
        <v>1877</v>
      </c>
      <c r="AZ10" s="40"/>
      <c r="BA10" s="40"/>
    </row>
    <row r="11" spans="6:53" ht="29" x14ac:dyDescent="0.35">
      <c r="F11" s="40" t="s">
        <v>1006</v>
      </c>
      <c r="G11" s="85" t="s">
        <v>610</v>
      </c>
      <c r="H11" s="40" t="s">
        <v>610</v>
      </c>
      <c r="I11" s="41" t="s">
        <v>223</v>
      </c>
      <c r="J11" s="41" t="s">
        <v>601</v>
      </c>
      <c r="K11" s="41" t="s">
        <v>602</v>
      </c>
      <c r="L11" s="40" t="s">
        <v>603</v>
      </c>
      <c r="O11" s="40" t="s">
        <v>104</v>
      </c>
      <c r="P11" s="41" t="s">
        <v>104</v>
      </c>
      <c r="Q11" s="41" t="s">
        <v>104</v>
      </c>
      <c r="R11" s="41" t="s">
        <v>104</v>
      </c>
      <c r="S11" s="40" t="s">
        <v>169</v>
      </c>
      <c r="T11" s="41" t="s">
        <v>611</v>
      </c>
      <c r="U11" s="41" t="s">
        <v>104</v>
      </c>
      <c r="V11" s="41" t="s">
        <v>104</v>
      </c>
      <c r="W11" s="41" t="s">
        <v>104</v>
      </c>
      <c r="X11" s="41" t="s">
        <v>104</v>
      </c>
      <c r="Y11" s="40" t="s">
        <v>604</v>
      </c>
      <c r="Z11" s="41" t="s">
        <v>605</v>
      </c>
      <c r="AA11" s="41" t="s">
        <v>117</v>
      </c>
      <c r="AB11" s="41" t="s">
        <v>612</v>
      </c>
      <c r="AC11" s="40" t="s">
        <v>604</v>
      </c>
      <c r="AD11" s="41" t="s">
        <v>605</v>
      </c>
      <c r="AE11" s="41" t="s">
        <v>120</v>
      </c>
      <c r="AF11" s="41" t="s">
        <v>2207</v>
      </c>
      <c r="AG11" s="41" t="s">
        <v>138</v>
      </c>
      <c r="AH11" s="41" t="s">
        <v>169</v>
      </c>
      <c r="AI11" s="41">
        <v>2</v>
      </c>
      <c r="AJ11" s="41">
        <v>2</v>
      </c>
      <c r="AK11" s="41">
        <v>0</v>
      </c>
      <c r="AL11" s="42">
        <v>0</v>
      </c>
      <c r="AM11" s="41" t="s">
        <v>144</v>
      </c>
      <c r="AN11" s="42">
        <v>0</v>
      </c>
      <c r="AO11" s="41" t="s">
        <v>104</v>
      </c>
      <c r="AP11" s="41" t="s">
        <v>541</v>
      </c>
      <c r="AQ11" s="41" t="s">
        <v>104</v>
      </c>
      <c r="AR11" s="41" t="s">
        <v>165</v>
      </c>
      <c r="AS11" s="41" t="s">
        <v>169</v>
      </c>
      <c r="AT11" s="41" t="s">
        <v>104</v>
      </c>
      <c r="AU11" s="41" t="s">
        <v>173</v>
      </c>
      <c r="AW11" s="41" t="s">
        <v>170</v>
      </c>
      <c r="AX11" s="41" t="s">
        <v>1442</v>
      </c>
      <c r="AY11" s="41" t="s">
        <v>1878</v>
      </c>
      <c r="AZ11" s="40"/>
      <c r="BA11" s="40"/>
    </row>
    <row r="12" spans="6:53" ht="29" x14ac:dyDescent="0.35">
      <c r="F12" s="40" t="s">
        <v>1007</v>
      </c>
      <c r="G12" s="85" t="s">
        <v>613</v>
      </c>
      <c r="H12" s="40" t="s">
        <v>613</v>
      </c>
      <c r="I12" s="41" t="s">
        <v>223</v>
      </c>
      <c r="J12" s="41" t="s">
        <v>601</v>
      </c>
      <c r="K12" s="41" t="s">
        <v>602</v>
      </c>
      <c r="L12" s="40" t="s">
        <v>603</v>
      </c>
      <c r="O12" s="40" t="s">
        <v>104</v>
      </c>
      <c r="P12" s="41" t="s">
        <v>104</v>
      </c>
      <c r="Q12" s="41" t="s">
        <v>104</v>
      </c>
      <c r="R12" s="41" t="s">
        <v>104</v>
      </c>
      <c r="S12" s="40" t="s">
        <v>169</v>
      </c>
      <c r="T12" s="41" t="s">
        <v>614</v>
      </c>
      <c r="U12" s="41" t="s">
        <v>104</v>
      </c>
      <c r="V12" s="41" t="s">
        <v>104</v>
      </c>
      <c r="W12" s="41" t="s">
        <v>104</v>
      </c>
      <c r="X12" s="41" t="s">
        <v>104</v>
      </c>
      <c r="Y12" s="40" t="s">
        <v>604</v>
      </c>
      <c r="Z12" s="41" t="s">
        <v>605</v>
      </c>
      <c r="AA12" s="41" t="s">
        <v>117</v>
      </c>
      <c r="AB12" s="41" t="s">
        <v>612</v>
      </c>
      <c r="AC12" s="40" t="s">
        <v>604</v>
      </c>
      <c r="AD12" s="41" t="s">
        <v>605</v>
      </c>
      <c r="AE12" s="41" t="s">
        <v>102</v>
      </c>
      <c r="AF12" s="41" t="s">
        <v>2212</v>
      </c>
      <c r="AG12" s="41" t="s">
        <v>138</v>
      </c>
      <c r="AH12" s="41" t="s">
        <v>169</v>
      </c>
      <c r="AI12" s="41">
        <v>1</v>
      </c>
      <c r="AJ12" s="41">
        <v>1</v>
      </c>
      <c r="AK12" s="41">
        <v>0</v>
      </c>
      <c r="AL12" s="42">
        <v>0</v>
      </c>
      <c r="AM12" s="41" t="s">
        <v>144</v>
      </c>
      <c r="AN12" s="42">
        <v>0</v>
      </c>
      <c r="AO12" s="41" t="s">
        <v>104</v>
      </c>
      <c r="AP12" s="41" t="s">
        <v>541</v>
      </c>
      <c r="AQ12" s="41" t="s">
        <v>104</v>
      </c>
      <c r="AR12" s="41" t="s">
        <v>165</v>
      </c>
      <c r="AS12" s="41" t="s">
        <v>169</v>
      </c>
      <c r="AT12" s="41" t="s">
        <v>104</v>
      </c>
      <c r="AU12" s="41" t="s">
        <v>173</v>
      </c>
      <c r="AW12" s="41" t="s">
        <v>170</v>
      </c>
      <c r="AX12" s="41" t="s">
        <v>1443</v>
      </c>
      <c r="AY12" s="41" t="s">
        <v>1879</v>
      </c>
      <c r="AZ12" s="40"/>
      <c r="BA12" s="40"/>
    </row>
    <row r="13" spans="6:53" ht="29" x14ac:dyDescent="0.35">
      <c r="F13" s="40" t="s">
        <v>1008</v>
      </c>
      <c r="G13" s="85" t="s">
        <v>615</v>
      </c>
      <c r="H13" s="40" t="s">
        <v>615</v>
      </c>
      <c r="I13" s="41" t="s">
        <v>223</v>
      </c>
      <c r="J13" s="41" t="s">
        <v>601</v>
      </c>
      <c r="K13" s="41" t="s">
        <v>602</v>
      </c>
      <c r="L13" s="40" t="s">
        <v>603</v>
      </c>
      <c r="O13" s="40" t="s">
        <v>104</v>
      </c>
      <c r="P13" s="41" t="s">
        <v>104</v>
      </c>
      <c r="Q13" s="41" t="s">
        <v>104</v>
      </c>
      <c r="R13" s="41" t="s">
        <v>104</v>
      </c>
      <c r="S13" s="40" t="s">
        <v>169</v>
      </c>
      <c r="U13" s="41" t="s">
        <v>104</v>
      </c>
      <c r="V13" s="41" t="s">
        <v>104</v>
      </c>
      <c r="W13" s="41" t="s">
        <v>104</v>
      </c>
      <c r="X13" s="41" t="s">
        <v>104</v>
      </c>
      <c r="Y13" s="40" t="s">
        <v>604</v>
      </c>
      <c r="Z13" s="41" t="s">
        <v>607</v>
      </c>
      <c r="AA13" s="41" t="s">
        <v>117</v>
      </c>
      <c r="AB13" s="41">
        <v>503</v>
      </c>
      <c r="AC13" s="40" t="s">
        <v>604</v>
      </c>
      <c r="AD13" s="41" t="s">
        <v>607</v>
      </c>
      <c r="AE13" s="41" t="s">
        <v>117</v>
      </c>
      <c r="AF13" s="41">
        <v>503</v>
      </c>
      <c r="AG13" s="41" t="s">
        <v>138</v>
      </c>
      <c r="AH13" s="41" t="s">
        <v>169</v>
      </c>
      <c r="AI13" s="41">
        <v>1</v>
      </c>
      <c r="AJ13" s="41">
        <v>1</v>
      </c>
      <c r="AK13" s="41">
        <v>0</v>
      </c>
      <c r="AL13" s="42">
        <v>0</v>
      </c>
      <c r="AM13" s="41" t="s">
        <v>144</v>
      </c>
      <c r="AN13" s="42">
        <v>0</v>
      </c>
      <c r="AO13" s="41" t="s">
        <v>104</v>
      </c>
      <c r="AP13" s="41" t="s">
        <v>541</v>
      </c>
      <c r="AQ13" s="41" t="s">
        <v>104</v>
      </c>
      <c r="AR13" s="41" t="s">
        <v>165</v>
      </c>
      <c r="AS13" s="41" t="s">
        <v>169</v>
      </c>
      <c r="AT13" s="41" t="s">
        <v>104</v>
      </c>
      <c r="AU13" s="41" t="s">
        <v>173</v>
      </c>
      <c r="AW13" s="41" t="s">
        <v>170</v>
      </c>
      <c r="AX13" s="41" t="s">
        <v>1444</v>
      </c>
      <c r="AY13" s="41" t="s">
        <v>1880</v>
      </c>
      <c r="AZ13" s="40"/>
      <c r="BA13" s="40"/>
    </row>
    <row r="14" spans="6:53" ht="29" x14ac:dyDescent="0.35">
      <c r="F14" s="40" t="s">
        <v>1009</v>
      </c>
      <c r="G14" s="85" t="s">
        <v>616</v>
      </c>
      <c r="H14" s="40" t="s">
        <v>616</v>
      </c>
      <c r="I14" s="41" t="s">
        <v>223</v>
      </c>
      <c r="J14" s="41" t="s">
        <v>601</v>
      </c>
      <c r="K14" s="41" t="s">
        <v>602</v>
      </c>
      <c r="L14" s="40" t="s">
        <v>603</v>
      </c>
      <c r="O14" s="40" t="s">
        <v>104</v>
      </c>
      <c r="P14" s="41" t="s">
        <v>104</v>
      </c>
      <c r="Q14" s="41" t="s">
        <v>104</v>
      </c>
      <c r="R14" s="41" t="s">
        <v>104</v>
      </c>
      <c r="S14" s="40" t="s">
        <v>169</v>
      </c>
      <c r="U14" s="41" t="s">
        <v>104</v>
      </c>
      <c r="V14" s="41" t="s">
        <v>104</v>
      </c>
      <c r="W14" s="41" t="s">
        <v>104</v>
      </c>
      <c r="X14" s="41" t="s">
        <v>104</v>
      </c>
      <c r="Y14" s="40" t="s">
        <v>604</v>
      </c>
      <c r="Z14" s="41" t="s">
        <v>607</v>
      </c>
      <c r="AA14" s="41" t="s">
        <v>117</v>
      </c>
      <c r="AB14" s="41">
        <v>503</v>
      </c>
      <c r="AC14" s="40" t="s">
        <v>604</v>
      </c>
      <c r="AD14" s="41" t="s">
        <v>607</v>
      </c>
      <c r="AE14" s="41" t="s">
        <v>117</v>
      </c>
      <c r="AF14" s="41">
        <v>503</v>
      </c>
      <c r="AG14" s="41" t="s">
        <v>138</v>
      </c>
      <c r="AH14" s="41" t="s">
        <v>169</v>
      </c>
      <c r="AI14" s="41">
        <v>2</v>
      </c>
      <c r="AJ14" s="41">
        <v>2</v>
      </c>
      <c r="AK14" s="41">
        <v>0</v>
      </c>
      <c r="AL14" s="42">
        <v>0</v>
      </c>
      <c r="AM14" s="41" t="s">
        <v>144</v>
      </c>
      <c r="AN14" s="42">
        <v>0</v>
      </c>
      <c r="AO14" s="41" t="s">
        <v>104</v>
      </c>
      <c r="AP14" s="41" t="s">
        <v>541</v>
      </c>
      <c r="AQ14" s="41" t="s">
        <v>104</v>
      </c>
      <c r="AR14" s="41" t="s">
        <v>165</v>
      </c>
      <c r="AS14" s="41" t="s">
        <v>169</v>
      </c>
      <c r="AT14" s="41" t="s">
        <v>104</v>
      </c>
      <c r="AU14" s="41" t="s">
        <v>173</v>
      </c>
      <c r="AW14" s="41" t="s">
        <v>170</v>
      </c>
      <c r="AX14" s="41" t="s">
        <v>1445</v>
      </c>
      <c r="AY14" s="41" t="s">
        <v>1881</v>
      </c>
      <c r="AZ14" s="40"/>
      <c r="BA14" s="40"/>
    </row>
    <row r="15" spans="6:53" ht="29" x14ac:dyDescent="0.35">
      <c r="F15" s="40" t="s">
        <v>1010</v>
      </c>
      <c r="G15" s="85" t="s">
        <v>617</v>
      </c>
      <c r="H15" s="40" t="s">
        <v>617</v>
      </c>
      <c r="I15" s="41" t="s">
        <v>223</v>
      </c>
      <c r="J15" s="41" t="s">
        <v>601</v>
      </c>
      <c r="K15" s="41" t="s">
        <v>602</v>
      </c>
      <c r="L15" s="40" t="s">
        <v>603</v>
      </c>
      <c r="O15" s="40" t="s">
        <v>104</v>
      </c>
      <c r="P15" s="41" t="s">
        <v>104</v>
      </c>
      <c r="Q15" s="41" t="s">
        <v>104</v>
      </c>
      <c r="R15" s="41" t="s">
        <v>104</v>
      </c>
      <c r="S15" s="40" t="s">
        <v>169</v>
      </c>
      <c r="U15" s="41" t="s">
        <v>104</v>
      </c>
      <c r="V15" s="41" t="s">
        <v>104</v>
      </c>
      <c r="W15" s="41" t="s">
        <v>104</v>
      </c>
      <c r="X15" s="41" t="s">
        <v>104</v>
      </c>
      <c r="Y15" s="40" t="s">
        <v>604</v>
      </c>
      <c r="Z15" s="41" t="s">
        <v>607</v>
      </c>
      <c r="AA15" s="41" t="s">
        <v>125</v>
      </c>
      <c r="AB15" s="41">
        <v>553</v>
      </c>
      <c r="AC15" s="40" t="s">
        <v>604</v>
      </c>
      <c r="AD15" s="41" t="s">
        <v>607</v>
      </c>
      <c r="AE15" s="41" t="s">
        <v>125</v>
      </c>
      <c r="AF15" s="41">
        <v>553</v>
      </c>
      <c r="AG15" s="41" t="s">
        <v>138</v>
      </c>
      <c r="AH15" s="41" t="s">
        <v>169</v>
      </c>
      <c r="AI15" s="41">
        <v>1</v>
      </c>
      <c r="AJ15" s="41">
        <v>1</v>
      </c>
      <c r="AK15" s="41">
        <v>0</v>
      </c>
      <c r="AL15" s="42">
        <v>0</v>
      </c>
      <c r="AM15" s="41" t="s">
        <v>144</v>
      </c>
      <c r="AN15" s="42">
        <v>0</v>
      </c>
      <c r="AO15" s="41" t="s">
        <v>104</v>
      </c>
      <c r="AP15" s="41" t="s">
        <v>541</v>
      </c>
      <c r="AQ15" s="41" t="s">
        <v>104</v>
      </c>
      <c r="AR15" s="41" t="s">
        <v>165</v>
      </c>
      <c r="AS15" s="41" t="s">
        <v>169</v>
      </c>
      <c r="AT15" s="41" t="s">
        <v>104</v>
      </c>
      <c r="AU15" s="41" t="s">
        <v>173</v>
      </c>
      <c r="AW15" s="41" t="s">
        <v>170</v>
      </c>
      <c r="AX15" s="41" t="s">
        <v>1446</v>
      </c>
      <c r="AY15" s="41" t="s">
        <v>1882</v>
      </c>
      <c r="AZ15" s="40"/>
      <c r="BA15" s="40"/>
    </row>
    <row r="16" spans="6:53" ht="29" x14ac:dyDescent="0.35">
      <c r="F16" s="40" t="s">
        <v>1011</v>
      </c>
      <c r="G16" s="85" t="s">
        <v>619</v>
      </c>
      <c r="H16" s="40" t="s">
        <v>619</v>
      </c>
      <c r="I16" s="41" t="s">
        <v>223</v>
      </c>
      <c r="J16" s="41" t="s">
        <v>601</v>
      </c>
      <c r="K16" s="41" t="s">
        <v>602</v>
      </c>
      <c r="L16" s="40" t="s">
        <v>603</v>
      </c>
      <c r="O16" s="40" t="s">
        <v>104</v>
      </c>
      <c r="P16" s="41" t="s">
        <v>104</v>
      </c>
      <c r="Q16" s="41" t="s">
        <v>104</v>
      </c>
      <c r="R16" s="41" t="s">
        <v>104</v>
      </c>
      <c r="S16" s="40" t="s">
        <v>169</v>
      </c>
      <c r="U16" s="41" t="s">
        <v>104</v>
      </c>
      <c r="V16" s="41" t="s">
        <v>104</v>
      </c>
      <c r="W16" s="41" t="s">
        <v>112</v>
      </c>
      <c r="X16" s="41" t="s">
        <v>104</v>
      </c>
      <c r="Y16" s="40" t="s">
        <v>604</v>
      </c>
      <c r="Z16" s="41" t="s">
        <v>607</v>
      </c>
      <c r="AA16" s="41" t="s">
        <v>125</v>
      </c>
      <c r="AB16" s="41">
        <v>553</v>
      </c>
      <c r="AC16" s="40" t="s">
        <v>604</v>
      </c>
      <c r="AD16" s="41" t="s">
        <v>607</v>
      </c>
      <c r="AE16" s="41" t="s">
        <v>125</v>
      </c>
      <c r="AF16" s="41">
        <v>553</v>
      </c>
      <c r="AG16" s="41" t="s">
        <v>138</v>
      </c>
      <c r="AH16" s="41" t="s">
        <v>169</v>
      </c>
      <c r="AI16" s="41">
        <v>7</v>
      </c>
      <c r="AJ16" s="41">
        <v>7</v>
      </c>
      <c r="AK16" s="41">
        <v>0</v>
      </c>
      <c r="AL16" s="42">
        <v>0</v>
      </c>
      <c r="AM16" s="41" t="s">
        <v>144</v>
      </c>
      <c r="AN16" s="42">
        <v>0</v>
      </c>
      <c r="AO16" s="41" t="s">
        <v>104</v>
      </c>
      <c r="AP16" s="41" t="s">
        <v>541</v>
      </c>
      <c r="AQ16" s="41" t="s">
        <v>104</v>
      </c>
      <c r="AR16" s="41" t="s">
        <v>165</v>
      </c>
      <c r="AS16" s="41" t="s">
        <v>169</v>
      </c>
      <c r="AT16" s="41" t="s">
        <v>104</v>
      </c>
      <c r="AU16" s="41" t="s">
        <v>173</v>
      </c>
      <c r="AW16" s="41" t="s">
        <v>170</v>
      </c>
      <c r="AX16" s="41" t="s">
        <v>1447</v>
      </c>
      <c r="AY16" s="41" t="s">
        <v>1883</v>
      </c>
      <c r="AZ16" s="40"/>
      <c r="BA16" s="40"/>
    </row>
    <row r="17" spans="6:53" ht="29" x14ac:dyDescent="0.35">
      <c r="F17" s="40" t="s">
        <v>1012</v>
      </c>
      <c r="G17" s="85" t="s">
        <v>620</v>
      </c>
      <c r="H17" s="40" t="s">
        <v>620</v>
      </c>
      <c r="I17" s="41" t="s">
        <v>223</v>
      </c>
      <c r="J17" s="41" t="s">
        <v>601</v>
      </c>
      <c r="K17" s="41" t="s">
        <v>602</v>
      </c>
      <c r="L17" s="40" t="s">
        <v>603</v>
      </c>
      <c r="O17" s="40" t="s">
        <v>104</v>
      </c>
      <c r="P17" s="41" t="s">
        <v>104</v>
      </c>
      <c r="Q17" s="41" t="s">
        <v>104</v>
      </c>
      <c r="R17" s="41" t="s">
        <v>104</v>
      </c>
      <c r="S17" s="40" t="s">
        <v>169</v>
      </c>
      <c r="U17" s="41" t="s">
        <v>104</v>
      </c>
      <c r="V17" s="41" t="s">
        <v>104</v>
      </c>
      <c r="W17" s="41" t="s">
        <v>104</v>
      </c>
      <c r="X17" s="41" t="s">
        <v>104</v>
      </c>
      <c r="Y17" s="40" t="s">
        <v>604</v>
      </c>
      <c r="Z17" s="41" t="s">
        <v>607</v>
      </c>
      <c r="AA17" s="41" t="s">
        <v>125</v>
      </c>
      <c r="AB17" s="41">
        <v>553</v>
      </c>
      <c r="AC17" s="40" t="s">
        <v>604</v>
      </c>
      <c r="AD17" s="41" t="s">
        <v>607</v>
      </c>
      <c r="AE17" s="41" t="s">
        <v>125</v>
      </c>
      <c r="AF17" s="41">
        <v>553</v>
      </c>
      <c r="AG17" s="41" t="s">
        <v>138</v>
      </c>
      <c r="AH17" s="41" t="s">
        <v>169</v>
      </c>
      <c r="AI17" s="41">
        <v>1</v>
      </c>
      <c r="AJ17" s="41">
        <v>1</v>
      </c>
      <c r="AK17" s="41">
        <v>0</v>
      </c>
      <c r="AL17" s="42">
        <v>0</v>
      </c>
      <c r="AM17" s="41" t="s">
        <v>144</v>
      </c>
      <c r="AN17" s="42">
        <v>0</v>
      </c>
      <c r="AO17" s="41" t="s">
        <v>104</v>
      </c>
      <c r="AP17" s="41" t="s">
        <v>541</v>
      </c>
      <c r="AQ17" s="41" t="s">
        <v>104</v>
      </c>
      <c r="AR17" s="41" t="s">
        <v>165</v>
      </c>
      <c r="AS17" s="41" t="s">
        <v>169</v>
      </c>
      <c r="AT17" s="41" t="s">
        <v>104</v>
      </c>
      <c r="AU17" s="41" t="s">
        <v>173</v>
      </c>
      <c r="AW17" s="41" t="s">
        <v>170</v>
      </c>
      <c r="AX17" s="41" t="s">
        <v>1448</v>
      </c>
      <c r="AY17" s="41" t="s">
        <v>1884</v>
      </c>
      <c r="AZ17" s="40"/>
      <c r="BA17" s="40"/>
    </row>
    <row r="18" spans="6:53" ht="29" x14ac:dyDescent="0.35">
      <c r="F18" s="40" t="s">
        <v>1013</v>
      </c>
      <c r="G18" s="85" t="s">
        <v>621</v>
      </c>
      <c r="H18" s="40" t="s">
        <v>621</v>
      </c>
      <c r="I18" s="41" t="s">
        <v>223</v>
      </c>
      <c r="J18" s="41" t="s">
        <v>601</v>
      </c>
      <c r="K18" s="41" t="s">
        <v>602</v>
      </c>
      <c r="L18" s="40" t="s">
        <v>603</v>
      </c>
      <c r="O18" s="40" t="s">
        <v>104</v>
      </c>
      <c r="P18" s="41" t="s">
        <v>104</v>
      </c>
      <c r="Q18" s="41" t="s">
        <v>104</v>
      </c>
      <c r="R18" s="41" t="s">
        <v>104</v>
      </c>
      <c r="S18" s="40" t="s">
        <v>169</v>
      </c>
      <c r="U18" s="41" t="s">
        <v>104</v>
      </c>
      <c r="V18" s="41" t="s">
        <v>104</v>
      </c>
      <c r="W18" s="41" t="s">
        <v>104</v>
      </c>
      <c r="X18" s="41" t="s">
        <v>104</v>
      </c>
      <c r="Y18" s="40" t="s">
        <v>604</v>
      </c>
      <c r="Z18" s="41" t="s">
        <v>607</v>
      </c>
      <c r="AA18" s="41" t="s">
        <v>118</v>
      </c>
      <c r="AB18" s="41">
        <v>566</v>
      </c>
      <c r="AC18" s="40" t="s">
        <v>604</v>
      </c>
      <c r="AD18" s="41" t="s">
        <v>607</v>
      </c>
      <c r="AE18" s="41" t="s">
        <v>118</v>
      </c>
      <c r="AF18" s="41">
        <v>566</v>
      </c>
      <c r="AG18" s="41" t="s">
        <v>138</v>
      </c>
      <c r="AH18" s="41" t="s">
        <v>169</v>
      </c>
      <c r="AI18" s="41">
        <v>16</v>
      </c>
      <c r="AJ18" s="41">
        <v>16</v>
      </c>
      <c r="AK18" s="41">
        <v>0</v>
      </c>
      <c r="AL18" s="42">
        <v>0</v>
      </c>
      <c r="AM18" s="41" t="s">
        <v>144</v>
      </c>
      <c r="AN18" s="42">
        <v>0</v>
      </c>
      <c r="AO18" s="41" t="s">
        <v>104</v>
      </c>
      <c r="AP18" s="41" t="s">
        <v>541</v>
      </c>
      <c r="AQ18" s="41" t="s">
        <v>104</v>
      </c>
      <c r="AR18" s="41" t="s">
        <v>165</v>
      </c>
      <c r="AS18" s="41" t="s">
        <v>169</v>
      </c>
      <c r="AT18" s="41" t="s">
        <v>104</v>
      </c>
      <c r="AU18" s="41" t="s">
        <v>173</v>
      </c>
      <c r="AW18" s="41" t="s">
        <v>170</v>
      </c>
      <c r="AX18" s="41" t="s">
        <v>1449</v>
      </c>
      <c r="AY18" s="41" t="s">
        <v>1885</v>
      </c>
      <c r="AZ18" s="40"/>
      <c r="BA18" s="40"/>
    </row>
    <row r="19" spans="6:53" ht="29" x14ac:dyDescent="0.35">
      <c r="F19" s="40" t="s">
        <v>1014</v>
      </c>
      <c r="G19" s="85" t="s">
        <v>624</v>
      </c>
      <c r="H19" s="40" t="s">
        <v>624</v>
      </c>
      <c r="I19" s="41" t="s">
        <v>223</v>
      </c>
      <c r="J19" s="41" t="s">
        <v>601</v>
      </c>
      <c r="K19" s="41" t="s">
        <v>602</v>
      </c>
      <c r="L19" s="40" t="s">
        <v>603</v>
      </c>
      <c r="O19" s="40" t="s">
        <v>104</v>
      </c>
      <c r="P19" s="41" t="s">
        <v>104</v>
      </c>
      <c r="Q19" s="41" t="s">
        <v>104</v>
      </c>
      <c r="R19" s="41" t="s">
        <v>104</v>
      </c>
      <c r="S19" s="40" t="s">
        <v>169</v>
      </c>
      <c r="T19" s="41" t="s">
        <v>625</v>
      </c>
      <c r="U19" s="41" t="s">
        <v>104</v>
      </c>
      <c r="V19" s="41" t="s">
        <v>104</v>
      </c>
      <c r="W19" s="41" t="s">
        <v>104</v>
      </c>
      <c r="X19" s="41" t="s">
        <v>104</v>
      </c>
      <c r="Y19" s="40" t="s">
        <v>604</v>
      </c>
      <c r="Z19" s="41" t="s">
        <v>605</v>
      </c>
      <c r="AA19" s="41" t="s">
        <v>118</v>
      </c>
      <c r="AB19" s="41" t="s">
        <v>623</v>
      </c>
      <c r="AC19" s="40" t="s">
        <v>604</v>
      </c>
      <c r="AD19" s="41" t="s">
        <v>607</v>
      </c>
      <c r="AE19" s="41" t="s">
        <v>118</v>
      </c>
      <c r="AF19" s="41" t="s">
        <v>622</v>
      </c>
      <c r="AG19" s="41" t="s">
        <v>138</v>
      </c>
      <c r="AH19" s="41" t="s">
        <v>169</v>
      </c>
      <c r="AI19" s="41">
        <v>1</v>
      </c>
      <c r="AJ19" s="41">
        <v>1</v>
      </c>
      <c r="AK19" s="41">
        <v>0</v>
      </c>
      <c r="AL19" s="42">
        <v>0</v>
      </c>
      <c r="AM19" s="41" t="s">
        <v>144</v>
      </c>
      <c r="AN19" s="42">
        <v>0</v>
      </c>
      <c r="AO19" s="41" t="s">
        <v>104</v>
      </c>
      <c r="AP19" s="41" t="s">
        <v>541</v>
      </c>
      <c r="AQ19" s="41" t="s">
        <v>104</v>
      </c>
      <c r="AR19" s="41" t="s">
        <v>165</v>
      </c>
      <c r="AS19" s="41" t="s">
        <v>169</v>
      </c>
      <c r="AT19" s="41" t="s">
        <v>104</v>
      </c>
      <c r="AU19" s="41" t="s">
        <v>173</v>
      </c>
      <c r="AW19" s="41" t="s">
        <v>170</v>
      </c>
      <c r="AX19" s="41" t="s">
        <v>1450</v>
      </c>
      <c r="AY19" s="41" t="s">
        <v>1886</v>
      </c>
      <c r="AZ19" s="40"/>
      <c r="BA19" s="40"/>
    </row>
    <row r="20" spans="6:53" ht="29" x14ac:dyDescent="0.35">
      <c r="F20" s="40" t="s">
        <v>1015</v>
      </c>
      <c r="G20" s="85" t="s">
        <v>626</v>
      </c>
      <c r="H20" s="40" t="s">
        <v>626</v>
      </c>
      <c r="I20" s="41" t="s">
        <v>223</v>
      </c>
      <c r="J20" s="41" t="s">
        <v>601</v>
      </c>
      <c r="K20" s="41" t="s">
        <v>602</v>
      </c>
      <c r="L20" s="40" t="s">
        <v>603</v>
      </c>
      <c r="O20" s="40" t="s">
        <v>104</v>
      </c>
      <c r="P20" s="41" t="s">
        <v>104</v>
      </c>
      <c r="Q20" s="41" t="s">
        <v>104</v>
      </c>
      <c r="R20" s="41" t="s">
        <v>104</v>
      </c>
      <c r="S20" s="40" t="s">
        <v>169</v>
      </c>
      <c r="T20" s="41" t="s">
        <v>627</v>
      </c>
      <c r="U20" s="41" t="s">
        <v>104</v>
      </c>
      <c r="V20" s="41" t="s">
        <v>107</v>
      </c>
      <c r="W20" s="41" t="s">
        <v>112</v>
      </c>
      <c r="X20" s="41" t="s">
        <v>115</v>
      </c>
      <c r="Y20" s="40" t="s">
        <v>604</v>
      </c>
      <c r="Z20" s="41" t="s">
        <v>605</v>
      </c>
      <c r="AA20" s="41" t="s">
        <v>118</v>
      </c>
      <c r="AB20" s="41" t="s">
        <v>623</v>
      </c>
      <c r="AC20" s="40" t="s">
        <v>604</v>
      </c>
      <c r="AD20" s="41" t="s">
        <v>607</v>
      </c>
      <c r="AE20" s="41" t="s">
        <v>118</v>
      </c>
      <c r="AF20" s="41" t="s">
        <v>622</v>
      </c>
      <c r="AG20" s="41" t="s">
        <v>138</v>
      </c>
      <c r="AH20" s="41" t="s">
        <v>169</v>
      </c>
      <c r="AI20" s="41">
        <v>1</v>
      </c>
      <c r="AJ20" s="41">
        <v>1</v>
      </c>
      <c r="AK20" s="41">
        <v>0</v>
      </c>
      <c r="AL20" s="42">
        <v>0</v>
      </c>
      <c r="AM20" s="41" t="s">
        <v>144</v>
      </c>
      <c r="AN20" s="42">
        <v>0</v>
      </c>
      <c r="AO20" s="41" t="s">
        <v>104</v>
      </c>
      <c r="AP20" s="41" t="s">
        <v>541</v>
      </c>
      <c r="AQ20" s="41" t="s">
        <v>104</v>
      </c>
      <c r="AR20" s="41" t="s">
        <v>165</v>
      </c>
      <c r="AS20" s="41" t="s">
        <v>169</v>
      </c>
      <c r="AT20" s="41" t="s">
        <v>104</v>
      </c>
      <c r="AU20" s="41" t="s">
        <v>173</v>
      </c>
      <c r="AW20" s="41" t="s">
        <v>170</v>
      </c>
      <c r="AX20" s="41" t="s">
        <v>1451</v>
      </c>
      <c r="AY20" s="41" t="s">
        <v>1887</v>
      </c>
      <c r="AZ20" s="40"/>
      <c r="BA20" s="40"/>
    </row>
    <row r="21" spans="6:53" ht="29" x14ac:dyDescent="0.35">
      <c r="F21" s="40" t="s">
        <v>1016</v>
      </c>
      <c r="G21" s="85" t="s">
        <v>628</v>
      </c>
      <c r="H21" s="40" t="s">
        <v>628</v>
      </c>
      <c r="I21" s="41" t="s">
        <v>223</v>
      </c>
      <c r="J21" s="41" t="s">
        <v>601</v>
      </c>
      <c r="K21" s="41" t="s">
        <v>602</v>
      </c>
      <c r="L21" s="40" t="s">
        <v>603</v>
      </c>
      <c r="O21" s="40" t="s">
        <v>104</v>
      </c>
      <c r="P21" s="41" t="s">
        <v>104</v>
      </c>
      <c r="Q21" s="41" t="s">
        <v>104</v>
      </c>
      <c r="R21" s="41" t="s">
        <v>104</v>
      </c>
      <c r="S21" s="40" t="s">
        <v>169</v>
      </c>
      <c r="T21" s="41" t="s">
        <v>629</v>
      </c>
      <c r="U21" s="41" t="s">
        <v>104</v>
      </c>
      <c r="V21" s="41" t="s">
        <v>104</v>
      </c>
      <c r="W21" s="41" t="s">
        <v>104</v>
      </c>
      <c r="X21" s="41" t="s">
        <v>115</v>
      </c>
      <c r="Y21" s="40" t="s">
        <v>604</v>
      </c>
      <c r="Z21" s="41" t="s">
        <v>605</v>
      </c>
      <c r="AA21" s="41" t="s">
        <v>118</v>
      </c>
      <c r="AB21" s="41" t="s">
        <v>623</v>
      </c>
      <c r="AC21" s="40" t="s">
        <v>604</v>
      </c>
      <c r="AD21" s="41" t="s">
        <v>607</v>
      </c>
      <c r="AE21" s="41" t="s">
        <v>118</v>
      </c>
      <c r="AF21" s="41" t="s">
        <v>622</v>
      </c>
      <c r="AG21" s="41" t="s">
        <v>138</v>
      </c>
      <c r="AH21" s="41" t="s">
        <v>169</v>
      </c>
      <c r="AI21" s="41">
        <v>3</v>
      </c>
      <c r="AJ21" s="41">
        <v>3</v>
      </c>
      <c r="AK21" s="41">
        <v>0</v>
      </c>
      <c r="AL21" s="42">
        <v>0</v>
      </c>
      <c r="AM21" s="41" t="s">
        <v>144</v>
      </c>
      <c r="AN21" s="42">
        <v>0</v>
      </c>
      <c r="AO21" s="41" t="s">
        <v>104</v>
      </c>
      <c r="AP21" s="41" t="s">
        <v>541</v>
      </c>
      <c r="AQ21" s="41" t="s">
        <v>104</v>
      </c>
      <c r="AR21" s="41" t="s">
        <v>165</v>
      </c>
      <c r="AS21" s="41" t="s">
        <v>169</v>
      </c>
      <c r="AT21" s="41" t="s">
        <v>104</v>
      </c>
      <c r="AU21" s="41" t="s">
        <v>173</v>
      </c>
      <c r="AW21" s="41" t="s">
        <v>170</v>
      </c>
      <c r="AX21" s="41" t="s">
        <v>1452</v>
      </c>
      <c r="AY21" s="41" t="s">
        <v>1888</v>
      </c>
      <c r="AZ21" s="40"/>
      <c r="BA21" s="40"/>
    </row>
    <row r="22" spans="6:53" ht="29" x14ac:dyDescent="0.35">
      <c r="F22" s="40" t="s">
        <v>1017</v>
      </c>
      <c r="G22" s="85" t="s">
        <v>630</v>
      </c>
      <c r="H22" s="40" t="s">
        <v>630</v>
      </c>
      <c r="I22" s="41" t="s">
        <v>223</v>
      </c>
      <c r="J22" s="41" t="s">
        <v>601</v>
      </c>
      <c r="K22" s="41" t="s">
        <v>602</v>
      </c>
      <c r="L22" s="40" t="s">
        <v>603</v>
      </c>
      <c r="O22" s="40" t="s">
        <v>104</v>
      </c>
      <c r="P22" s="41" t="s">
        <v>104</v>
      </c>
      <c r="Q22" s="41" t="s">
        <v>104</v>
      </c>
      <c r="R22" s="41" t="s">
        <v>104</v>
      </c>
      <c r="S22" s="40" t="s">
        <v>169</v>
      </c>
      <c r="U22" s="41" t="s">
        <v>104</v>
      </c>
      <c r="V22" s="41" t="s">
        <v>104</v>
      </c>
      <c r="W22" s="41" t="s">
        <v>104</v>
      </c>
      <c r="X22" s="41" t="s">
        <v>104</v>
      </c>
      <c r="Y22" s="40" t="s">
        <v>604</v>
      </c>
      <c r="Z22" s="41" t="s">
        <v>605</v>
      </c>
      <c r="AA22" s="41" t="s">
        <v>118</v>
      </c>
      <c r="AB22" s="41" t="s">
        <v>623</v>
      </c>
      <c r="AC22" s="40" t="s">
        <v>604</v>
      </c>
      <c r="AD22" s="41" t="s">
        <v>607</v>
      </c>
      <c r="AE22" s="41" t="s">
        <v>118</v>
      </c>
      <c r="AF22" s="41" t="s">
        <v>622</v>
      </c>
      <c r="AG22" s="41" t="s">
        <v>138</v>
      </c>
      <c r="AH22" s="41" t="s">
        <v>169</v>
      </c>
      <c r="AI22" s="41">
        <v>1</v>
      </c>
      <c r="AJ22" s="41">
        <v>1</v>
      </c>
      <c r="AK22" s="41">
        <v>0</v>
      </c>
      <c r="AL22" s="42">
        <v>0</v>
      </c>
      <c r="AM22" s="41" t="s">
        <v>144</v>
      </c>
      <c r="AN22" s="42">
        <v>0</v>
      </c>
      <c r="AO22" s="41" t="s">
        <v>104</v>
      </c>
      <c r="AP22" s="41" t="s">
        <v>541</v>
      </c>
      <c r="AQ22" s="41" t="s">
        <v>104</v>
      </c>
      <c r="AR22" s="41" t="s">
        <v>165</v>
      </c>
      <c r="AS22" s="41" t="s">
        <v>169</v>
      </c>
      <c r="AT22" s="41" t="s">
        <v>104</v>
      </c>
      <c r="AU22" s="41" t="s">
        <v>173</v>
      </c>
      <c r="AW22" s="41" t="s">
        <v>170</v>
      </c>
      <c r="AX22" s="41" t="s">
        <v>1453</v>
      </c>
      <c r="AY22" s="41" t="s">
        <v>1889</v>
      </c>
      <c r="AZ22" s="40"/>
      <c r="BA22" s="40"/>
    </row>
    <row r="23" spans="6:53" ht="29" x14ac:dyDescent="0.35">
      <c r="F23" s="40" t="s">
        <v>1018</v>
      </c>
      <c r="G23" s="85" t="s">
        <v>631</v>
      </c>
      <c r="H23" s="40" t="s">
        <v>631</v>
      </c>
      <c r="I23" s="41" t="s">
        <v>223</v>
      </c>
      <c r="J23" s="41" t="s">
        <v>601</v>
      </c>
      <c r="K23" s="41" t="s">
        <v>602</v>
      </c>
      <c r="L23" s="40" t="s">
        <v>603</v>
      </c>
      <c r="O23" s="40" t="s">
        <v>104</v>
      </c>
      <c r="P23" s="41" t="s">
        <v>104</v>
      </c>
      <c r="Q23" s="41" t="s">
        <v>104</v>
      </c>
      <c r="R23" s="41" t="s">
        <v>104</v>
      </c>
      <c r="S23" s="40" t="s">
        <v>169</v>
      </c>
      <c r="U23" s="41" t="s">
        <v>104</v>
      </c>
      <c r="V23" s="41" t="s">
        <v>104</v>
      </c>
      <c r="W23" s="41" t="s">
        <v>104</v>
      </c>
      <c r="X23" s="41" t="s">
        <v>104</v>
      </c>
      <c r="Y23" s="40" t="s">
        <v>604</v>
      </c>
      <c r="Z23" s="41" t="s">
        <v>605</v>
      </c>
      <c r="AA23" s="41" t="s">
        <v>118</v>
      </c>
      <c r="AB23" s="41" t="s">
        <v>623</v>
      </c>
      <c r="AC23" s="40" t="s">
        <v>604</v>
      </c>
      <c r="AD23" s="41" t="s">
        <v>607</v>
      </c>
      <c r="AE23" s="41" t="s">
        <v>118</v>
      </c>
      <c r="AF23" s="41" t="s">
        <v>622</v>
      </c>
      <c r="AG23" s="41" t="s">
        <v>138</v>
      </c>
      <c r="AH23" s="41" t="s">
        <v>169</v>
      </c>
      <c r="AI23" s="41">
        <v>1</v>
      </c>
      <c r="AJ23" s="41">
        <v>1</v>
      </c>
      <c r="AK23" s="41">
        <v>0</v>
      </c>
      <c r="AL23" s="42">
        <v>0</v>
      </c>
      <c r="AM23" s="41" t="s">
        <v>144</v>
      </c>
      <c r="AN23" s="42">
        <v>0</v>
      </c>
      <c r="AO23" s="41" t="s">
        <v>104</v>
      </c>
      <c r="AP23" s="41" t="s">
        <v>541</v>
      </c>
      <c r="AQ23" s="41" t="s">
        <v>104</v>
      </c>
      <c r="AR23" s="41" t="s">
        <v>165</v>
      </c>
      <c r="AS23" s="41" t="s">
        <v>169</v>
      </c>
      <c r="AT23" s="41" t="s">
        <v>104</v>
      </c>
      <c r="AU23" s="41" t="s">
        <v>173</v>
      </c>
      <c r="AW23" s="41" t="s">
        <v>170</v>
      </c>
      <c r="AX23" s="41" t="s">
        <v>1454</v>
      </c>
      <c r="AY23" s="41" t="s">
        <v>1890</v>
      </c>
      <c r="AZ23" s="40"/>
      <c r="BA23" s="40"/>
    </row>
    <row r="24" spans="6:53" ht="29" x14ac:dyDescent="0.35">
      <c r="F24" s="40" t="s">
        <v>1019</v>
      </c>
      <c r="G24" s="85" t="s">
        <v>632</v>
      </c>
      <c r="H24" s="40" t="s">
        <v>632</v>
      </c>
      <c r="I24" s="41" t="s">
        <v>223</v>
      </c>
      <c r="J24" s="41" t="s">
        <v>601</v>
      </c>
      <c r="K24" s="41" t="s">
        <v>602</v>
      </c>
      <c r="L24" s="40" t="s">
        <v>603</v>
      </c>
      <c r="O24" s="40" t="s">
        <v>104</v>
      </c>
      <c r="P24" s="41" t="s">
        <v>104</v>
      </c>
      <c r="Q24" s="41" t="s">
        <v>104</v>
      </c>
      <c r="R24" s="41" t="s">
        <v>104</v>
      </c>
      <c r="S24" s="40" t="s">
        <v>169</v>
      </c>
      <c r="U24" s="41" t="s">
        <v>104</v>
      </c>
      <c r="V24" s="41" t="s">
        <v>104</v>
      </c>
      <c r="W24" s="41" t="s">
        <v>104</v>
      </c>
      <c r="X24" s="41" t="s">
        <v>104</v>
      </c>
      <c r="Y24" s="40" t="s">
        <v>604</v>
      </c>
      <c r="Z24" s="41" t="s">
        <v>605</v>
      </c>
      <c r="AA24" s="41" t="s">
        <v>118</v>
      </c>
      <c r="AB24" s="41" t="s">
        <v>623</v>
      </c>
      <c r="AC24" s="40" t="s">
        <v>604</v>
      </c>
      <c r="AD24" s="41" t="s">
        <v>607</v>
      </c>
      <c r="AE24" s="41" t="s">
        <v>118</v>
      </c>
      <c r="AF24" s="41" t="s">
        <v>622</v>
      </c>
      <c r="AG24" s="41" t="s">
        <v>138</v>
      </c>
      <c r="AH24" s="41" t="s">
        <v>169</v>
      </c>
      <c r="AI24" s="41">
        <v>0</v>
      </c>
      <c r="AJ24" s="41">
        <v>0</v>
      </c>
      <c r="AK24" s="41">
        <v>0</v>
      </c>
      <c r="AL24" s="42">
        <v>0</v>
      </c>
      <c r="AM24" s="41" t="s">
        <v>144</v>
      </c>
      <c r="AN24" s="42">
        <v>0</v>
      </c>
      <c r="AO24" s="41" t="s">
        <v>104</v>
      </c>
      <c r="AP24" s="41" t="s">
        <v>541</v>
      </c>
      <c r="AQ24" s="41" t="s">
        <v>104</v>
      </c>
      <c r="AR24" s="41" t="s">
        <v>165</v>
      </c>
      <c r="AS24" s="41" t="s">
        <v>169</v>
      </c>
      <c r="AT24" s="41" t="s">
        <v>104</v>
      </c>
      <c r="AU24" s="41" t="s">
        <v>173</v>
      </c>
      <c r="AW24" s="41" t="s">
        <v>170</v>
      </c>
      <c r="AX24" s="41" t="s">
        <v>1455</v>
      </c>
      <c r="AY24" s="41" t="s">
        <v>1891</v>
      </c>
      <c r="AZ24" s="40"/>
      <c r="BA24" s="40"/>
    </row>
    <row r="25" spans="6:53" ht="29" x14ac:dyDescent="0.35">
      <c r="F25" s="40" t="s">
        <v>1020</v>
      </c>
      <c r="G25" s="85" t="s">
        <v>633</v>
      </c>
      <c r="H25" s="40" t="s">
        <v>633</v>
      </c>
      <c r="I25" s="41" t="s">
        <v>223</v>
      </c>
      <c r="J25" s="41" t="s">
        <v>601</v>
      </c>
      <c r="K25" s="41" t="s">
        <v>602</v>
      </c>
      <c r="L25" s="40" t="s">
        <v>603</v>
      </c>
      <c r="O25" s="40" t="s">
        <v>104</v>
      </c>
      <c r="P25" s="41" t="s">
        <v>104</v>
      </c>
      <c r="Q25" s="41" t="s">
        <v>104</v>
      </c>
      <c r="R25" s="41" t="s">
        <v>104</v>
      </c>
      <c r="S25" s="40" t="s">
        <v>169</v>
      </c>
      <c r="T25" s="41" t="s">
        <v>634</v>
      </c>
      <c r="U25" s="41" t="s">
        <v>104</v>
      </c>
      <c r="V25" s="41" t="s">
        <v>104</v>
      </c>
      <c r="W25" s="41" t="s">
        <v>104</v>
      </c>
      <c r="X25" s="41" t="s">
        <v>104</v>
      </c>
      <c r="Y25" s="40" t="s">
        <v>604</v>
      </c>
      <c r="Z25" s="41" t="s">
        <v>605</v>
      </c>
      <c r="AA25" s="41" t="s">
        <v>120</v>
      </c>
      <c r="AB25" s="41" t="s">
        <v>2207</v>
      </c>
      <c r="AC25" s="40" t="s">
        <v>604</v>
      </c>
      <c r="AD25" s="41" t="s">
        <v>607</v>
      </c>
      <c r="AE25" s="41" t="s">
        <v>120</v>
      </c>
      <c r="AF25" s="41" t="s">
        <v>635</v>
      </c>
      <c r="AG25" s="41" t="s">
        <v>138</v>
      </c>
      <c r="AH25" s="41" t="s">
        <v>169</v>
      </c>
      <c r="AI25" s="41">
        <v>3</v>
      </c>
      <c r="AJ25" s="41">
        <v>3</v>
      </c>
      <c r="AK25" s="41">
        <v>0</v>
      </c>
      <c r="AL25" s="42">
        <v>0</v>
      </c>
      <c r="AM25" s="41" t="s">
        <v>144</v>
      </c>
      <c r="AN25" s="42">
        <v>0</v>
      </c>
      <c r="AO25" s="41" t="s">
        <v>104</v>
      </c>
      <c r="AP25" s="41" t="s">
        <v>541</v>
      </c>
      <c r="AQ25" s="41" t="s">
        <v>104</v>
      </c>
      <c r="AR25" s="41" t="s">
        <v>165</v>
      </c>
      <c r="AS25" s="41" t="s">
        <v>169</v>
      </c>
      <c r="AT25" s="41" t="s">
        <v>104</v>
      </c>
      <c r="AU25" s="41" t="s">
        <v>173</v>
      </c>
      <c r="AW25" s="41" t="s">
        <v>170</v>
      </c>
      <c r="AX25" s="41" t="s">
        <v>1456</v>
      </c>
      <c r="AY25" s="41" t="s">
        <v>1892</v>
      </c>
      <c r="AZ25" s="40"/>
      <c r="BA25" s="40"/>
    </row>
    <row r="26" spans="6:53" ht="29" x14ac:dyDescent="0.35">
      <c r="F26" s="40" t="s">
        <v>1021</v>
      </c>
      <c r="G26" s="85" t="s">
        <v>636</v>
      </c>
      <c r="H26" s="40" t="s">
        <v>636</v>
      </c>
      <c r="I26" s="41" t="s">
        <v>223</v>
      </c>
      <c r="J26" s="41" t="s">
        <v>601</v>
      </c>
      <c r="K26" s="41" t="s">
        <v>602</v>
      </c>
      <c r="L26" s="40" t="s">
        <v>603</v>
      </c>
      <c r="O26" s="40" t="s">
        <v>104</v>
      </c>
      <c r="P26" s="41" t="s">
        <v>104</v>
      </c>
      <c r="Q26" s="41" t="s">
        <v>104</v>
      </c>
      <c r="R26" s="41" t="s">
        <v>104</v>
      </c>
      <c r="S26" s="40" t="s">
        <v>169</v>
      </c>
      <c r="U26" s="41" t="s">
        <v>104</v>
      </c>
      <c r="V26" s="41" t="s">
        <v>104</v>
      </c>
      <c r="W26" s="41" t="s">
        <v>104</v>
      </c>
      <c r="X26" s="41" t="s">
        <v>104</v>
      </c>
      <c r="Y26" s="40" t="s">
        <v>604</v>
      </c>
      <c r="Z26" s="41" t="s">
        <v>605</v>
      </c>
      <c r="AA26" s="41" t="s">
        <v>120</v>
      </c>
      <c r="AB26" s="41" t="s">
        <v>2207</v>
      </c>
      <c r="AC26" s="40" t="s">
        <v>604</v>
      </c>
      <c r="AD26" s="41" t="s">
        <v>607</v>
      </c>
      <c r="AE26" s="41" t="s">
        <v>120</v>
      </c>
      <c r="AF26" s="41" t="s">
        <v>635</v>
      </c>
      <c r="AG26" s="41" t="s">
        <v>138</v>
      </c>
      <c r="AH26" s="41" t="s">
        <v>169</v>
      </c>
      <c r="AI26" s="41">
        <v>12</v>
      </c>
      <c r="AJ26" s="41">
        <v>12</v>
      </c>
      <c r="AK26" s="41">
        <v>0</v>
      </c>
      <c r="AL26" s="42">
        <v>0</v>
      </c>
      <c r="AM26" s="41" t="s">
        <v>144</v>
      </c>
      <c r="AN26" s="42">
        <v>0</v>
      </c>
      <c r="AO26" s="41" t="s">
        <v>104</v>
      </c>
      <c r="AP26" s="41" t="s">
        <v>541</v>
      </c>
      <c r="AQ26" s="41" t="s">
        <v>104</v>
      </c>
      <c r="AR26" s="41" t="s">
        <v>165</v>
      </c>
      <c r="AS26" s="41" t="s">
        <v>169</v>
      </c>
      <c r="AT26" s="41" t="s">
        <v>104</v>
      </c>
      <c r="AU26" s="41" t="s">
        <v>173</v>
      </c>
      <c r="AW26" s="41" t="s">
        <v>170</v>
      </c>
      <c r="AX26" s="41" t="s">
        <v>1457</v>
      </c>
      <c r="AY26" s="41" t="s">
        <v>1893</v>
      </c>
      <c r="AZ26" s="40"/>
      <c r="BA26" s="40"/>
    </row>
    <row r="27" spans="6:53" ht="29" x14ac:dyDescent="0.35">
      <c r="F27" s="40" t="s">
        <v>1027</v>
      </c>
      <c r="G27" s="85" t="s">
        <v>642</v>
      </c>
      <c r="H27" s="40" t="s">
        <v>642</v>
      </c>
      <c r="I27" s="41" t="s">
        <v>223</v>
      </c>
      <c r="J27" s="41" t="s">
        <v>601</v>
      </c>
      <c r="K27" s="41" t="s">
        <v>602</v>
      </c>
      <c r="L27" s="40" t="s">
        <v>603</v>
      </c>
      <c r="O27" s="40" t="s">
        <v>104</v>
      </c>
      <c r="P27" s="41" t="s">
        <v>104</v>
      </c>
      <c r="Q27" s="41" t="s">
        <v>104</v>
      </c>
      <c r="R27" s="41" t="s">
        <v>104</v>
      </c>
      <c r="S27" s="40" t="s">
        <v>169</v>
      </c>
      <c r="U27" s="41" t="s">
        <v>104</v>
      </c>
      <c r="V27" s="41" t="s">
        <v>104</v>
      </c>
      <c r="W27" s="41" t="s">
        <v>104</v>
      </c>
      <c r="X27" s="41" t="s">
        <v>104</v>
      </c>
      <c r="Y27" s="40" t="s">
        <v>604</v>
      </c>
      <c r="Z27" s="41" t="s">
        <v>605</v>
      </c>
      <c r="AA27" s="41" t="s">
        <v>120</v>
      </c>
      <c r="AB27" s="41" t="s">
        <v>2207</v>
      </c>
      <c r="AC27" s="40" t="s">
        <v>604</v>
      </c>
      <c r="AD27" s="41" t="s">
        <v>605</v>
      </c>
      <c r="AE27" s="41" t="s">
        <v>120</v>
      </c>
      <c r="AF27" s="41" t="s">
        <v>2207</v>
      </c>
      <c r="AG27" s="41" t="s">
        <v>138</v>
      </c>
      <c r="AH27" s="41" t="s">
        <v>169</v>
      </c>
      <c r="AI27" s="41">
        <v>1</v>
      </c>
      <c r="AJ27" s="41">
        <v>1</v>
      </c>
      <c r="AK27" s="41">
        <v>0</v>
      </c>
      <c r="AL27" s="42">
        <v>0</v>
      </c>
      <c r="AM27" s="41" t="s">
        <v>144</v>
      </c>
      <c r="AN27" s="42">
        <v>0</v>
      </c>
      <c r="AO27" s="41" t="s">
        <v>104</v>
      </c>
      <c r="AP27" s="41" t="s">
        <v>541</v>
      </c>
      <c r="AQ27" s="41" t="s">
        <v>104</v>
      </c>
      <c r="AR27" s="41" t="s">
        <v>165</v>
      </c>
      <c r="AS27" s="41" t="s">
        <v>169</v>
      </c>
      <c r="AT27" s="41" t="s">
        <v>104</v>
      </c>
      <c r="AU27" s="41" t="s">
        <v>173</v>
      </c>
      <c r="AW27" s="41" t="s">
        <v>170</v>
      </c>
      <c r="AX27" s="41" t="s">
        <v>1463</v>
      </c>
      <c r="AY27" s="41" t="s">
        <v>1899</v>
      </c>
      <c r="AZ27" s="40"/>
      <c r="BA27" s="40"/>
    </row>
    <row r="28" spans="6:53" ht="29" x14ac:dyDescent="0.35">
      <c r="F28" s="40" t="s">
        <v>1023</v>
      </c>
      <c r="G28" s="85" t="s">
        <v>638</v>
      </c>
      <c r="H28" s="40" t="s">
        <v>638</v>
      </c>
      <c r="I28" s="41" t="s">
        <v>223</v>
      </c>
      <c r="J28" s="41" t="s">
        <v>601</v>
      </c>
      <c r="K28" s="41" t="s">
        <v>602</v>
      </c>
      <c r="L28" s="40" t="s">
        <v>603</v>
      </c>
      <c r="O28" s="40" t="s">
        <v>104</v>
      </c>
      <c r="P28" s="41" t="s">
        <v>104</v>
      </c>
      <c r="Q28" s="41" t="s">
        <v>104</v>
      </c>
      <c r="R28" s="41" t="s">
        <v>104</v>
      </c>
      <c r="S28" s="40" t="s">
        <v>169</v>
      </c>
      <c r="U28" s="41" t="s">
        <v>104</v>
      </c>
      <c r="V28" s="41" t="s">
        <v>107</v>
      </c>
      <c r="W28" s="41" t="s">
        <v>104</v>
      </c>
      <c r="X28" s="41" t="s">
        <v>104</v>
      </c>
      <c r="Y28" s="40" t="s">
        <v>604</v>
      </c>
      <c r="Z28" s="41" t="s">
        <v>605</v>
      </c>
      <c r="AA28" s="41" t="s">
        <v>120</v>
      </c>
      <c r="AB28" s="41" t="s">
        <v>2207</v>
      </c>
      <c r="AC28" s="40" t="s">
        <v>604</v>
      </c>
      <c r="AD28" s="41" t="s">
        <v>607</v>
      </c>
      <c r="AE28" s="41" t="s">
        <v>120</v>
      </c>
      <c r="AF28" s="41" t="s">
        <v>635</v>
      </c>
      <c r="AG28" s="41" t="s">
        <v>138</v>
      </c>
      <c r="AH28" s="41" t="s">
        <v>169</v>
      </c>
      <c r="AI28" s="41">
        <v>1</v>
      </c>
      <c r="AJ28" s="41">
        <v>1</v>
      </c>
      <c r="AK28" s="41">
        <v>0</v>
      </c>
      <c r="AL28" s="42">
        <v>0</v>
      </c>
      <c r="AM28" s="41" t="s">
        <v>144</v>
      </c>
      <c r="AN28" s="42">
        <v>0</v>
      </c>
      <c r="AO28" s="41" t="s">
        <v>104</v>
      </c>
      <c r="AP28" s="41" t="s">
        <v>541</v>
      </c>
      <c r="AQ28" s="41" t="s">
        <v>104</v>
      </c>
      <c r="AR28" s="41" t="s">
        <v>165</v>
      </c>
      <c r="AS28" s="41" t="s">
        <v>169</v>
      </c>
      <c r="AT28" s="41" t="s">
        <v>104</v>
      </c>
      <c r="AU28" s="41" t="s">
        <v>173</v>
      </c>
      <c r="AW28" s="41" t="s">
        <v>170</v>
      </c>
      <c r="AX28" s="41" t="s">
        <v>1459</v>
      </c>
      <c r="AY28" s="41" t="s">
        <v>1895</v>
      </c>
      <c r="AZ28" s="40"/>
      <c r="BA28" s="40"/>
    </row>
    <row r="29" spans="6:53" ht="29" x14ac:dyDescent="0.35">
      <c r="F29" s="40" t="s">
        <v>1024</v>
      </c>
      <c r="G29" s="85" t="s">
        <v>639</v>
      </c>
      <c r="H29" s="40" t="s">
        <v>639</v>
      </c>
      <c r="I29" s="41" t="s">
        <v>223</v>
      </c>
      <c r="J29" s="41" t="s">
        <v>601</v>
      </c>
      <c r="K29" s="41" t="s">
        <v>602</v>
      </c>
      <c r="L29" s="40" t="s">
        <v>603</v>
      </c>
      <c r="O29" s="40" t="s">
        <v>104</v>
      </c>
      <c r="P29" s="41" t="s">
        <v>104</v>
      </c>
      <c r="Q29" s="41" t="s">
        <v>104</v>
      </c>
      <c r="R29" s="41" t="s">
        <v>104</v>
      </c>
      <c r="S29" s="40" t="s">
        <v>169</v>
      </c>
      <c r="U29" s="41" t="s">
        <v>104</v>
      </c>
      <c r="V29" s="41" t="s">
        <v>104</v>
      </c>
      <c r="W29" s="41" t="s">
        <v>104</v>
      </c>
      <c r="X29" s="41" t="s">
        <v>104</v>
      </c>
      <c r="Y29" s="40" t="s">
        <v>604</v>
      </c>
      <c r="Z29" s="41" t="s">
        <v>605</v>
      </c>
      <c r="AA29" s="41" t="s">
        <v>120</v>
      </c>
      <c r="AB29" s="41" t="s">
        <v>2207</v>
      </c>
      <c r="AC29" s="40" t="s">
        <v>604</v>
      </c>
      <c r="AD29" s="41" t="s">
        <v>607</v>
      </c>
      <c r="AE29" s="41" t="s">
        <v>120</v>
      </c>
      <c r="AF29" s="41" t="s">
        <v>635</v>
      </c>
      <c r="AG29" s="41" t="s">
        <v>138</v>
      </c>
      <c r="AH29" s="41" t="s">
        <v>169</v>
      </c>
      <c r="AI29" s="41">
        <v>1</v>
      </c>
      <c r="AJ29" s="41">
        <v>1</v>
      </c>
      <c r="AK29" s="41">
        <v>0</v>
      </c>
      <c r="AL29" s="42">
        <v>0</v>
      </c>
      <c r="AM29" s="41" t="s">
        <v>144</v>
      </c>
      <c r="AN29" s="42">
        <v>0</v>
      </c>
      <c r="AO29" s="41" t="s">
        <v>104</v>
      </c>
      <c r="AP29" s="41" t="s">
        <v>541</v>
      </c>
      <c r="AQ29" s="41" t="s">
        <v>104</v>
      </c>
      <c r="AR29" s="41" t="s">
        <v>165</v>
      </c>
      <c r="AS29" s="41" t="s">
        <v>169</v>
      </c>
      <c r="AT29" s="41" t="s">
        <v>104</v>
      </c>
      <c r="AU29" s="41" t="s">
        <v>173</v>
      </c>
      <c r="AW29" s="41" t="s">
        <v>170</v>
      </c>
      <c r="AX29" s="41" t="s">
        <v>1460</v>
      </c>
      <c r="AY29" s="41" t="s">
        <v>1896</v>
      </c>
      <c r="AZ29" s="40"/>
      <c r="BA29" s="40"/>
    </row>
    <row r="30" spans="6:53" ht="29" x14ac:dyDescent="0.35">
      <c r="F30" s="40" t="s">
        <v>1025</v>
      </c>
      <c r="G30" s="85" t="s">
        <v>640</v>
      </c>
      <c r="H30" s="40" t="s">
        <v>640</v>
      </c>
      <c r="I30" s="41" t="s">
        <v>223</v>
      </c>
      <c r="J30" s="41" t="s">
        <v>601</v>
      </c>
      <c r="K30" s="41" t="s">
        <v>602</v>
      </c>
      <c r="L30" s="40" t="s">
        <v>603</v>
      </c>
      <c r="O30" s="40" t="s">
        <v>104</v>
      </c>
      <c r="P30" s="41" t="s">
        <v>104</v>
      </c>
      <c r="Q30" s="41" t="s">
        <v>104</v>
      </c>
      <c r="R30" s="41" t="s">
        <v>104</v>
      </c>
      <c r="S30" s="40" t="s">
        <v>169</v>
      </c>
      <c r="U30" s="41" t="s">
        <v>104</v>
      </c>
      <c r="V30" s="41" t="s">
        <v>104</v>
      </c>
      <c r="W30" s="41" t="s">
        <v>104</v>
      </c>
      <c r="X30" s="41" t="s">
        <v>104</v>
      </c>
      <c r="Y30" s="40" t="s">
        <v>604</v>
      </c>
      <c r="Z30" s="41" t="s">
        <v>605</v>
      </c>
      <c r="AA30" s="41" t="s">
        <v>120</v>
      </c>
      <c r="AB30" s="41" t="s">
        <v>2207</v>
      </c>
      <c r="AC30" s="40" t="s">
        <v>604</v>
      </c>
      <c r="AD30" s="41" t="s">
        <v>607</v>
      </c>
      <c r="AE30" s="41" t="s">
        <v>120</v>
      </c>
      <c r="AF30" s="41" t="s">
        <v>635</v>
      </c>
      <c r="AG30" s="41" t="s">
        <v>138</v>
      </c>
      <c r="AH30" s="41" t="s">
        <v>169</v>
      </c>
      <c r="AI30" s="41">
        <v>1</v>
      </c>
      <c r="AJ30" s="41">
        <v>1</v>
      </c>
      <c r="AK30" s="41">
        <v>0</v>
      </c>
      <c r="AL30" s="42">
        <v>0</v>
      </c>
      <c r="AM30" s="41" t="s">
        <v>144</v>
      </c>
      <c r="AN30" s="42">
        <v>0</v>
      </c>
      <c r="AO30" s="41" t="s">
        <v>104</v>
      </c>
      <c r="AP30" s="41" t="s">
        <v>541</v>
      </c>
      <c r="AQ30" s="41" t="s">
        <v>104</v>
      </c>
      <c r="AR30" s="41" t="s">
        <v>165</v>
      </c>
      <c r="AS30" s="41" t="s">
        <v>169</v>
      </c>
      <c r="AT30" s="41" t="s">
        <v>104</v>
      </c>
      <c r="AU30" s="41" t="s">
        <v>173</v>
      </c>
      <c r="AW30" s="41" t="s">
        <v>170</v>
      </c>
      <c r="AX30" s="41" t="s">
        <v>1461</v>
      </c>
      <c r="AY30" s="41" t="s">
        <v>1897</v>
      </c>
      <c r="AZ30" s="40"/>
      <c r="BA30" s="40"/>
    </row>
    <row r="31" spans="6:53" ht="29" x14ac:dyDescent="0.35">
      <c r="F31" s="40" t="s">
        <v>1026</v>
      </c>
      <c r="G31" s="85" t="s">
        <v>641</v>
      </c>
      <c r="H31" s="40" t="s">
        <v>641</v>
      </c>
      <c r="I31" s="41" t="s">
        <v>223</v>
      </c>
      <c r="J31" s="41" t="s">
        <v>601</v>
      </c>
      <c r="K31" s="41" t="s">
        <v>602</v>
      </c>
      <c r="L31" s="40" t="s">
        <v>603</v>
      </c>
      <c r="O31" s="40" t="s">
        <v>104</v>
      </c>
      <c r="P31" s="41" t="s">
        <v>104</v>
      </c>
      <c r="Q31" s="41" t="s">
        <v>104</v>
      </c>
      <c r="R31" s="41" t="s">
        <v>104</v>
      </c>
      <c r="S31" s="40" t="s">
        <v>169</v>
      </c>
      <c r="U31" s="41" t="s">
        <v>104</v>
      </c>
      <c r="V31" s="41" t="s">
        <v>104</v>
      </c>
      <c r="W31" s="41" t="s">
        <v>104</v>
      </c>
      <c r="X31" s="41" t="s">
        <v>104</v>
      </c>
      <c r="Y31" s="40" t="s">
        <v>604</v>
      </c>
      <c r="Z31" s="41" t="s">
        <v>605</v>
      </c>
      <c r="AA31" s="41" t="s">
        <v>120</v>
      </c>
      <c r="AB31" s="41" t="s">
        <v>2207</v>
      </c>
      <c r="AC31" s="40" t="s">
        <v>604</v>
      </c>
      <c r="AD31" s="41" t="s">
        <v>607</v>
      </c>
      <c r="AE31" s="41" t="s">
        <v>120</v>
      </c>
      <c r="AF31" s="41" t="s">
        <v>635</v>
      </c>
      <c r="AG31" s="41" t="s">
        <v>138</v>
      </c>
      <c r="AH31" s="41" t="s">
        <v>169</v>
      </c>
      <c r="AI31" s="41">
        <v>1</v>
      </c>
      <c r="AJ31" s="41">
        <v>1</v>
      </c>
      <c r="AK31" s="41">
        <v>0</v>
      </c>
      <c r="AL31" s="42">
        <v>0</v>
      </c>
      <c r="AM31" s="41" t="s">
        <v>144</v>
      </c>
      <c r="AN31" s="42">
        <v>0</v>
      </c>
      <c r="AO31" s="41" t="s">
        <v>104</v>
      </c>
      <c r="AP31" s="41" t="s">
        <v>541</v>
      </c>
      <c r="AQ31" s="41" t="s">
        <v>104</v>
      </c>
      <c r="AR31" s="41" t="s">
        <v>165</v>
      </c>
      <c r="AS31" s="41" t="s">
        <v>169</v>
      </c>
      <c r="AT31" s="41" t="s">
        <v>104</v>
      </c>
      <c r="AU31" s="41" t="s">
        <v>173</v>
      </c>
      <c r="AW31" s="41" t="s">
        <v>170</v>
      </c>
      <c r="AX31" s="41" t="s">
        <v>1462</v>
      </c>
      <c r="AY31" s="41" t="s">
        <v>1898</v>
      </c>
      <c r="AZ31" s="40"/>
      <c r="BA31" s="40"/>
    </row>
    <row r="32" spans="6:53" ht="29" x14ac:dyDescent="0.35">
      <c r="F32" s="40" t="s">
        <v>1004</v>
      </c>
      <c r="G32" s="85" t="s">
        <v>608</v>
      </c>
      <c r="H32" s="40" t="s">
        <v>608</v>
      </c>
      <c r="I32" s="41" t="s">
        <v>223</v>
      </c>
      <c r="J32" s="41" t="s">
        <v>601</v>
      </c>
      <c r="K32" s="41" t="s">
        <v>602</v>
      </c>
      <c r="L32" s="40" t="s">
        <v>603</v>
      </c>
      <c r="O32" s="40" t="s">
        <v>104</v>
      </c>
      <c r="P32" s="41" t="s">
        <v>104</v>
      </c>
      <c r="Q32" s="41" t="s">
        <v>104</v>
      </c>
      <c r="R32" s="41" t="s">
        <v>104</v>
      </c>
      <c r="S32" s="40" t="s">
        <v>169</v>
      </c>
      <c r="U32" s="41" t="s">
        <v>104</v>
      </c>
      <c r="V32" s="41" t="s">
        <v>104</v>
      </c>
      <c r="W32" s="41" t="s">
        <v>104</v>
      </c>
      <c r="X32" s="41" t="s">
        <v>104</v>
      </c>
      <c r="Y32" s="40" t="s">
        <v>604</v>
      </c>
      <c r="Z32" s="41" t="s">
        <v>605</v>
      </c>
      <c r="AA32" s="41" t="s">
        <v>102</v>
      </c>
      <c r="AB32" s="41" t="s">
        <v>2212</v>
      </c>
      <c r="AC32" s="40" t="s">
        <v>604</v>
      </c>
      <c r="AD32" s="41" t="s">
        <v>605</v>
      </c>
      <c r="AE32" s="41" t="s">
        <v>102</v>
      </c>
      <c r="AF32" s="41" t="s">
        <v>2212</v>
      </c>
      <c r="AG32" s="41" t="s">
        <v>138</v>
      </c>
      <c r="AH32" s="41" t="s">
        <v>169</v>
      </c>
      <c r="AI32" s="41">
        <v>3</v>
      </c>
      <c r="AJ32" s="41">
        <v>3</v>
      </c>
      <c r="AK32" s="41">
        <v>0</v>
      </c>
      <c r="AL32" s="42">
        <v>0</v>
      </c>
      <c r="AM32" s="41" t="s">
        <v>144</v>
      </c>
      <c r="AN32" s="42">
        <v>0</v>
      </c>
      <c r="AO32" s="41" t="s">
        <v>104</v>
      </c>
      <c r="AP32" s="41" t="s">
        <v>541</v>
      </c>
      <c r="AQ32" s="41" t="s">
        <v>104</v>
      </c>
      <c r="AR32" s="41" t="s">
        <v>165</v>
      </c>
      <c r="AS32" s="41" t="s">
        <v>169</v>
      </c>
      <c r="AT32" s="41" t="s">
        <v>104</v>
      </c>
      <c r="AU32" s="41" t="s">
        <v>173</v>
      </c>
      <c r="AW32" s="41" t="s">
        <v>170</v>
      </c>
      <c r="AX32" s="41" t="s">
        <v>1440</v>
      </c>
      <c r="AY32" s="41" t="s">
        <v>1876</v>
      </c>
      <c r="AZ32" s="40"/>
      <c r="BA32" s="40"/>
    </row>
    <row r="33" spans="6:53" ht="29" x14ac:dyDescent="0.35">
      <c r="F33" s="40" t="s">
        <v>1028</v>
      </c>
      <c r="G33" s="85" t="s">
        <v>643</v>
      </c>
      <c r="H33" s="40" t="s">
        <v>643</v>
      </c>
      <c r="I33" s="41" t="s">
        <v>223</v>
      </c>
      <c r="J33" s="41" t="s">
        <v>601</v>
      </c>
      <c r="K33" s="41" t="s">
        <v>602</v>
      </c>
      <c r="L33" s="40" t="s">
        <v>603</v>
      </c>
      <c r="O33" s="40" t="s">
        <v>104</v>
      </c>
      <c r="P33" s="41" t="s">
        <v>104</v>
      </c>
      <c r="Q33" s="41" t="s">
        <v>104</v>
      </c>
      <c r="R33" s="41" t="s">
        <v>104</v>
      </c>
      <c r="S33" s="40" t="s">
        <v>169</v>
      </c>
      <c r="U33" s="41" t="s">
        <v>104</v>
      </c>
      <c r="V33" s="41" t="s">
        <v>104</v>
      </c>
      <c r="W33" s="41" t="s">
        <v>104</v>
      </c>
      <c r="X33" s="41" t="s">
        <v>104</v>
      </c>
      <c r="Y33" s="40" t="s">
        <v>604</v>
      </c>
      <c r="Z33" s="41" t="s">
        <v>605</v>
      </c>
      <c r="AA33" s="41" t="s">
        <v>120</v>
      </c>
      <c r="AB33" s="41" t="s">
        <v>2207</v>
      </c>
      <c r="AC33" s="40" t="s">
        <v>604</v>
      </c>
      <c r="AD33" s="41" t="s">
        <v>607</v>
      </c>
      <c r="AE33" s="41" t="s">
        <v>120</v>
      </c>
      <c r="AF33" s="41" t="s">
        <v>635</v>
      </c>
      <c r="AG33" s="41" t="s">
        <v>138</v>
      </c>
      <c r="AH33" s="41" t="s">
        <v>169</v>
      </c>
      <c r="AI33" s="41">
        <v>0</v>
      </c>
      <c r="AJ33" s="41">
        <v>1</v>
      </c>
      <c r="AK33" s="41">
        <v>-1</v>
      </c>
      <c r="AL33" s="42">
        <v>0</v>
      </c>
      <c r="AM33" s="41" t="s">
        <v>144</v>
      </c>
      <c r="AN33" s="42">
        <v>0</v>
      </c>
      <c r="AO33" s="41" t="s">
        <v>104</v>
      </c>
      <c r="AP33" s="41" t="s">
        <v>541</v>
      </c>
      <c r="AQ33" s="41" t="s">
        <v>104</v>
      </c>
      <c r="AR33" s="41" t="s">
        <v>165</v>
      </c>
      <c r="AS33" s="41" t="s">
        <v>169</v>
      </c>
      <c r="AT33" s="41" t="s">
        <v>104</v>
      </c>
      <c r="AU33" s="41" t="s">
        <v>173</v>
      </c>
      <c r="AW33" s="41" t="s">
        <v>170</v>
      </c>
      <c r="AX33" s="41" t="s">
        <v>1464</v>
      </c>
      <c r="AY33" s="41" t="s">
        <v>1900</v>
      </c>
      <c r="AZ33" s="40"/>
      <c r="BA33" s="40"/>
    </row>
    <row r="34" spans="6:53" ht="29" x14ac:dyDescent="0.35">
      <c r="F34" s="40" t="s">
        <v>1029</v>
      </c>
      <c r="G34" s="85" t="s">
        <v>644</v>
      </c>
      <c r="H34" s="40" t="s">
        <v>644</v>
      </c>
      <c r="I34" s="41" t="s">
        <v>223</v>
      </c>
      <c r="J34" s="41" t="s">
        <v>601</v>
      </c>
      <c r="K34" s="41" t="s">
        <v>602</v>
      </c>
      <c r="L34" s="40" t="s">
        <v>603</v>
      </c>
      <c r="O34" s="40" t="s">
        <v>104</v>
      </c>
      <c r="P34" s="41" t="s">
        <v>104</v>
      </c>
      <c r="Q34" s="41" t="s">
        <v>104</v>
      </c>
      <c r="R34" s="41" t="s">
        <v>104</v>
      </c>
      <c r="S34" s="40" t="s">
        <v>169</v>
      </c>
      <c r="T34" s="41" t="s">
        <v>645</v>
      </c>
      <c r="U34" s="41" t="s">
        <v>104</v>
      </c>
      <c r="V34" s="41" t="s">
        <v>104</v>
      </c>
      <c r="W34" s="41" t="s">
        <v>104</v>
      </c>
      <c r="X34" s="41" t="s">
        <v>104</v>
      </c>
      <c r="Y34" s="40" t="s">
        <v>604</v>
      </c>
      <c r="Z34" s="41" t="s">
        <v>605</v>
      </c>
      <c r="AA34" s="41" t="s">
        <v>117</v>
      </c>
      <c r="AB34" s="41" t="s">
        <v>646</v>
      </c>
      <c r="AC34" s="40" t="s">
        <v>604</v>
      </c>
      <c r="AD34" s="41" t="s">
        <v>607</v>
      </c>
      <c r="AE34" s="41" t="s">
        <v>117</v>
      </c>
      <c r="AF34" s="41" t="s">
        <v>647</v>
      </c>
      <c r="AG34" s="41" t="s">
        <v>138</v>
      </c>
      <c r="AH34" s="41" t="s">
        <v>169</v>
      </c>
      <c r="AI34" s="41">
        <v>1</v>
      </c>
      <c r="AJ34" s="41">
        <v>1</v>
      </c>
      <c r="AK34" s="41">
        <v>0</v>
      </c>
      <c r="AL34" s="42">
        <v>0</v>
      </c>
      <c r="AM34" s="41" t="s">
        <v>144</v>
      </c>
      <c r="AN34" s="42">
        <v>0</v>
      </c>
      <c r="AO34" s="41" t="s">
        <v>104</v>
      </c>
      <c r="AP34" s="41" t="s">
        <v>541</v>
      </c>
      <c r="AQ34" s="41" t="s">
        <v>104</v>
      </c>
      <c r="AR34" s="41" t="s">
        <v>165</v>
      </c>
      <c r="AS34" s="41" t="s">
        <v>169</v>
      </c>
      <c r="AT34" s="41" t="s">
        <v>104</v>
      </c>
      <c r="AU34" s="41" t="s">
        <v>173</v>
      </c>
      <c r="AW34" s="41" t="s">
        <v>170</v>
      </c>
      <c r="AX34" s="41" t="s">
        <v>1465</v>
      </c>
      <c r="AY34" s="41" t="s">
        <v>1901</v>
      </c>
      <c r="AZ34" s="40"/>
      <c r="BA34" s="40"/>
    </row>
    <row r="35" spans="6:53" ht="29" x14ac:dyDescent="0.35">
      <c r="F35" s="40" t="s">
        <v>1030</v>
      </c>
      <c r="G35" s="85" t="s">
        <v>648</v>
      </c>
      <c r="H35" s="40" t="s">
        <v>633</v>
      </c>
      <c r="I35" s="41" t="s">
        <v>223</v>
      </c>
      <c r="J35" s="41" t="s">
        <v>601</v>
      </c>
      <c r="K35" s="41" t="s">
        <v>602</v>
      </c>
      <c r="L35" s="40" t="s">
        <v>603</v>
      </c>
      <c r="O35" s="40" t="s">
        <v>104</v>
      </c>
      <c r="P35" s="41" t="s">
        <v>104</v>
      </c>
      <c r="Q35" s="41" t="s">
        <v>104</v>
      </c>
      <c r="R35" s="41" t="s">
        <v>104</v>
      </c>
      <c r="S35" s="40" t="s">
        <v>169</v>
      </c>
      <c r="T35" s="41" t="s">
        <v>649</v>
      </c>
      <c r="U35" s="41" t="s">
        <v>104</v>
      </c>
      <c r="V35" s="41" t="s">
        <v>104</v>
      </c>
      <c r="W35" s="41" t="s">
        <v>104</v>
      </c>
      <c r="X35" s="41" t="s">
        <v>104</v>
      </c>
      <c r="Y35" s="40" t="s">
        <v>604</v>
      </c>
      <c r="Z35" s="41" t="s">
        <v>605</v>
      </c>
      <c r="AA35" s="41" t="s">
        <v>117</v>
      </c>
      <c r="AB35" s="41" t="s">
        <v>646</v>
      </c>
      <c r="AC35" s="40" t="s">
        <v>604</v>
      </c>
      <c r="AD35" s="41" t="s">
        <v>605</v>
      </c>
      <c r="AE35" s="41" t="s">
        <v>117</v>
      </c>
      <c r="AF35" s="41" t="s">
        <v>646</v>
      </c>
      <c r="AG35" s="41" t="s">
        <v>138</v>
      </c>
      <c r="AH35" s="41" t="s">
        <v>169</v>
      </c>
      <c r="AI35" s="41">
        <v>1</v>
      </c>
      <c r="AJ35" s="41">
        <v>1</v>
      </c>
      <c r="AK35" s="41">
        <v>0</v>
      </c>
      <c r="AL35" s="42">
        <v>0</v>
      </c>
      <c r="AM35" s="41" t="s">
        <v>144</v>
      </c>
      <c r="AN35" s="42">
        <v>0</v>
      </c>
      <c r="AO35" s="41" t="s">
        <v>104</v>
      </c>
      <c r="AP35" s="41" t="s">
        <v>541</v>
      </c>
      <c r="AQ35" s="41" t="s">
        <v>104</v>
      </c>
      <c r="AR35" s="41" t="s">
        <v>165</v>
      </c>
      <c r="AS35" s="41" t="s">
        <v>169</v>
      </c>
      <c r="AT35" s="41" t="s">
        <v>104</v>
      </c>
      <c r="AU35" s="41" t="s">
        <v>173</v>
      </c>
      <c r="AW35" s="41" t="s">
        <v>170</v>
      </c>
      <c r="AX35" s="41" t="s">
        <v>1466</v>
      </c>
      <c r="AY35" s="41" t="s">
        <v>1902</v>
      </c>
      <c r="AZ35" s="40"/>
      <c r="BA35" s="40"/>
    </row>
    <row r="36" spans="6:53" ht="29" x14ac:dyDescent="0.35">
      <c r="F36" s="40" t="s">
        <v>1031</v>
      </c>
      <c r="G36" s="85" t="s">
        <v>650</v>
      </c>
      <c r="H36" s="40" t="s">
        <v>650</v>
      </c>
      <c r="I36" s="41" t="s">
        <v>223</v>
      </c>
      <c r="J36" s="41" t="s">
        <v>601</v>
      </c>
      <c r="K36" s="41" t="s">
        <v>602</v>
      </c>
      <c r="L36" s="40" t="s">
        <v>603</v>
      </c>
      <c r="O36" s="40" t="s">
        <v>104</v>
      </c>
      <c r="P36" s="41" t="s">
        <v>104</v>
      </c>
      <c r="Q36" s="41" t="s">
        <v>104</v>
      </c>
      <c r="R36" s="41" t="s">
        <v>104</v>
      </c>
      <c r="S36" s="40" t="s">
        <v>169</v>
      </c>
      <c r="U36" s="41" t="s">
        <v>104</v>
      </c>
      <c r="V36" s="41" t="s">
        <v>104</v>
      </c>
      <c r="W36" s="41" t="s">
        <v>104</v>
      </c>
      <c r="X36" s="41" t="s">
        <v>104</v>
      </c>
      <c r="Y36" s="40" t="s">
        <v>604</v>
      </c>
      <c r="Z36" s="41" t="s">
        <v>605</v>
      </c>
      <c r="AA36" s="41" t="s">
        <v>117</v>
      </c>
      <c r="AB36" s="41" t="s">
        <v>646</v>
      </c>
      <c r="AC36" s="40" t="s">
        <v>604</v>
      </c>
      <c r="AD36" s="41" t="s">
        <v>605</v>
      </c>
      <c r="AE36" s="41" t="s">
        <v>102</v>
      </c>
      <c r="AF36" s="41" t="s">
        <v>2212</v>
      </c>
      <c r="AG36" s="41" t="s">
        <v>138</v>
      </c>
      <c r="AH36" s="41" t="s">
        <v>169</v>
      </c>
      <c r="AI36" s="41">
        <v>3</v>
      </c>
      <c r="AJ36" s="41">
        <v>3</v>
      </c>
      <c r="AK36" s="41">
        <v>0</v>
      </c>
      <c r="AL36" s="42">
        <v>0</v>
      </c>
      <c r="AM36" s="41" t="s">
        <v>144</v>
      </c>
      <c r="AN36" s="42">
        <v>0</v>
      </c>
      <c r="AO36" s="41" t="s">
        <v>104</v>
      </c>
      <c r="AP36" s="41" t="s">
        <v>541</v>
      </c>
      <c r="AQ36" s="41" t="s">
        <v>104</v>
      </c>
      <c r="AR36" s="41" t="s">
        <v>165</v>
      </c>
      <c r="AS36" s="41" t="s">
        <v>169</v>
      </c>
      <c r="AT36" s="41" t="s">
        <v>104</v>
      </c>
      <c r="AU36" s="41" t="s">
        <v>173</v>
      </c>
      <c r="AW36" s="41" t="s">
        <v>170</v>
      </c>
      <c r="AX36" s="41" t="s">
        <v>1467</v>
      </c>
      <c r="AY36" s="41" t="s">
        <v>1903</v>
      </c>
      <c r="AZ36" s="40"/>
      <c r="BA36" s="40"/>
    </row>
    <row r="37" spans="6:53" ht="29" x14ac:dyDescent="0.35">
      <c r="F37" s="40" t="s">
        <v>1032</v>
      </c>
      <c r="G37" s="85" t="s">
        <v>651</v>
      </c>
      <c r="H37" s="40" t="s">
        <v>651</v>
      </c>
      <c r="I37" s="41" t="s">
        <v>223</v>
      </c>
      <c r="J37" s="41" t="s">
        <v>601</v>
      </c>
      <c r="K37" s="41" t="s">
        <v>602</v>
      </c>
      <c r="L37" s="40" t="s">
        <v>603</v>
      </c>
      <c r="O37" s="40" t="s">
        <v>104</v>
      </c>
      <c r="P37" s="41" t="s">
        <v>104</v>
      </c>
      <c r="Q37" s="41" t="s">
        <v>104</v>
      </c>
      <c r="R37" s="41" t="s">
        <v>104</v>
      </c>
      <c r="S37" s="40" t="s">
        <v>169</v>
      </c>
      <c r="U37" s="41" t="s">
        <v>104</v>
      </c>
      <c r="V37" s="41" t="s">
        <v>104</v>
      </c>
      <c r="W37" s="41" t="s">
        <v>104</v>
      </c>
      <c r="X37" s="41" t="s">
        <v>104</v>
      </c>
      <c r="Y37" s="40" t="s">
        <v>604</v>
      </c>
      <c r="Z37" s="41" t="s">
        <v>605</v>
      </c>
      <c r="AA37" s="41" t="s">
        <v>117</v>
      </c>
      <c r="AB37" s="41" t="s">
        <v>646</v>
      </c>
      <c r="AC37" s="40" t="s">
        <v>604</v>
      </c>
      <c r="AD37" s="41" t="s">
        <v>607</v>
      </c>
      <c r="AE37" s="41" t="s">
        <v>117</v>
      </c>
      <c r="AF37" s="41" t="s">
        <v>647</v>
      </c>
      <c r="AG37" s="41" t="s">
        <v>138</v>
      </c>
      <c r="AH37" s="41" t="s">
        <v>169</v>
      </c>
      <c r="AI37" s="41">
        <v>1</v>
      </c>
      <c r="AJ37" s="41">
        <v>1</v>
      </c>
      <c r="AK37" s="41">
        <v>0</v>
      </c>
      <c r="AL37" s="42">
        <v>0</v>
      </c>
      <c r="AM37" s="41" t="s">
        <v>144</v>
      </c>
      <c r="AN37" s="42">
        <v>0</v>
      </c>
      <c r="AO37" s="41" t="s">
        <v>104</v>
      </c>
      <c r="AP37" s="41" t="s">
        <v>541</v>
      </c>
      <c r="AQ37" s="41" t="s">
        <v>104</v>
      </c>
      <c r="AR37" s="41" t="s">
        <v>165</v>
      </c>
      <c r="AS37" s="41" t="s">
        <v>169</v>
      </c>
      <c r="AT37" s="41" t="s">
        <v>104</v>
      </c>
      <c r="AU37" s="41" t="s">
        <v>173</v>
      </c>
      <c r="AW37" s="41" t="s">
        <v>170</v>
      </c>
      <c r="AX37" s="41" t="s">
        <v>1468</v>
      </c>
      <c r="AY37" s="41" t="s">
        <v>1904</v>
      </c>
      <c r="AZ37" s="40"/>
      <c r="BA37" s="40"/>
    </row>
    <row r="38" spans="6:53" ht="29" x14ac:dyDescent="0.35">
      <c r="F38" s="40" t="s">
        <v>1033</v>
      </c>
      <c r="G38" s="85" t="s">
        <v>652</v>
      </c>
      <c r="H38" s="40" t="s">
        <v>652</v>
      </c>
      <c r="I38" s="41" t="s">
        <v>223</v>
      </c>
      <c r="J38" s="41" t="s">
        <v>601</v>
      </c>
      <c r="K38" s="41" t="s">
        <v>602</v>
      </c>
      <c r="L38" s="40" t="s">
        <v>603</v>
      </c>
      <c r="O38" s="40" t="s">
        <v>104</v>
      </c>
      <c r="P38" s="41" t="s">
        <v>104</v>
      </c>
      <c r="Q38" s="41" t="s">
        <v>104</v>
      </c>
      <c r="R38" s="41" t="s">
        <v>104</v>
      </c>
      <c r="S38" s="40" t="s">
        <v>169</v>
      </c>
      <c r="U38" s="41" t="s">
        <v>104</v>
      </c>
      <c r="V38" s="41" t="s">
        <v>104</v>
      </c>
      <c r="W38" s="41" t="s">
        <v>104</v>
      </c>
      <c r="X38" s="41" t="s">
        <v>104</v>
      </c>
      <c r="Y38" s="40" t="s">
        <v>604</v>
      </c>
      <c r="Z38" s="41" t="s">
        <v>605</v>
      </c>
      <c r="AA38" s="41" t="s">
        <v>117</v>
      </c>
      <c r="AB38" s="41" t="s">
        <v>646</v>
      </c>
      <c r="AC38" s="40" t="s">
        <v>604</v>
      </c>
      <c r="AD38" s="41" t="s">
        <v>607</v>
      </c>
      <c r="AE38" s="41" t="s">
        <v>117</v>
      </c>
      <c r="AF38" s="41" t="s">
        <v>647</v>
      </c>
      <c r="AG38" s="41" t="s">
        <v>138</v>
      </c>
      <c r="AH38" s="41" t="s">
        <v>169</v>
      </c>
      <c r="AI38" s="41">
        <v>1</v>
      </c>
      <c r="AJ38" s="41">
        <v>1</v>
      </c>
      <c r="AK38" s="41">
        <v>0</v>
      </c>
      <c r="AL38" s="42">
        <v>0</v>
      </c>
      <c r="AM38" s="41" t="s">
        <v>144</v>
      </c>
      <c r="AN38" s="42">
        <v>0</v>
      </c>
      <c r="AO38" s="41" t="s">
        <v>104</v>
      </c>
      <c r="AP38" s="41" t="s">
        <v>541</v>
      </c>
      <c r="AQ38" s="41" t="s">
        <v>104</v>
      </c>
      <c r="AR38" s="41" t="s">
        <v>165</v>
      </c>
      <c r="AS38" s="41" t="s">
        <v>169</v>
      </c>
      <c r="AT38" s="41" t="s">
        <v>104</v>
      </c>
      <c r="AU38" s="41" t="s">
        <v>173</v>
      </c>
      <c r="AW38" s="41" t="s">
        <v>170</v>
      </c>
      <c r="AX38" s="41" t="s">
        <v>1469</v>
      </c>
      <c r="AY38" s="41" t="s">
        <v>1905</v>
      </c>
      <c r="AZ38" s="40"/>
      <c r="BA38" s="40"/>
    </row>
    <row r="39" spans="6:53" ht="29" x14ac:dyDescent="0.35">
      <c r="F39" s="40" t="s">
        <v>1034</v>
      </c>
      <c r="G39" s="85" t="s">
        <v>616</v>
      </c>
      <c r="H39" s="40" t="s">
        <v>616</v>
      </c>
      <c r="I39" s="41" t="s">
        <v>223</v>
      </c>
      <c r="J39" s="41" t="s">
        <v>601</v>
      </c>
      <c r="K39" s="41" t="s">
        <v>602</v>
      </c>
      <c r="L39" s="40" t="s">
        <v>603</v>
      </c>
      <c r="O39" s="40" t="s">
        <v>104</v>
      </c>
      <c r="P39" s="41" t="s">
        <v>104</v>
      </c>
      <c r="Q39" s="41" t="s">
        <v>104</v>
      </c>
      <c r="R39" s="41" t="s">
        <v>104</v>
      </c>
      <c r="S39" s="40" t="s">
        <v>169</v>
      </c>
      <c r="U39" s="41" t="s">
        <v>104</v>
      </c>
      <c r="V39" s="41" t="s">
        <v>104</v>
      </c>
      <c r="W39" s="41" t="s">
        <v>104</v>
      </c>
      <c r="X39" s="41" t="s">
        <v>104</v>
      </c>
      <c r="Y39" s="40" t="s">
        <v>604</v>
      </c>
      <c r="Z39" s="41" t="s">
        <v>605</v>
      </c>
      <c r="AA39" s="41" t="s">
        <v>117</v>
      </c>
      <c r="AB39" s="41" t="s">
        <v>646</v>
      </c>
      <c r="AC39" s="40" t="s">
        <v>604</v>
      </c>
      <c r="AD39" s="41" t="s">
        <v>607</v>
      </c>
      <c r="AE39" s="41" t="s">
        <v>117</v>
      </c>
      <c r="AF39" s="41" t="s">
        <v>647</v>
      </c>
      <c r="AG39" s="41" t="s">
        <v>138</v>
      </c>
      <c r="AH39" s="41" t="s">
        <v>169</v>
      </c>
      <c r="AI39" s="41">
        <v>1</v>
      </c>
      <c r="AJ39" s="41">
        <v>1</v>
      </c>
      <c r="AK39" s="41">
        <v>0</v>
      </c>
      <c r="AL39" s="42">
        <v>0</v>
      </c>
      <c r="AM39" s="41" t="s">
        <v>144</v>
      </c>
      <c r="AN39" s="42">
        <v>0</v>
      </c>
      <c r="AO39" s="41" t="s">
        <v>104</v>
      </c>
      <c r="AP39" s="41" t="s">
        <v>541</v>
      </c>
      <c r="AQ39" s="41" t="s">
        <v>104</v>
      </c>
      <c r="AR39" s="41" t="s">
        <v>165</v>
      </c>
      <c r="AS39" s="41" t="s">
        <v>169</v>
      </c>
      <c r="AT39" s="41" t="s">
        <v>104</v>
      </c>
      <c r="AU39" s="41" t="s">
        <v>173</v>
      </c>
      <c r="AW39" s="41" t="s">
        <v>170</v>
      </c>
      <c r="AX39" s="41" t="s">
        <v>1470</v>
      </c>
      <c r="AY39" s="41" t="s">
        <v>1906</v>
      </c>
      <c r="AZ39" s="40"/>
      <c r="BA39" s="40"/>
    </row>
    <row r="40" spans="6:53" ht="29" x14ac:dyDescent="0.35">
      <c r="F40" s="40" t="s">
        <v>1063</v>
      </c>
      <c r="G40" s="85" t="s">
        <v>608</v>
      </c>
      <c r="H40" s="40" t="s">
        <v>608</v>
      </c>
      <c r="I40" s="41" t="s">
        <v>223</v>
      </c>
      <c r="J40" s="41" t="s">
        <v>601</v>
      </c>
      <c r="K40" s="41" t="s">
        <v>602</v>
      </c>
      <c r="L40" s="40" t="s">
        <v>603</v>
      </c>
      <c r="O40" s="40" t="s">
        <v>104</v>
      </c>
      <c r="P40" s="41" t="s">
        <v>104</v>
      </c>
      <c r="Q40" s="41" t="s">
        <v>104</v>
      </c>
      <c r="R40" s="41" t="s">
        <v>104</v>
      </c>
      <c r="S40" s="40" t="s">
        <v>169</v>
      </c>
      <c r="U40" s="41" t="s">
        <v>104</v>
      </c>
      <c r="V40" s="41" t="s">
        <v>104</v>
      </c>
      <c r="W40" s="41" t="s">
        <v>104</v>
      </c>
      <c r="X40" s="41" t="s">
        <v>104</v>
      </c>
      <c r="Y40" s="40" t="s">
        <v>604</v>
      </c>
      <c r="Z40" s="41" t="s">
        <v>605</v>
      </c>
      <c r="AA40" s="41" t="s">
        <v>102</v>
      </c>
      <c r="AB40" s="41" t="s">
        <v>2212</v>
      </c>
      <c r="AC40" s="40" t="s">
        <v>604</v>
      </c>
      <c r="AD40" s="41" t="s">
        <v>605</v>
      </c>
      <c r="AE40" s="41" t="s">
        <v>102</v>
      </c>
      <c r="AF40" s="41" t="s">
        <v>2212</v>
      </c>
      <c r="AG40" s="41" t="s">
        <v>138</v>
      </c>
      <c r="AH40" s="41" t="s">
        <v>169</v>
      </c>
      <c r="AI40" s="41">
        <v>2</v>
      </c>
      <c r="AJ40" s="41">
        <v>2</v>
      </c>
      <c r="AK40" s="41">
        <v>0</v>
      </c>
      <c r="AL40" s="42">
        <v>0</v>
      </c>
      <c r="AM40" s="41" t="s">
        <v>144</v>
      </c>
      <c r="AN40" s="42">
        <v>0</v>
      </c>
      <c r="AO40" s="41" t="s">
        <v>104</v>
      </c>
      <c r="AP40" s="41" t="s">
        <v>541</v>
      </c>
      <c r="AQ40" s="41" t="s">
        <v>104</v>
      </c>
      <c r="AR40" s="41" t="s">
        <v>165</v>
      </c>
      <c r="AS40" s="41" t="s">
        <v>169</v>
      </c>
      <c r="AT40" s="41" t="s">
        <v>104</v>
      </c>
      <c r="AU40" s="41" t="s">
        <v>173</v>
      </c>
      <c r="AW40" s="41" t="s">
        <v>170</v>
      </c>
      <c r="AX40" s="41" t="s">
        <v>1499</v>
      </c>
      <c r="AY40" s="41" t="s">
        <v>1935</v>
      </c>
      <c r="AZ40" s="40"/>
      <c r="BA40" s="40"/>
    </row>
    <row r="41" spans="6:53" ht="29" x14ac:dyDescent="0.35">
      <c r="F41" s="40" t="s">
        <v>1036</v>
      </c>
      <c r="G41" s="85" t="s">
        <v>654</v>
      </c>
      <c r="H41" s="40" t="s">
        <v>654</v>
      </c>
      <c r="I41" s="41" t="s">
        <v>223</v>
      </c>
      <c r="J41" s="41" t="s">
        <v>601</v>
      </c>
      <c r="K41" s="41" t="s">
        <v>602</v>
      </c>
      <c r="L41" s="40" t="s">
        <v>603</v>
      </c>
      <c r="O41" s="40" t="s">
        <v>104</v>
      </c>
      <c r="P41" s="41" t="s">
        <v>104</v>
      </c>
      <c r="Q41" s="41" t="s">
        <v>104</v>
      </c>
      <c r="R41" s="41" t="s">
        <v>104</v>
      </c>
      <c r="S41" s="40" t="s">
        <v>169</v>
      </c>
      <c r="U41" s="41" t="s">
        <v>104</v>
      </c>
      <c r="V41" s="41" t="s">
        <v>104</v>
      </c>
      <c r="W41" s="41" t="s">
        <v>104</v>
      </c>
      <c r="X41" s="41" t="s">
        <v>104</v>
      </c>
      <c r="Y41" s="40" t="s">
        <v>604</v>
      </c>
      <c r="Z41" s="41" t="s">
        <v>605</v>
      </c>
      <c r="AA41" s="41" t="s">
        <v>117</v>
      </c>
      <c r="AB41" s="41" t="s">
        <v>646</v>
      </c>
      <c r="AC41" s="40" t="s">
        <v>604</v>
      </c>
      <c r="AD41" s="41" t="s">
        <v>607</v>
      </c>
      <c r="AE41" s="41" t="s">
        <v>117</v>
      </c>
      <c r="AF41" s="41" t="s">
        <v>647</v>
      </c>
      <c r="AG41" s="41" t="s">
        <v>138</v>
      </c>
      <c r="AH41" s="41" t="s">
        <v>169</v>
      </c>
      <c r="AI41" s="41">
        <v>2</v>
      </c>
      <c r="AJ41" s="41">
        <v>2</v>
      </c>
      <c r="AK41" s="41">
        <v>0</v>
      </c>
      <c r="AL41" s="42">
        <v>0</v>
      </c>
      <c r="AM41" s="41" t="s">
        <v>144</v>
      </c>
      <c r="AN41" s="42">
        <v>0</v>
      </c>
      <c r="AO41" s="41" t="s">
        <v>104</v>
      </c>
      <c r="AP41" s="41" t="s">
        <v>541</v>
      </c>
      <c r="AQ41" s="41" t="s">
        <v>104</v>
      </c>
      <c r="AR41" s="41" t="s">
        <v>165</v>
      </c>
      <c r="AS41" s="41" t="s">
        <v>169</v>
      </c>
      <c r="AT41" s="41" t="s">
        <v>104</v>
      </c>
      <c r="AU41" s="41" t="s">
        <v>173</v>
      </c>
      <c r="AW41" s="41" t="s">
        <v>170</v>
      </c>
      <c r="AX41" s="41" t="s">
        <v>1472</v>
      </c>
      <c r="AY41" s="41" t="s">
        <v>1908</v>
      </c>
      <c r="AZ41" s="40"/>
      <c r="BA41" s="40"/>
    </row>
    <row r="42" spans="6:53" ht="29" x14ac:dyDescent="0.35">
      <c r="F42" s="40" t="s">
        <v>1037</v>
      </c>
      <c r="G42" s="85" t="s">
        <v>655</v>
      </c>
      <c r="H42" s="40" t="s">
        <v>655</v>
      </c>
      <c r="I42" s="41" t="s">
        <v>223</v>
      </c>
      <c r="J42" s="41" t="s">
        <v>601</v>
      </c>
      <c r="K42" s="41" t="s">
        <v>602</v>
      </c>
      <c r="L42" s="40" t="s">
        <v>603</v>
      </c>
      <c r="O42" s="40" t="s">
        <v>104</v>
      </c>
      <c r="P42" s="41" t="s">
        <v>104</v>
      </c>
      <c r="Q42" s="41" t="s">
        <v>104</v>
      </c>
      <c r="R42" s="41" t="s">
        <v>104</v>
      </c>
      <c r="S42" s="40" t="s">
        <v>169</v>
      </c>
      <c r="U42" s="41" t="s">
        <v>104</v>
      </c>
      <c r="V42" s="41" t="s">
        <v>104</v>
      </c>
      <c r="W42" s="41" t="s">
        <v>104</v>
      </c>
      <c r="X42" s="41" t="s">
        <v>104</v>
      </c>
      <c r="Y42" s="40" t="s">
        <v>604</v>
      </c>
      <c r="Z42" s="41" t="s">
        <v>605</v>
      </c>
      <c r="AA42" s="41" t="s">
        <v>117</v>
      </c>
      <c r="AB42" s="41" t="s">
        <v>646</v>
      </c>
      <c r="AC42" s="40" t="s">
        <v>604</v>
      </c>
      <c r="AD42" s="41" t="s">
        <v>607</v>
      </c>
      <c r="AE42" s="41" t="s">
        <v>117</v>
      </c>
      <c r="AF42" s="41" t="s">
        <v>647</v>
      </c>
      <c r="AG42" s="41" t="s">
        <v>138</v>
      </c>
      <c r="AH42" s="41" t="s">
        <v>169</v>
      </c>
      <c r="AI42" s="41">
        <v>1</v>
      </c>
      <c r="AJ42" s="41">
        <v>1</v>
      </c>
      <c r="AK42" s="41">
        <v>0</v>
      </c>
      <c r="AL42" s="42">
        <v>0</v>
      </c>
      <c r="AM42" s="41" t="s">
        <v>144</v>
      </c>
      <c r="AN42" s="42">
        <v>0</v>
      </c>
      <c r="AO42" s="41" t="s">
        <v>104</v>
      </c>
      <c r="AP42" s="41" t="s">
        <v>541</v>
      </c>
      <c r="AQ42" s="41" t="s">
        <v>104</v>
      </c>
      <c r="AR42" s="41" t="s">
        <v>165</v>
      </c>
      <c r="AS42" s="41" t="s">
        <v>169</v>
      </c>
      <c r="AT42" s="41" t="s">
        <v>104</v>
      </c>
      <c r="AU42" s="41" t="s">
        <v>173</v>
      </c>
      <c r="AW42" s="41" t="s">
        <v>170</v>
      </c>
      <c r="AX42" s="41" t="s">
        <v>1473</v>
      </c>
      <c r="AY42" s="41" t="s">
        <v>1909</v>
      </c>
      <c r="AZ42" s="40"/>
      <c r="BA42" s="40"/>
    </row>
    <row r="43" spans="6:53" ht="29" x14ac:dyDescent="0.35">
      <c r="F43" s="40" t="s">
        <v>1038</v>
      </c>
      <c r="G43" s="85" t="s">
        <v>656</v>
      </c>
      <c r="H43" s="40" t="s">
        <v>656</v>
      </c>
      <c r="I43" s="41" t="s">
        <v>223</v>
      </c>
      <c r="J43" s="41" t="s">
        <v>601</v>
      </c>
      <c r="K43" s="41" t="s">
        <v>602</v>
      </c>
      <c r="L43" s="40" t="s">
        <v>603</v>
      </c>
      <c r="O43" s="40" t="s">
        <v>104</v>
      </c>
      <c r="P43" s="41" t="s">
        <v>104</v>
      </c>
      <c r="Q43" s="41" t="s">
        <v>104</v>
      </c>
      <c r="R43" s="41" t="s">
        <v>104</v>
      </c>
      <c r="S43" s="40" t="s">
        <v>169</v>
      </c>
      <c r="U43" s="41" t="s">
        <v>104</v>
      </c>
      <c r="V43" s="41" t="s">
        <v>104</v>
      </c>
      <c r="W43" s="41" t="s">
        <v>104</v>
      </c>
      <c r="X43" s="41" t="s">
        <v>104</v>
      </c>
      <c r="Y43" s="40" t="s">
        <v>604</v>
      </c>
      <c r="Z43" s="41" t="s">
        <v>605</v>
      </c>
      <c r="AA43" s="41" t="s">
        <v>117</v>
      </c>
      <c r="AB43" s="41" t="s">
        <v>646</v>
      </c>
      <c r="AC43" s="40" t="s">
        <v>604</v>
      </c>
      <c r="AD43" s="41" t="s">
        <v>607</v>
      </c>
      <c r="AE43" s="41" t="s">
        <v>117</v>
      </c>
      <c r="AF43" s="41" t="s">
        <v>647</v>
      </c>
      <c r="AG43" s="41" t="s">
        <v>138</v>
      </c>
      <c r="AH43" s="41" t="s">
        <v>169</v>
      </c>
      <c r="AI43" s="41">
        <v>1</v>
      </c>
      <c r="AJ43" s="41">
        <v>1</v>
      </c>
      <c r="AK43" s="41">
        <v>0</v>
      </c>
      <c r="AL43" s="42">
        <v>0</v>
      </c>
      <c r="AM43" s="41" t="s">
        <v>144</v>
      </c>
      <c r="AN43" s="42">
        <v>0</v>
      </c>
      <c r="AO43" s="41" t="s">
        <v>104</v>
      </c>
      <c r="AP43" s="41" t="s">
        <v>541</v>
      </c>
      <c r="AQ43" s="41" t="s">
        <v>104</v>
      </c>
      <c r="AR43" s="41" t="s">
        <v>165</v>
      </c>
      <c r="AS43" s="41" t="s">
        <v>169</v>
      </c>
      <c r="AT43" s="41" t="s">
        <v>104</v>
      </c>
      <c r="AU43" s="41" t="s">
        <v>173</v>
      </c>
      <c r="AW43" s="41" t="s">
        <v>170</v>
      </c>
      <c r="AX43" s="41" t="s">
        <v>1474</v>
      </c>
      <c r="AY43" s="41" t="s">
        <v>1910</v>
      </c>
      <c r="AZ43" s="40"/>
      <c r="BA43" s="40"/>
    </row>
    <row r="44" spans="6:53" ht="29" x14ac:dyDescent="0.35">
      <c r="F44" s="40" t="s">
        <v>1039</v>
      </c>
      <c r="G44" s="85" t="s">
        <v>628</v>
      </c>
      <c r="H44" s="40" t="s">
        <v>628</v>
      </c>
      <c r="I44" s="41" t="s">
        <v>223</v>
      </c>
      <c r="J44" s="41" t="s">
        <v>601</v>
      </c>
      <c r="K44" s="41" t="s">
        <v>602</v>
      </c>
      <c r="L44" s="40" t="s">
        <v>603</v>
      </c>
      <c r="O44" s="40" t="s">
        <v>104</v>
      </c>
      <c r="P44" s="41" t="s">
        <v>104</v>
      </c>
      <c r="Q44" s="41" t="s">
        <v>104</v>
      </c>
      <c r="R44" s="41" t="s">
        <v>104</v>
      </c>
      <c r="S44" s="40" t="s">
        <v>169</v>
      </c>
      <c r="T44" s="41" t="s">
        <v>657</v>
      </c>
      <c r="U44" s="41" t="s">
        <v>104</v>
      </c>
      <c r="V44" s="41" t="s">
        <v>104</v>
      </c>
      <c r="W44" s="41" t="s">
        <v>104</v>
      </c>
      <c r="X44" s="41" t="s">
        <v>115</v>
      </c>
      <c r="Y44" s="40" t="s">
        <v>604</v>
      </c>
      <c r="Z44" s="41" t="s">
        <v>605</v>
      </c>
      <c r="AA44" s="41" t="s">
        <v>117</v>
      </c>
      <c r="AB44" s="41" t="s">
        <v>646</v>
      </c>
      <c r="AC44" s="40" t="s">
        <v>604</v>
      </c>
      <c r="AD44" s="41" t="s">
        <v>607</v>
      </c>
      <c r="AE44" s="41" t="s">
        <v>117</v>
      </c>
      <c r="AF44" s="41" t="s">
        <v>647</v>
      </c>
      <c r="AG44" s="41" t="s">
        <v>138</v>
      </c>
      <c r="AH44" s="41" t="s">
        <v>169</v>
      </c>
      <c r="AI44" s="41">
        <v>1</v>
      </c>
      <c r="AJ44" s="41">
        <v>1</v>
      </c>
      <c r="AK44" s="41">
        <v>0</v>
      </c>
      <c r="AL44" s="42">
        <v>0</v>
      </c>
      <c r="AM44" s="41" t="s">
        <v>144</v>
      </c>
      <c r="AN44" s="42">
        <v>0</v>
      </c>
      <c r="AO44" s="41" t="s">
        <v>104</v>
      </c>
      <c r="AP44" s="41" t="s">
        <v>541</v>
      </c>
      <c r="AQ44" s="41" t="s">
        <v>104</v>
      </c>
      <c r="AR44" s="41" t="s">
        <v>165</v>
      </c>
      <c r="AS44" s="41" t="s">
        <v>169</v>
      </c>
      <c r="AT44" s="41" t="s">
        <v>104</v>
      </c>
      <c r="AU44" s="41" t="s">
        <v>173</v>
      </c>
      <c r="AW44" s="41" t="s">
        <v>170</v>
      </c>
      <c r="AX44" s="41" t="s">
        <v>1475</v>
      </c>
      <c r="AY44" s="41" t="s">
        <v>1911</v>
      </c>
      <c r="AZ44" s="40"/>
      <c r="BA44" s="40"/>
    </row>
    <row r="45" spans="6:53" ht="29" x14ac:dyDescent="0.35">
      <c r="F45" s="40" t="s">
        <v>1040</v>
      </c>
      <c r="G45" s="85" t="s">
        <v>658</v>
      </c>
      <c r="H45" s="40" t="s">
        <v>658</v>
      </c>
      <c r="I45" s="41" t="s">
        <v>223</v>
      </c>
      <c r="J45" s="41" t="s">
        <v>601</v>
      </c>
      <c r="K45" s="41" t="s">
        <v>602</v>
      </c>
      <c r="L45" s="40" t="s">
        <v>603</v>
      </c>
      <c r="O45" s="40" t="s">
        <v>104</v>
      </c>
      <c r="P45" s="41" t="s">
        <v>104</v>
      </c>
      <c r="Q45" s="41" t="s">
        <v>104</v>
      </c>
      <c r="R45" s="41" t="s">
        <v>104</v>
      </c>
      <c r="S45" s="40" t="s">
        <v>169</v>
      </c>
      <c r="T45" s="41" t="s">
        <v>659</v>
      </c>
      <c r="U45" s="41" t="s">
        <v>104</v>
      </c>
      <c r="V45" s="41" t="s">
        <v>107</v>
      </c>
      <c r="W45" s="41" t="s">
        <v>112</v>
      </c>
      <c r="X45" s="41" t="s">
        <v>104</v>
      </c>
      <c r="Y45" s="40" t="s">
        <v>604</v>
      </c>
      <c r="Z45" s="41" t="s">
        <v>605</v>
      </c>
      <c r="AA45" s="41" t="s">
        <v>117</v>
      </c>
      <c r="AB45" s="41" t="s">
        <v>660</v>
      </c>
      <c r="AC45" s="40" t="s">
        <v>604</v>
      </c>
      <c r="AD45" s="41" t="s">
        <v>607</v>
      </c>
      <c r="AE45" s="41" t="s">
        <v>117</v>
      </c>
      <c r="AF45" s="41" t="s">
        <v>661</v>
      </c>
      <c r="AG45" s="41" t="s">
        <v>138</v>
      </c>
      <c r="AH45" s="41" t="s">
        <v>169</v>
      </c>
      <c r="AI45" s="41">
        <v>2</v>
      </c>
      <c r="AJ45" s="41">
        <v>2</v>
      </c>
      <c r="AK45" s="41">
        <v>0</v>
      </c>
      <c r="AL45" s="42">
        <v>0</v>
      </c>
      <c r="AM45" s="41" t="s">
        <v>144</v>
      </c>
      <c r="AN45" s="42">
        <v>0</v>
      </c>
      <c r="AO45" s="41" t="s">
        <v>104</v>
      </c>
      <c r="AP45" s="41" t="s">
        <v>541</v>
      </c>
      <c r="AQ45" s="41" t="s">
        <v>104</v>
      </c>
      <c r="AR45" s="41" t="s">
        <v>165</v>
      </c>
      <c r="AS45" s="41" t="s">
        <v>169</v>
      </c>
      <c r="AT45" s="41" t="s">
        <v>104</v>
      </c>
      <c r="AU45" s="41" t="s">
        <v>173</v>
      </c>
      <c r="AW45" s="41" t="s">
        <v>170</v>
      </c>
      <c r="AX45" s="41" t="s">
        <v>1476</v>
      </c>
      <c r="AY45" s="41" t="s">
        <v>1912</v>
      </c>
      <c r="AZ45" s="40"/>
      <c r="BA45" s="40"/>
    </row>
    <row r="46" spans="6:53" ht="29" x14ac:dyDescent="0.35">
      <c r="F46" s="40" t="s">
        <v>1041</v>
      </c>
      <c r="G46" s="85" t="s">
        <v>662</v>
      </c>
      <c r="H46" s="40" t="s">
        <v>662</v>
      </c>
      <c r="I46" s="41" t="s">
        <v>223</v>
      </c>
      <c r="J46" s="41" t="s">
        <v>601</v>
      </c>
      <c r="K46" s="41" t="s">
        <v>602</v>
      </c>
      <c r="L46" s="40" t="s">
        <v>603</v>
      </c>
      <c r="O46" s="40" t="s">
        <v>104</v>
      </c>
      <c r="P46" s="41" t="s">
        <v>104</v>
      </c>
      <c r="Q46" s="41" t="s">
        <v>104</v>
      </c>
      <c r="R46" s="41" t="s">
        <v>104</v>
      </c>
      <c r="S46" s="40" t="s">
        <v>169</v>
      </c>
      <c r="T46" s="41" t="s">
        <v>663</v>
      </c>
      <c r="U46" s="41" t="s">
        <v>104</v>
      </c>
      <c r="V46" s="41" t="s">
        <v>104</v>
      </c>
      <c r="W46" s="41" t="s">
        <v>104</v>
      </c>
      <c r="X46" s="41" t="s">
        <v>104</v>
      </c>
      <c r="Y46" s="40" t="s">
        <v>604</v>
      </c>
      <c r="Z46" s="41" t="s">
        <v>605</v>
      </c>
      <c r="AA46" s="41" t="s">
        <v>117</v>
      </c>
      <c r="AB46" s="41" t="s">
        <v>660</v>
      </c>
      <c r="AC46" s="40" t="s">
        <v>604</v>
      </c>
      <c r="AD46" s="41" t="s">
        <v>607</v>
      </c>
      <c r="AE46" s="41" t="s">
        <v>117</v>
      </c>
      <c r="AF46" s="41" t="s">
        <v>661</v>
      </c>
      <c r="AG46" s="41" t="s">
        <v>138</v>
      </c>
      <c r="AH46" s="41" t="s">
        <v>169</v>
      </c>
      <c r="AI46" s="41">
        <v>1</v>
      </c>
      <c r="AJ46" s="41">
        <v>1</v>
      </c>
      <c r="AK46" s="41">
        <v>0</v>
      </c>
      <c r="AL46" s="42">
        <v>0</v>
      </c>
      <c r="AM46" s="41" t="s">
        <v>144</v>
      </c>
      <c r="AN46" s="42">
        <v>0</v>
      </c>
      <c r="AO46" s="41" t="s">
        <v>104</v>
      </c>
      <c r="AP46" s="41" t="s">
        <v>541</v>
      </c>
      <c r="AQ46" s="41" t="s">
        <v>104</v>
      </c>
      <c r="AR46" s="41" t="s">
        <v>165</v>
      </c>
      <c r="AS46" s="41" t="s">
        <v>169</v>
      </c>
      <c r="AT46" s="41" t="s">
        <v>104</v>
      </c>
      <c r="AU46" s="41" t="s">
        <v>173</v>
      </c>
      <c r="AW46" s="41" t="s">
        <v>170</v>
      </c>
      <c r="AX46" s="41" t="s">
        <v>1477</v>
      </c>
      <c r="AY46" s="41" t="s">
        <v>1913</v>
      </c>
      <c r="AZ46" s="40"/>
      <c r="BA46" s="40"/>
    </row>
    <row r="47" spans="6:53" ht="29" x14ac:dyDescent="0.35">
      <c r="F47" s="40" t="s">
        <v>1042</v>
      </c>
      <c r="G47" s="85" t="s">
        <v>616</v>
      </c>
      <c r="H47" s="40" t="s">
        <v>616</v>
      </c>
      <c r="I47" s="41" t="s">
        <v>223</v>
      </c>
      <c r="J47" s="41" t="s">
        <v>601</v>
      </c>
      <c r="K47" s="41" t="s">
        <v>602</v>
      </c>
      <c r="L47" s="40" t="s">
        <v>603</v>
      </c>
      <c r="O47" s="40" t="s">
        <v>104</v>
      </c>
      <c r="P47" s="41" t="s">
        <v>104</v>
      </c>
      <c r="Q47" s="41" t="s">
        <v>104</v>
      </c>
      <c r="R47" s="41" t="s">
        <v>104</v>
      </c>
      <c r="S47" s="40" t="s">
        <v>169</v>
      </c>
      <c r="U47" s="41" t="s">
        <v>104</v>
      </c>
      <c r="V47" s="41" t="s">
        <v>104</v>
      </c>
      <c r="W47" s="41" t="s">
        <v>104</v>
      </c>
      <c r="X47" s="41" t="s">
        <v>104</v>
      </c>
      <c r="Y47" s="40" t="s">
        <v>604</v>
      </c>
      <c r="Z47" s="41" t="s">
        <v>605</v>
      </c>
      <c r="AA47" s="41" t="s">
        <v>117</v>
      </c>
      <c r="AB47" s="41" t="s">
        <v>660</v>
      </c>
      <c r="AC47" s="40" t="s">
        <v>604</v>
      </c>
      <c r="AD47" s="41" t="s">
        <v>607</v>
      </c>
      <c r="AE47" s="41" t="s">
        <v>117</v>
      </c>
      <c r="AF47" s="41" t="s">
        <v>661</v>
      </c>
      <c r="AG47" s="41" t="s">
        <v>138</v>
      </c>
      <c r="AH47" s="41" t="s">
        <v>169</v>
      </c>
      <c r="AI47" s="41">
        <v>3</v>
      </c>
      <c r="AJ47" s="41">
        <v>3</v>
      </c>
      <c r="AK47" s="41">
        <v>0</v>
      </c>
      <c r="AL47" s="42">
        <v>0</v>
      </c>
      <c r="AM47" s="41" t="s">
        <v>144</v>
      </c>
      <c r="AN47" s="42">
        <v>0</v>
      </c>
      <c r="AO47" s="41" t="s">
        <v>104</v>
      </c>
      <c r="AP47" s="41" t="s">
        <v>541</v>
      </c>
      <c r="AQ47" s="41" t="s">
        <v>104</v>
      </c>
      <c r="AR47" s="41" t="s">
        <v>165</v>
      </c>
      <c r="AS47" s="41" t="s">
        <v>169</v>
      </c>
      <c r="AT47" s="41" t="s">
        <v>104</v>
      </c>
      <c r="AU47" s="41" t="s">
        <v>173</v>
      </c>
      <c r="AW47" s="41" t="s">
        <v>170</v>
      </c>
      <c r="AX47" s="41" t="s">
        <v>1478</v>
      </c>
      <c r="AY47" s="41" t="s">
        <v>1914</v>
      </c>
      <c r="AZ47" s="40"/>
      <c r="BA47" s="40"/>
    </row>
    <row r="48" spans="6:53" ht="29" x14ac:dyDescent="0.35">
      <c r="F48" s="40" t="s">
        <v>1043</v>
      </c>
      <c r="G48" s="85" t="s">
        <v>664</v>
      </c>
      <c r="H48" s="40" t="s">
        <v>664</v>
      </c>
      <c r="I48" s="41" t="s">
        <v>223</v>
      </c>
      <c r="J48" s="41" t="s">
        <v>601</v>
      </c>
      <c r="K48" s="41" t="s">
        <v>602</v>
      </c>
      <c r="L48" s="40" t="s">
        <v>603</v>
      </c>
      <c r="O48" s="40" t="s">
        <v>104</v>
      </c>
      <c r="P48" s="41" t="s">
        <v>104</v>
      </c>
      <c r="Q48" s="41" t="s">
        <v>104</v>
      </c>
      <c r="R48" s="41" t="s">
        <v>104</v>
      </c>
      <c r="S48" s="40" t="s">
        <v>169</v>
      </c>
      <c r="T48" s="41" t="s">
        <v>665</v>
      </c>
      <c r="U48" s="41" t="s">
        <v>104</v>
      </c>
      <c r="V48" s="41" t="s">
        <v>104</v>
      </c>
      <c r="W48" s="41" t="s">
        <v>104</v>
      </c>
      <c r="X48" s="41" t="s">
        <v>104</v>
      </c>
      <c r="Y48" s="40" t="s">
        <v>604</v>
      </c>
      <c r="Z48" s="41" t="s">
        <v>605</v>
      </c>
      <c r="AA48" s="41" t="s">
        <v>117</v>
      </c>
      <c r="AB48" s="41" t="s">
        <v>660</v>
      </c>
      <c r="AC48" s="40" t="s">
        <v>604</v>
      </c>
      <c r="AD48" s="41" t="s">
        <v>607</v>
      </c>
      <c r="AE48" s="41" t="s">
        <v>117</v>
      </c>
      <c r="AF48" s="41" t="s">
        <v>661</v>
      </c>
      <c r="AG48" s="41" t="s">
        <v>138</v>
      </c>
      <c r="AH48" s="41" t="s">
        <v>169</v>
      </c>
      <c r="AI48" s="41">
        <v>2</v>
      </c>
      <c r="AJ48" s="41">
        <v>2</v>
      </c>
      <c r="AK48" s="41">
        <v>0</v>
      </c>
      <c r="AL48" s="42">
        <v>0</v>
      </c>
      <c r="AM48" s="41" t="s">
        <v>144</v>
      </c>
      <c r="AN48" s="42">
        <v>0</v>
      </c>
      <c r="AO48" s="41" t="s">
        <v>104</v>
      </c>
      <c r="AP48" s="41" t="s">
        <v>541</v>
      </c>
      <c r="AQ48" s="41" t="s">
        <v>104</v>
      </c>
      <c r="AR48" s="41" t="s">
        <v>165</v>
      </c>
      <c r="AS48" s="41" t="s">
        <v>169</v>
      </c>
      <c r="AT48" s="41" t="s">
        <v>104</v>
      </c>
      <c r="AU48" s="41" t="s">
        <v>173</v>
      </c>
      <c r="AW48" s="41" t="s">
        <v>170</v>
      </c>
      <c r="AX48" s="41" t="s">
        <v>1479</v>
      </c>
      <c r="AY48" s="41" t="s">
        <v>1915</v>
      </c>
      <c r="AZ48" s="40"/>
      <c r="BA48" s="40"/>
    </row>
    <row r="49" spans="6:53" ht="29" x14ac:dyDescent="0.35">
      <c r="F49" s="40" t="s">
        <v>1044</v>
      </c>
      <c r="G49" s="85" t="s">
        <v>666</v>
      </c>
      <c r="H49" s="40" t="s">
        <v>666</v>
      </c>
      <c r="I49" s="41" t="s">
        <v>223</v>
      </c>
      <c r="J49" s="41" t="s">
        <v>601</v>
      </c>
      <c r="K49" s="41" t="s">
        <v>602</v>
      </c>
      <c r="L49" s="40" t="s">
        <v>603</v>
      </c>
      <c r="O49" s="40" t="s">
        <v>104</v>
      </c>
      <c r="P49" s="41" t="s">
        <v>104</v>
      </c>
      <c r="Q49" s="41" t="s">
        <v>104</v>
      </c>
      <c r="R49" s="41" t="s">
        <v>104</v>
      </c>
      <c r="S49" s="40" t="s">
        <v>169</v>
      </c>
      <c r="U49" s="41" t="s">
        <v>104</v>
      </c>
      <c r="V49" s="41" t="s">
        <v>104</v>
      </c>
      <c r="W49" s="41" t="s">
        <v>104</v>
      </c>
      <c r="X49" s="41" t="s">
        <v>104</v>
      </c>
      <c r="Y49" s="40" t="s">
        <v>604</v>
      </c>
      <c r="Z49" s="41" t="s">
        <v>605</v>
      </c>
      <c r="AA49" s="41" t="s">
        <v>117</v>
      </c>
      <c r="AB49" s="41" t="s">
        <v>660</v>
      </c>
      <c r="AC49" s="40" t="s">
        <v>604</v>
      </c>
      <c r="AD49" s="41" t="s">
        <v>607</v>
      </c>
      <c r="AE49" s="41" t="s">
        <v>117</v>
      </c>
      <c r="AF49" s="41" t="s">
        <v>661</v>
      </c>
      <c r="AG49" s="41" t="s">
        <v>138</v>
      </c>
      <c r="AH49" s="41" t="s">
        <v>169</v>
      </c>
      <c r="AI49" s="41">
        <v>1</v>
      </c>
      <c r="AJ49" s="41">
        <v>1</v>
      </c>
      <c r="AK49" s="41">
        <v>0</v>
      </c>
      <c r="AL49" s="42">
        <v>0</v>
      </c>
      <c r="AM49" s="41" t="s">
        <v>144</v>
      </c>
      <c r="AN49" s="42">
        <v>0</v>
      </c>
      <c r="AO49" s="41" t="s">
        <v>104</v>
      </c>
      <c r="AP49" s="41" t="s">
        <v>541</v>
      </c>
      <c r="AQ49" s="41" t="s">
        <v>104</v>
      </c>
      <c r="AR49" s="41" t="s">
        <v>165</v>
      </c>
      <c r="AS49" s="41" t="s">
        <v>169</v>
      </c>
      <c r="AT49" s="41" t="s">
        <v>104</v>
      </c>
      <c r="AU49" s="41" t="s">
        <v>173</v>
      </c>
      <c r="AW49" s="41" t="s">
        <v>170</v>
      </c>
      <c r="AX49" s="41" t="s">
        <v>1480</v>
      </c>
      <c r="AY49" s="41" t="s">
        <v>1916</v>
      </c>
      <c r="AZ49" s="40"/>
      <c r="BA49" s="40"/>
    </row>
    <row r="50" spans="6:53" ht="29" x14ac:dyDescent="0.35">
      <c r="F50" s="40" t="s">
        <v>1045</v>
      </c>
      <c r="G50" s="85" t="s">
        <v>667</v>
      </c>
      <c r="H50" s="40" t="s">
        <v>667</v>
      </c>
      <c r="I50" s="41" t="s">
        <v>223</v>
      </c>
      <c r="J50" s="41" t="s">
        <v>601</v>
      </c>
      <c r="K50" s="41" t="s">
        <v>602</v>
      </c>
      <c r="L50" s="40" t="s">
        <v>603</v>
      </c>
      <c r="O50" s="40" t="s">
        <v>104</v>
      </c>
      <c r="P50" s="41" t="s">
        <v>104</v>
      </c>
      <c r="Q50" s="41" t="s">
        <v>104</v>
      </c>
      <c r="R50" s="41" t="s">
        <v>104</v>
      </c>
      <c r="S50" s="40" t="s">
        <v>169</v>
      </c>
      <c r="U50" s="41" t="s">
        <v>104</v>
      </c>
      <c r="V50" s="41" t="s">
        <v>104</v>
      </c>
      <c r="W50" s="41" t="s">
        <v>104</v>
      </c>
      <c r="X50" s="41" t="s">
        <v>104</v>
      </c>
      <c r="Y50" s="40" t="s">
        <v>604</v>
      </c>
      <c r="Z50" s="41" t="s">
        <v>605</v>
      </c>
      <c r="AA50" s="41" t="s">
        <v>117</v>
      </c>
      <c r="AB50" s="41" t="s">
        <v>660</v>
      </c>
      <c r="AC50" s="40" t="s">
        <v>604</v>
      </c>
      <c r="AD50" s="41" t="s">
        <v>607</v>
      </c>
      <c r="AE50" s="41" t="s">
        <v>117</v>
      </c>
      <c r="AF50" s="41" t="s">
        <v>661</v>
      </c>
      <c r="AG50" s="41" t="s">
        <v>138</v>
      </c>
      <c r="AH50" s="41" t="s">
        <v>169</v>
      </c>
      <c r="AI50" s="41">
        <v>1</v>
      </c>
      <c r="AJ50" s="41">
        <v>1</v>
      </c>
      <c r="AK50" s="41">
        <v>0</v>
      </c>
      <c r="AL50" s="42">
        <v>0</v>
      </c>
      <c r="AM50" s="41" t="s">
        <v>144</v>
      </c>
      <c r="AN50" s="42">
        <v>0</v>
      </c>
      <c r="AO50" s="41" t="s">
        <v>104</v>
      </c>
      <c r="AP50" s="41" t="s">
        <v>541</v>
      </c>
      <c r="AQ50" s="41" t="s">
        <v>104</v>
      </c>
      <c r="AR50" s="41" t="s">
        <v>165</v>
      </c>
      <c r="AS50" s="41" t="s">
        <v>169</v>
      </c>
      <c r="AT50" s="41" t="s">
        <v>104</v>
      </c>
      <c r="AU50" s="41" t="s">
        <v>173</v>
      </c>
      <c r="AW50" s="41" t="s">
        <v>170</v>
      </c>
      <c r="AX50" s="41" t="s">
        <v>1481</v>
      </c>
      <c r="AY50" s="41" t="s">
        <v>1917</v>
      </c>
      <c r="AZ50" s="40"/>
      <c r="BA50" s="40"/>
    </row>
    <row r="51" spans="6:53" ht="29" x14ac:dyDescent="0.35">
      <c r="F51" s="40" t="s">
        <v>1046</v>
      </c>
      <c r="G51" s="85" t="s">
        <v>654</v>
      </c>
      <c r="H51" s="40" t="s">
        <v>654</v>
      </c>
      <c r="I51" s="41" t="s">
        <v>223</v>
      </c>
      <c r="J51" s="41" t="s">
        <v>601</v>
      </c>
      <c r="K51" s="41" t="s">
        <v>602</v>
      </c>
      <c r="L51" s="40" t="s">
        <v>603</v>
      </c>
      <c r="O51" s="40" t="s">
        <v>104</v>
      </c>
      <c r="P51" s="41" t="s">
        <v>104</v>
      </c>
      <c r="Q51" s="41" t="s">
        <v>104</v>
      </c>
      <c r="R51" s="41" t="s">
        <v>104</v>
      </c>
      <c r="S51" s="40" t="s">
        <v>169</v>
      </c>
      <c r="U51" s="41" t="s">
        <v>104</v>
      </c>
      <c r="V51" s="41" t="s">
        <v>104</v>
      </c>
      <c r="W51" s="41" t="s">
        <v>104</v>
      </c>
      <c r="X51" s="41" t="s">
        <v>104</v>
      </c>
      <c r="Y51" s="40" t="s">
        <v>604</v>
      </c>
      <c r="Z51" s="41" t="s">
        <v>605</v>
      </c>
      <c r="AA51" s="41" t="s">
        <v>117</v>
      </c>
      <c r="AB51" s="41" t="s">
        <v>660</v>
      </c>
      <c r="AC51" s="40" t="s">
        <v>604</v>
      </c>
      <c r="AD51" s="41" t="s">
        <v>607</v>
      </c>
      <c r="AE51" s="41" t="s">
        <v>117</v>
      </c>
      <c r="AF51" s="41" t="s">
        <v>661</v>
      </c>
      <c r="AG51" s="41" t="s">
        <v>138</v>
      </c>
      <c r="AH51" s="41" t="s">
        <v>169</v>
      </c>
      <c r="AI51" s="41">
        <v>2</v>
      </c>
      <c r="AJ51" s="41">
        <v>2</v>
      </c>
      <c r="AK51" s="41">
        <v>0</v>
      </c>
      <c r="AL51" s="42">
        <v>0</v>
      </c>
      <c r="AM51" s="41" t="s">
        <v>144</v>
      </c>
      <c r="AN51" s="42">
        <v>0</v>
      </c>
      <c r="AO51" s="41" t="s">
        <v>104</v>
      </c>
      <c r="AP51" s="41" t="s">
        <v>541</v>
      </c>
      <c r="AQ51" s="41" t="s">
        <v>104</v>
      </c>
      <c r="AR51" s="41" t="s">
        <v>165</v>
      </c>
      <c r="AS51" s="41" t="s">
        <v>169</v>
      </c>
      <c r="AT51" s="41" t="s">
        <v>104</v>
      </c>
      <c r="AU51" s="41" t="s">
        <v>173</v>
      </c>
      <c r="AW51" s="41" t="s">
        <v>170</v>
      </c>
      <c r="AX51" s="41" t="s">
        <v>1482</v>
      </c>
      <c r="AY51" s="41" t="s">
        <v>1918</v>
      </c>
      <c r="AZ51" s="40"/>
      <c r="BA51" s="40"/>
    </row>
    <row r="52" spans="6:53" ht="29" x14ac:dyDescent="0.35">
      <c r="F52" s="40" t="s">
        <v>1047</v>
      </c>
      <c r="G52" s="85" t="s">
        <v>628</v>
      </c>
      <c r="H52" s="40" t="s">
        <v>628</v>
      </c>
      <c r="I52" s="41" t="s">
        <v>223</v>
      </c>
      <c r="J52" s="41" t="s">
        <v>601</v>
      </c>
      <c r="K52" s="41" t="s">
        <v>602</v>
      </c>
      <c r="L52" s="40" t="s">
        <v>603</v>
      </c>
      <c r="O52" s="40" t="s">
        <v>104</v>
      </c>
      <c r="P52" s="41" t="s">
        <v>104</v>
      </c>
      <c r="Q52" s="41" t="s">
        <v>104</v>
      </c>
      <c r="R52" s="41" t="s">
        <v>104</v>
      </c>
      <c r="S52" s="40" t="s">
        <v>169</v>
      </c>
      <c r="T52" s="41" t="s">
        <v>657</v>
      </c>
      <c r="U52" s="41" t="s">
        <v>104</v>
      </c>
      <c r="V52" s="41" t="s">
        <v>104</v>
      </c>
      <c r="W52" s="41" t="s">
        <v>104</v>
      </c>
      <c r="X52" s="41" t="s">
        <v>115</v>
      </c>
      <c r="Y52" s="40" t="s">
        <v>604</v>
      </c>
      <c r="Z52" s="41" t="s">
        <v>605</v>
      </c>
      <c r="AA52" s="41" t="s">
        <v>117</v>
      </c>
      <c r="AB52" s="41" t="s">
        <v>668</v>
      </c>
      <c r="AC52" s="40" t="s">
        <v>604</v>
      </c>
      <c r="AD52" s="41" t="s">
        <v>607</v>
      </c>
      <c r="AE52" s="41" t="s">
        <v>117</v>
      </c>
      <c r="AF52" s="41" t="s">
        <v>669</v>
      </c>
      <c r="AG52" s="41" t="s">
        <v>138</v>
      </c>
      <c r="AH52" s="41" t="s">
        <v>169</v>
      </c>
      <c r="AI52" s="41">
        <v>1</v>
      </c>
      <c r="AJ52" s="41">
        <v>1</v>
      </c>
      <c r="AK52" s="41">
        <v>0</v>
      </c>
      <c r="AL52" s="42">
        <v>0</v>
      </c>
      <c r="AM52" s="41" t="s">
        <v>144</v>
      </c>
      <c r="AN52" s="42">
        <v>0</v>
      </c>
      <c r="AO52" s="41" t="s">
        <v>104</v>
      </c>
      <c r="AP52" s="41" t="s">
        <v>541</v>
      </c>
      <c r="AQ52" s="41" t="s">
        <v>104</v>
      </c>
      <c r="AR52" s="41" t="s">
        <v>165</v>
      </c>
      <c r="AS52" s="41" t="s">
        <v>169</v>
      </c>
      <c r="AT52" s="41" t="s">
        <v>104</v>
      </c>
      <c r="AU52" s="41" t="s">
        <v>173</v>
      </c>
      <c r="AW52" s="41" t="s">
        <v>170</v>
      </c>
      <c r="AX52" s="41" t="s">
        <v>1483</v>
      </c>
      <c r="AY52" s="41" t="s">
        <v>1919</v>
      </c>
      <c r="AZ52" s="40"/>
      <c r="BA52" s="40"/>
    </row>
    <row r="53" spans="6:53" ht="29" x14ac:dyDescent="0.35">
      <c r="F53" s="40" t="s">
        <v>1048</v>
      </c>
      <c r="G53" s="85" t="s">
        <v>658</v>
      </c>
      <c r="H53" s="40" t="s">
        <v>658</v>
      </c>
      <c r="I53" s="41" t="s">
        <v>223</v>
      </c>
      <c r="J53" s="41" t="s">
        <v>601</v>
      </c>
      <c r="K53" s="41" t="s">
        <v>602</v>
      </c>
      <c r="L53" s="40" t="s">
        <v>603</v>
      </c>
      <c r="O53" s="40" t="s">
        <v>104</v>
      </c>
      <c r="P53" s="41" t="s">
        <v>104</v>
      </c>
      <c r="Q53" s="41" t="s">
        <v>104</v>
      </c>
      <c r="R53" s="41" t="s">
        <v>104</v>
      </c>
      <c r="S53" s="40" t="s">
        <v>169</v>
      </c>
      <c r="U53" s="41" t="s">
        <v>104</v>
      </c>
      <c r="V53" s="41" t="s">
        <v>107</v>
      </c>
      <c r="W53" s="41" t="s">
        <v>112</v>
      </c>
      <c r="X53" s="41" t="s">
        <v>104</v>
      </c>
      <c r="Y53" s="40" t="s">
        <v>604</v>
      </c>
      <c r="Z53" s="41" t="s">
        <v>605</v>
      </c>
      <c r="AA53" s="41" t="s">
        <v>117</v>
      </c>
      <c r="AB53" s="41" t="s">
        <v>668</v>
      </c>
      <c r="AC53" s="40" t="s">
        <v>604</v>
      </c>
      <c r="AD53" s="41" t="s">
        <v>607</v>
      </c>
      <c r="AE53" s="41" t="s">
        <v>117</v>
      </c>
      <c r="AF53" s="41" t="s">
        <v>669</v>
      </c>
      <c r="AG53" s="41" t="s">
        <v>138</v>
      </c>
      <c r="AH53" s="41" t="s">
        <v>169</v>
      </c>
      <c r="AI53" s="41">
        <v>1</v>
      </c>
      <c r="AJ53" s="41">
        <v>1</v>
      </c>
      <c r="AK53" s="41">
        <v>0</v>
      </c>
      <c r="AL53" s="42">
        <v>0</v>
      </c>
      <c r="AM53" s="41" t="s">
        <v>144</v>
      </c>
      <c r="AN53" s="42">
        <v>0</v>
      </c>
      <c r="AO53" s="41" t="s">
        <v>104</v>
      </c>
      <c r="AP53" s="41" t="s">
        <v>541</v>
      </c>
      <c r="AQ53" s="41" t="s">
        <v>104</v>
      </c>
      <c r="AR53" s="41" t="s">
        <v>165</v>
      </c>
      <c r="AS53" s="41" t="s">
        <v>169</v>
      </c>
      <c r="AT53" s="41" t="s">
        <v>104</v>
      </c>
      <c r="AU53" s="41" t="s">
        <v>173</v>
      </c>
      <c r="AW53" s="41" t="s">
        <v>170</v>
      </c>
      <c r="AX53" s="41" t="s">
        <v>1484</v>
      </c>
      <c r="AY53" s="41" t="s">
        <v>1920</v>
      </c>
      <c r="AZ53" s="40"/>
      <c r="BA53" s="40"/>
    </row>
    <row r="54" spans="6:53" ht="29" x14ac:dyDescent="0.35">
      <c r="F54" s="40" t="s">
        <v>1049</v>
      </c>
      <c r="G54" s="85" t="s">
        <v>616</v>
      </c>
      <c r="H54" s="40" t="s">
        <v>616</v>
      </c>
      <c r="I54" s="41" t="s">
        <v>223</v>
      </c>
      <c r="J54" s="41" t="s">
        <v>601</v>
      </c>
      <c r="K54" s="41" t="s">
        <v>602</v>
      </c>
      <c r="L54" s="40" t="s">
        <v>603</v>
      </c>
      <c r="O54" s="40" t="s">
        <v>104</v>
      </c>
      <c r="P54" s="41" t="s">
        <v>104</v>
      </c>
      <c r="Q54" s="41" t="s">
        <v>104</v>
      </c>
      <c r="R54" s="41" t="s">
        <v>104</v>
      </c>
      <c r="S54" s="40" t="s">
        <v>169</v>
      </c>
      <c r="U54" s="41" t="s">
        <v>104</v>
      </c>
      <c r="V54" s="41" t="s">
        <v>104</v>
      </c>
      <c r="W54" s="41" t="s">
        <v>104</v>
      </c>
      <c r="X54" s="41" t="s">
        <v>104</v>
      </c>
      <c r="Y54" s="40" t="s">
        <v>604</v>
      </c>
      <c r="Z54" s="41" t="s">
        <v>605</v>
      </c>
      <c r="AA54" s="41" t="s">
        <v>117</v>
      </c>
      <c r="AB54" s="41" t="s">
        <v>668</v>
      </c>
      <c r="AC54" s="40" t="s">
        <v>604</v>
      </c>
      <c r="AD54" s="41" t="s">
        <v>607</v>
      </c>
      <c r="AE54" s="41" t="s">
        <v>117</v>
      </c>
      <c r="AF54" s="41" t="s">
        <v>669</v>
      </c>
      <c r="AG54" s="41" t="s">
        <v>138</v>
      </c>
      <c r="AH54" s="41" t="s">
        <v>169</v>
      </c>
      <c r="AI54" s="41">
        <v>1</v>
      </c>
      <c r="AJ54" s="41">
        <v>1</v>
      </c>
      <c r="AK54" s="41">
        <v>0</v>
      </c>
      <c r="AL54" s="42">
        <v>0</v>
      </c>
      <c r="AM54" s="41" t="s">
        <v>144</v>
      </c>
      <c r="AN54" s="42">
        <v>0</v>
      </c>
      <c r="AO54" s="41" t="s">
        <v>104</v>
      </c>
      <c r="AP54" s="41" t="s">
        <v>541</v>
      </c>
      <c r="AQ54" s="41" t="s">
        <v>104</v>
      </c>
      <c r="AR54" s="41" t="s">
        <v>165</v>
      </c>
      <c r="AS54" s="41" t="s">
        <v>169</v>
      </c>
      <c r="AT54" s="41" t="s">
        <v>104</v>
      </c>
      <c r="AU54" s="41" t="s">
        <v>173</v>
      </c>
      <c r="AW54" s="41" t="s">
        <v>170</v>
      </c>
      <c r="AX54" s="41" t="s">
        <v>1485</v>
      </c>
      <c r="AY54" s="41" t="s">
        <v>1921</v>
      </c>
      <c r="AZ54" s="40"/>
      <c r="BA54" s="40"/>
    </row>
    <row r="55" spans="6:53" ht="29" x14ac:dyDescent="0.35">
      <c r="F55" s="40" t="s">
        <v>1050</v>
      </c>
      <c r="G55" s="85" t="s">
        <v>670</v>
      </c>
      <c r="H55" s="40" t="s">
        <v>670</v>
      </c>
      <c r="I55" s="41" t="s">
        <v>223</v>
      </c>
      <c r="J55" s="41" t="s">
        <v>601</v>
      </c>
      <c r="K55" s="41" t="s">
        <v>602</v>
      </c>
      <c r="L55" s="40" t="s">
        <v>603</v>
      </c>
      <c r="O55" s="40" t="s">
        <v>104</v>
      </c>
      <c r="P55" s="41" t="s">
        <v>104</v>
      </c>
      <c r="Q55" s="41" t="s">
        <v>104</v>
      </c>
      <c r="R55" s="41" t="s">
        <v>104</v>
      </c>
      <c r="S55" s="40" t="s">
        <v>169</v>
      </c>
      <c r="U55" s="41" t="s">
        <v>104</v>
      </c>
      <c r="V55" s="41" t="s">
        <v>104</v>
      </c>
      <c r="W55" s="41" t="s">
        <v>104</v>
      </c>
      <c r="X55" s="41" t="s">
        <v>104</v>
      </c>
      <c r="Y55" s="40" t="s">
        <v>604</v>
      </c>
      <c r="Z55" s="41" t="s">
        <v>605</v>
      </c>
      <c r="AA55" s="41" t="s">
        <v>117</v>
      </c>
      <c r="AB55" s="41" t="s">
        <v>668</v>
      </c>
      <c r="AC55" s="40" t="s">
        <v>604</v>
      </c>
      <c r="AD55" s="41" t="s">
        <v>607</v>
      </c>
      <c r="AE55" s="41" t="s">
        <v>117</v>
      </c>
      <c r="AF55" s="41" t="s">
        <v>669</v>
      </c>
      <c r="AG55" s="41" t="s">
        <v>138</v>
      </c>
      <c r="AH55" s="41" t="s">
        <v>169</v>
      </c>
      <c r="AI55" s="41">
        <v>1</v>
      </c>
      <c r="AJ55" s="41">
        <v>1</v>
      </c>
      <c r="AK55" s="41">
        <v>0</v>
      </c>
      <c r="AL55" s="42">
        <v>0</v>
      </c>
      <c r="AM55" s="41" t="s">
        <v>144</v>
      </c>
      <c r="AN55" s="42">
        <v>0</v>
      </c>
      <c r="AO55" s="41" t="s">
        <v>104</v>
      </c>
      <c r="AP55" s="41" t="s">
        <v>541</v>
      </c>
      <c r="AQ55" s="41" t="s">
        <v>104</v>
      </c>
      <c r="AR55" s="41" t="s">
        <v>165</v>
      </c>
      <c r="AS55" s="41" t="s">
        <v>169</v>
      </c>
      <c r="AT55" s="41" t="s">
        <v>104</v>
      </c>
      <c r="AU55" s="41" t="s">
        <v>173</v>
      </c>
      <c r="AW55" s="41" t="s">
        <v>170</v>
      </c>
      <c r="AX55" s="41" t="s">
        <v>1486</v>
      </c>
      <c r="AY55" s="41" t="s">
        <v>1922</v>
      </c>
      <c r="AZ55" s="40"/>
      <c r="BA55" s="40"/>
    </row>
    <row r="56" spans="6:53" ht="29" x14ac:dyDescent="0.35">
      <c r="F56" s="40" t="s">
        <v>1051</v>
      </c>
      <c r="G56" s="85" t="s">
        <v>671</v>
      </c>
      <c r="H56" s="40" t="s">
        <v>671</v>
      </c>
      <c r="I56" s="41" t="s">
        <v>223</v>
      </c>
      <c r="J56" s="41" t="s">
        <v>601</v>
      </c>
      <c r="K56" s="41" t="s">
        <v>602</v>
      </c>
      <c r="L56" s="40" t="s">
        <v>603</v>
      </c>
      <c r="O56" s="40" t="s">
        <v>104</v>
      </c>
      <c r="P56" s="41" t="s">
        <v>104</v>
      </c>
      <c r="Q56" s="41" t="s">
        <v>104</v>
      </c>
      <c r="R56" s="41" t="s">
        <v>104</v>
      </c>
      <c r="S56" s="40" t="s">
        <v>169</v>
      </c>
      <c r="U56" s="41" t="s">
        <v>104</v>
      </c>
      <c r="V56" s="41" t="s">
        <v>104</v>
      </c>
      <c r="W56" s="41" t="s">
        <v>104</v>
      </c>
      <c r="X56" s="41" t="s">
        <v>104</v>
      </c>
      <c r="Y56" s="40" t="s">
        <v>604</v>
      </c>
      <c r="Z56" s="41" t="s">
        <v>605</v>
      </c>
      <c r="AA56" s="41" t="s">
        <v>117</v>
      </c>
      <c r="AB56" s="41" t="s">
        <v>668</v>
      </c>
      <c r="AC56" s="40" t="s">
        <v>604</v>
      </c>
      <c r="AD56" s="41" t="s">
        <v>607</v>
      </c>
      <c r="AE56" s="41" t="s">
        <v>117</v>
      </c>
      <c r="AF56" s="41" t="s">
        <v>669</v>
      </c>
      <c r="AG56" s="41" t="s">
        <v>138</v>
      </c>
      <c r="AH56" s="41" t="s">
        <v>169</v>
      </c>
      <c r="AI56" s="41">
        <v>1</v>
      </c>
      <c r="AJ56" s="41">
        <v>1</v>
      </c>
      <c r="AK56" s="41">
        <v>0</v>
      </c>
      <c r="AL56" s="42">
        <v>0</v>
      </c>
      <c r="AM56" s="41" t="s">
        <v>144</v>
      </c>
      <c r="AN56" s="42">
        <v>0</v>
      </c>
      <c r="AO56" s="41" t="s">
        <v>104</v>
      </c>
      <c r="AP56" s="41" t="s">
        <v>541</v>
      </c>
      <c r="AQ56" s="41" t="s">
        <v>104</v>
      </c>
      <c r="AR56" s="41" t="s">
        <v>165</v>
      </c>
      <c r="AS56" s="41" t="s">
        <v>169</v>
      </c>
      <c r="AT56" s="41" t="s">
        <v>104</v>
      </c>
      <c r="AU56" s="41" t="s">
        <v>173</v>
      </c>
      <c r="AW56" s="41" t="s">
        <v>170</v>
      </c>
      <c r="AX56" s="41" t="s">
        <v>1487</v>
      </c>
      <c r="AY56" s="41" t="s">
        <v>1923</v>
      </c>
      <c r="AZ56" s="40"/>
      <c r="BA56" s="40"/>
    </row>
    <row r="57" spans="6:53" ht="29" x14ac:dyDescent="0.35">
      <c r="F57" s="40" t="s">
        <v>1052</v>
      </c>
      <c r="G57" s="85" t="s">
        <v>655</v>
      </c>
      <c r="H57" s="40" t="s">
        <v>655</v>
      </c>
      <c r="I57" s="41" t="s">
        <v>223</v>
      </c>
      <c r="J57" s="41" t="s">
        <v>601</v>
      </c>
      <c r="K57" s="41" t="s">
        <v>602</v>
      </c>
      <c r="L57" s="40" t="s">
        <v>603</v>
      </c>
      <c r="O57" s="40" t="s">
        <v>104</v>
      </c>
      <c r="P57" s="41" t="s">
        <v>104</v>
      </c>
      <c r="Q57" s="41" t="s">
        <v>104</v>
      </c>
      <c r="R57" s="41" t="s">
        <v>104</v>
      </c>
      <c r="S57" s="40" t="s">
        <v>169</v>
      </c>
      <c r="U57" s="41" t="s">
        <v>104</v>
      </c>
      <c r="V57" s="41" t="s">
        <v>104</v>
      </c>
      <c r="W57" s="41" t="s">
        <v>104</v>
      </c>
      <c r="X57" s="41" t="s">
        <v>104</v>
      </c>
      <c r="Y57" s="40" t="s">
        <v>604</v>
      </c>
      <c r="Z57" s="41" t="s">
        <v>605</v>
      </c>
      <c r="AA57" s="41" t="s">
        <v>117</v>
      </c>
      <c r="AB57" s="41" t="s">
        <v>668</v>
      </c>
      <c r="AC57" s="40" t="s">
        <v>604</v>
      </c>
      <c r="AD57" s="41" t="s">
        <v>607</v>
      </c>
      <c r="AE57" s="41" t="s">
        <v>117</v>
      </c>
      <c r="AF57" s="41" t="s">
        <v>669</v>
      </c>
      <c r="AG57" s="41" t="s">
        <v>138</v>
      </c>
      <c r="AH57" s="41" t="s">
        <v>169</v>
      </c>
      <c r="AI57" s="41">
        <v>1</v>
      </c>
      <c r="AJ57" s="41">
        <v>1</v>
      </c>
      <c r="AK57" s="41">
        <v>0</v>
      </c>
      <c r="AL57" s="42">
        <v>0</v>
      </c>
      <c r="AM57" s="41" t="s">
        <v>144</v>
      </c>
      <c r="AN57" s="42">
        <v>0</v>
      </c>
      <c r="AO57" s="41" t="s">
        <v>104</v>
      </c>
      <c r="AP57" s="41" t="s">
        <v>541</v>
      </c>
      <c r="AQ57" s="41" t="s">
        <v>104</v>
      </c>
      <c r="AR57" s="41" t="s">
        <v>165</v>
      </c>
      <c r="AS57" s="41" t="s">
        <v>169</v>
      </c>
      <c r="AT57" s="41" t="s">
        <v>104</v>
      </c>
      <c r="AU57" s="41" t="s">
        <v>173</v>
      </c>
      <c r="AW57" s="41" t="s">
        <v>170</v>
      </c>
      <c r="AX57" s="41" t="s">
        <v>1488</v>
      </c>
      <c r="AY57" s="41" t="s">
        <v>1924</v>
      </c>
      <c r="AZ57" s="40"/>
      <c r="BA57" s="40"/>
    </row>
    <row r="58" spans="6:53" ht="29" x14ac:dyDescent="0.35">
      <c r="F58" s="40" t="s">
        <v>1053</v>
      </c>
      <c r="G58" s="85" t="s">
        <v>624</v>
      </c>
      <c r="H58" s="40" t="s">
        <v>624</v>
      </c>
      <c r="I58" s="41" t="s">
        <v>223</v>
      </c>
      <c r="J58" s="41" t="s">
        <v>601</v>
      </c>
      <c r="K58" s="41" t="s">
        <v>602</v>
      </c>
      <c r="L58" s="40" t="s">
        <v>603</v>
      </c>
      <c r="O58" s="40" t="s">
        <v>104</v>
      </c>
      <c r="P58" s="41" t="s">
        <v>104</v>
      </c>
      <c r="Q58" s="41" t="s">
        <v>104</v>
      </c>
      <c r="R58" s="41" t="s">
        <v>104</v>
      </c>
      <c r="S58" s="40" t="s">
        <v>169</v>
      </c>
      <c r="U58" s="41" t="s">
        <v>104</v>
      </c>
      <c r="V58" s="41" t="s">
        <v>104</v>
      </c>
      <c r="W58" s="41" t="s">
        <v>104</v>
      </c>
      <c r="X58" s="41" t="s">
        <v>104</v>
      </c>
      <c r="Y58" s="40" t="s">
        <v>604</v>
      </c>
      <c r="Z58" s="41" t="s">
        <v>605</v>
      </c>
      <c r="AA58" s="41" t="s">
        <v>117</v>
      </c>
      <c r="AB58" s="41" t="s">
        <v>668</v>
      </c>
      <c r="AC58" s="40" t="s">
        <v>2213</v>
      </c>
      <c r="AD58" s="41">
        <v>3</v>
      </c>
      <c r="AE58" s="41" t="s">
        <v>117</v>
      </c>
      <c r="AF58" s="41">
        <v>310</v>
      </c>
      <c r="AG58" s="41" t="s">
        <v>138</v>
      </c>
      <c r="AH58" s="41" t="s">
        <v>169</v>
      </c>
      <c r="AI58" s="41">
        <v>1</v>
      </c>
      <c r="AJ58" s="41">
        <v>1</v>
      </c>
      <c r="AK58" s="41">
        <v>0</v>
      </c>
      <c r="AL58" s="42">
        <v>0</v>
      </c>
      <c r="AM58" s="41" t="s">
        <v>144</v>
      </c>
      <c r="AN58" s="42">
        <v>0</v>
      </c>
      <c r="AO58" s="41" t="s">
        <v>104</v>
      </c>
      <c r="AP58" s="41" t="s">
        <v>541</v>
      </c>
      <c r="AQ58" s="41" t="s">
        <v>104</v>
      </c>
      <c r="AR58" s="41" t="s">
        <v>165</v>
      </c>
      <c r="AS58" s="41" t="s">
        <v>169</v>
      </c>
      <c r="AT58" s="41" t="s">
        <v>104</v>
      </c>
      <c r="AU58" s="41" t="s">
        <v>173</v>
      </c>
      <c r="AW58" s="41" t="s">
        <v>170</v>
      </c>
      <c r="AX58" s="41" t="s">
        <v>1489</v>
      </c>
      <c r="AY58" s="41" t="s">
        <v>1925</v>
      </c>
      <c r="AZ58" s="40"/>
      <c r="BA58" s="40"/>
    </row>
    <row r="59" spans="6:53" ht="29" x14ac:dyDescent="0.35">
      <c r="F59" s="40" t="s">
        <v>1054</v>
      </c>
      <c r="G59" s="85" t="s">
        <v>621</v>
      </c>
      <c r="H59" s="40" t="s">
        <v>621</v>
      </c>
      <c r="I59" s="41" t="s">
        <v>223</v>
      </c>
      <c r="J59" s="41" t="s">
        <v>601</v>
      </c>
      <c r="K59" s="41" t="s">
        <v>602</v>
      </c>
      <c r="L59" s="40" t="s">
        <v>603</v>
      </c>
      <c r="O59" s="40" t="s">
        <v>104</v>
      </c>
      <c r="P59" s="41" t="s">
        <v>104</v>
      </c>
      <c r="Q59" s="41" t="s">
        <v>104</v>
      </c>
      <c r="R59" s="41" t="s">
        <v>104</v>
      </c>
      <c r="S59" s="40" t="s">
        <v>169</v>
      </c>
      <c r="U59" s="41" t="s">
        <v>104</v>
      </c>
      <c r="V59" s="41" t="s">
        <v>104</v>
      </c>
      <c r="W59" s="41" t="s">
        <v>104</v>
      </c>
      <c r="X59" s="41" t="s">
        <v>104</v>
      </c>
      <c r="Y59" s="40" t="s">
        <v>604</v>
      </c>
      <c r="Z59" s="41" t="s">
        <v>605</v>
      </c>
      <c r="AA59" s="41" t="s">
        <v>117</v>
      </c>
      <c r="AB59" s="41" t="s">
        <v>668</v>
      </c>
      <c r="AC59" s="40" t="s">
        <v>2213</v>
      </c>
      <c r="AD59" s="41">
        <v>3</v>
      </c>
      <c r="AE59" s="41" t="s">
        <v>117</v>
      </c>
      <c r="AF59" s="41">
        <v>310</v>
      </c>
      <c r="AG59" s="41" t="s">
        <v>138</v>
      </c>
      <c r="AH59" s="41" t="s">
        <v>169</v>
      </c>
      <c r="AI59" s="41">
        <v>6</v>
      </c>
      <c r="AJ59" s="41">
        <v>6</v>
      </c>
      <c r="AK59" s="41">
        <v>0</v>
      </c>
      <c r="AL59" s="42">
        <v>0</v>
      </c>
      <c r="AM59" s="41" t="s">
        <v>144</v>
      </c>
      <c r="AN59" s="42">
        <v>0</v>
      </c>
      <c r="AO59" s="41" t="s">
        <v>104</v>
      </c>
      <c r="AP59" s="41" t="s">
        <v>541</v>
      </c>
      <c r="AQ59" s="41" t="s">
        <v>104</v>
      </c>
      <c r="AR59" s="41" t="s">
        <v>165</v>
      </c>
      <c r="AS59" s="41" t="s">
        <v>169</v>
      </c>
      <c r="AT59" s="41" t="s">
        <v>104</v>
      </c>
      <c r="AU59" s="41" t="s">
        <v>173</v>
      </c>
      <c r="AW59" s="41" t="s">
        <v>170</v>
      </c>
      <c r="AX59" s="41" t="s">
        <v>1490</v>
      </c>
      <c r="AY59" s="41" t="s">
        <v>1926</v>
      </c>
      <c r="AZ59" s="40"/>
      <c r="BA59" s="40"/>
    </row>
    <row r="60" spans="6:53" ht="29" x14ac:dyDescent="0.35">
      <c r="F60" s="40" t="s">
        <v>1055</v>
      </c>
      <c r="G60" s="85" t="s">
        <v>672</v>
      </c>
      <c r="H60" s="40" t="s">
        <v>672</v>
      </c>
      <c r="I60" s="41" t="s">
        <v>223</v>
      </c>
      <c r="J60" s="41" t="s">
        <v>601</v>
      </c>
      <c r="K60" s="41" t="s">
        <v>602</v>
      </c>
      <c r="L60" s="40" t="s">
        <v>603</v>
      </c>
      <c r="O60" s="40" t="s">
        <v>104</v>
      </c>
      <c r="P60" s="41" t="s">
        <v>104</v>
      </c>
      <c r="Q60" s="41" t="s">
        <v>104</v>
      </c>
      <c r="R60" s="41" t="s">
        <v>104</v>
      </c>
      <c r="S60" s="40" t="s">
        <v>169</v>
      </c>
      <c r="T60" s="41" t="s">
        <v>673</v>
      </c>
      <c r="U60" s="41" t="s">
        <v>104</v>
      </c>
      <c r="V60" s="41" t="s">
        <v>107</v>
      </c>
      <c r="W60" s="41" t="s">
        <v>112</v>
      </c>
      <c r="X60" s="41" t="s">
        <v>115</v>
      </c>
      <c r="Y60" s="40" t="s">
        <v>604</v>
      </c>
      <c r="Z60" s="41" t="s">
        <v>605</v>
      </c>
      <c r="AA60" s="41" t="s">
        <v>117</v>
      </c>
      <c r="AB60" s="41" t="s">
        <v>668</v>
      </c>
      <c r="AC60" s="40" t="s">
        <v>604</v>
      </c>
      <c r="AD60" s="41" t="s">
        <v>607</v>
      </c>
      <c r="AE60" s="41" t="s">
        <v>117</v>
      </c>
      <c r="AF60" s="41" t="s">
        <v>669</v>
      </c>
      <c r="AG60" s="41" t="s">
        <v>138</v>
      </c>
      <c r="AH60" s="41" t="s">
        <v>169</v>
      </c>
      <c r="AI60" s="41">
        <v>1</v>
      </c>
      <c r="AJ60" s="41">
        <v>1</v>
      </c>
      <c r="AK60" s="41">
        <v>0</v>
      </c>
      <c r="AL60" s="42">
        <v>0</v>
      </c>
      <c r="AM60" s="41" t="s">
        <v>144</v>
      </c>
      <c r="AN60" s="42">
        <v>0</v>
      </c>
      <c r="AO60" s="41" t="s">
        <v>104</v>
      </c>
      <c r="AP60" s="41" t="s">
        <v>541</v>
      </c>
      <c r="AQ60" s="41" t="s">
        <v>104</v>
      </c>
      <c r="AR60" s="41" t="s">
        <v>165</v>
      </c>
      <c r="AS60" s="41" t="s">
        <v>169</v>
      </c>
      <c r="AT60" s="41" t="s">
        <v>104</v>
      </c>
      <c r="AU60" s="41" t="s">
        <v>173</v>
      </c>
      <c r="AW60" s="41" t="s">
        <v>170</v>
      </c>
      <c r="AX60" s="41" t="s">
        <v>1491</v>
      </c>
      <c r="AY60" s="41" t="s">
        <v>1927</v>
      </c>
      <c r="AZ60" s="40"/>
      <c r="BA60" s="40"/>
    </row>
    <row r="61" spans="6:53" ht="29" x14ac:dyDescent="0.35">
      <c r="F61" s="40" t="s">
        <v>1056</v>
      </c>
      <c r="G61" s="85" t="s">
        <v>630</v>
      </c>
      <c r="H61" s="40" t="s">
        <v>630</v>
      </c>
      <c r="I61" s="41" t="s">
        <v>223</v>
      </c>
      <c r="J61" s="41" t="s">
        <v>601</v>
      </c>
      <c r="K61" s="41" t="s">
        <v>602</v>
      </c>
      <c r="L61" s="40" t="s">
        <v>603</v>
      </c>
      <c r="O61" s="40" t="s">
        <v>104</v>
      </c>
      <c r="P61" s="41" t="s">
        <v>104</v>
      </c>
      <c r="Q61" s="41" t="s">
        <v>104</v>
      </c>
      <c r="R61" s="41" t="s">
        <v>104</v>
      </c>
      <c r="S61" s="40" t="s">
        <v>169</v>
      </c>
      <c r="U61" s="41" t="s">
        <v>104</v>
      </c>
      <c r="V61" s="41" t="s">
        <v>104</v>
      </c>
      <c r="W61" s="41" t="s">
        <v>104</v>
      </c>
      <c r="X61" s="41" t="s">
        <v>104</v>
      </c>
      <c r="Y61" s="40" t="s">
        <v>604</v>
      </c>
      <c r="Z61" s="41" t="s">
        <v>605</v>
      </c>
      <c r="AA61" s="41" t="s">
        <v>117</v>
      </c>
      <c r="AB61" s="41" t="s">
        <v>668</v>
      </c>
      <c r="AC61" s="40" t="s">
        <v>604</v>
      </c>
      <c r="AD61" s="41" t="s">
        <v>607</v>
      </c>
      <c r="AE61" s="41" t="s">
        <v>117</v>
      </c>
      <c r="AF61" s="41" t="s">
        <v>669</v>
      </c>
      <c r="AG61" s="41" t="s">
        <v>138</v>
      </c>
      <c r="AH61" s="41" t="s">
        <v>169</v>
      </c>
      <c r="AI61" s="41">
        <v>1</v>
      </c>
      <c r="AJ61" s="41">
        <v>1</v>
      </c>
      <c r="AK61" s="41">
        <v>0</v>
      </c>
      <c r="AL61" s="42">
        <v>0</v>
      </c>
      <c r="AM61" s="41" t="s">
        <v>144</v>
      </c>
      <c r="AN61" s="42">
        <v>0</v>
      </c>
      <c r="AO61" s="41" t="s">
        <v>104</v>
      </c>
      <c r="AP61" s="41" t="s">
        <v>541</v>
      </c>
      <c r="AQ61" s="41" t="s">
        <v>104</v>
      </c>
      <c r="AR61" s="41" t="s">
        <v>165</v>
      </c>
      <c r="AS61" s="41" t="s">
        <v>169</v>
      </c>
      <c r="AT61" s="41" t="s">
        <v>104</v>
      </c>
      <c r="AU61" s="41" t="s">
        <v>173</v>
      </c>
      <c r="AW61" s="41" t="s">
        <v>170</v>
      </c>
      <c r="AX61" s="41" t="s">
        <v>1492</v>
      </c>
      <c r="AY61" s="41" t="s">
        <v>1928</v>
      </c>
      <c r="AZ61" s="40"/>
      <c r="BA61" s="40"/>
    </row>
    <row r="62" spans="6:53" ht="29" x14ac:dyDescent="0.35">
      <c r="F62" s="40" t="s">
        <v>1057</v>
      </c>
      <c r="G62" s="85" t="s">
        <v>674</v>
      </c>
      <c r="H62" s="40" t="s">
        <v>674</v>
      </c>
      <c r="I62" s="41" t="s">
        <v>223</v>
      </c>
      <c r="J62" s="41" t="s">
        <v>601</v>
      </c>
      <c r="K62" s="41" t="s">
        <v>602</v>
      </c>
      <c r="L62" s="40" t="s">
        <v>603</v>
      </c>
      <c r="O62" s="40" t="s">
        <v>104</v>
      </c>
      <c r="P62" s="41" t="s">
        <v>104</v>
      </c>
      <c r="Q62" s="41" t="s">
        <v>104</v>
      </c>
      <c r="R62" s="41" t="s">
        <v>104</v>
      </c>
      <c r="S62" s="40" t="s">
        <v>169</v>
      </c>
      <c r="U62" s="41" t="s">
        <v>104</v>
      </c>
      <c r="V62" s="41" t="s">
        <v>104</v>
      </c>
      <c r="W62" s="41" t="s">
        <v>104</v>
      </c>
      <c r="X62" s="41" t="s">
        <v>104</v>
      </c>
      <c r="Y62" s="40" t="s">
        <v>604</v>
      </c>
      <c r="Z62" s="41" t="s">
        <v>605</v>
      </c>
      <c r="AA62" s="41" t="s">
        <v>117</v>
      </c>
      <c r="AB62" s="41" t="s">
        <v>668</v>
      </c>
      <c r="AC62" s="40" t="s">
        <v>604</v>
      </c>
      <c r="AD62" s="41" t="s">
        <v>607</v>
      </c>
      <c r="AE62" s="41" t="s">
        <v>117</v>
      </c>
      <c r="AF62" s="41" t="s">
        <v>669</v>
      </c>
      <c r="AG62" s="41" t="s">
        <v>138</v>
      </c>
      <c r="AH62" s="41" t="s">
        <v>169</v>
      </c>
      <c r="AI62" s="41">
        <v>1</v>
      </c>
      <c r="AJ62" s="41">
        <v>1</v>
      </c>
      <c r="AK62" s="41">
        <v>0</v>
      </c>
      <c r="AL62" s="42">
        <v>0</v>
      </c>
      <c r="AM62" s="41" t="s">
        <v>144</v>
      </c>
      <c r="AN62" s="42">
        <v>0</v>
      </c>
      <c r="AO62" s="41" t="s">
        <v>104</v>
      </c>
      <c r="AP62" s="41" t="s">
        <v>541</v>
      </c>
      <c r="AQ62" s="41" t="s">
        <v>104</v>
      </c>
      <c r="AR62" s="41" t="s">
        <v>165</v>
      </c>
      <c r="AS62" s="41" t="s">
        <v>169</v>
      </c>
      <c r="AT62" s="41" t="s">
        <v>104</v>
      </c>
      <c r="AU62" s="41" t="s">
        <v>173</v>
      </c>
      <c r="AW62" s="41" t="s">
        <v>170</v>
      </c>
      <c r="AX62" s="41" t="s">
        <v>1493</v>
      </c>
      <c r="AY62" s="41" t="s">
        <v>1929</v>
      </c>
      <c r="AZ62" s="40"/>
      <c r="BA62" s="40"/>
    </row>
    <row r="63" spans="6:53" ht="29" x14ac:dyDescent="0.35">
      <c r="F63" s="40" t="s">
        <v>1058</v>
      </c>
      <c r="G63" s="85" t="s">
        <v>662</v>
      </c>
      <c r="H63" s="40" t="s">
        <v>662</v>
      </c>
      <c r="I63" s="41" t="s">
        <v>223</v>
      </c>
      <c r="J63" s="41" t="s">
        <v>601</v>
      </c>
      <c r="K63" s="41" t="s">
        <v>602</v>
      </c>
      <c r="L63" s="40" t="s">
        <v>603</v>
      </c>
      <c r="O63" s="40" t="s">
        <v>104</v>
      </c>
      <c r="P63" s="41" t="s">
        <v>104</v>
      </c>
      <c r="Q63" s="41" t="s">
        <v>104</v>
      </c>
      <c r="R63" s="41" t="s">
        <v>104</v>
      </c>
      <c r="S63" s="40" t="s">
        <v>169</v>
      </c>
      <c r="U63" s="41" t="s">
        <v>104</v>
      </c>
      <c r="V63" s="41" t="s">
        <v>104</v>
      </c>
      <c r="W63" s="41" t="s">
        <v>104</v>
      </c>
      <c r="X63" s="41" t="s">
        <v>104</v>
      </c>
      <c r="Y63" s="40" t="s">
        <v>604</v>
      </c>
      <c r="Z63" s="41" t="s">
        <v>605</v>
      </c>
      <c r="AA63" s="41" t="s">
        <v>117</v>
      </c>
      <c r="AB63" s="41" t="s">
        <v>668</v>
      </c>
      <c r="AC63" s="40" t="s">
        <v>604</v>
      </c>
      <c r="AD63" s="41" t="s">
        <v>607</v>
      </c>
      <c r="AE63" s="41" t="s">
        <v>117</v>
      </c>
      <c r="AF63" s="41" t="s">
        <v>669</v>
      </c>
      <c r="AG63" s="41" t="s">
        <v>138</v>
      </c>
      <c r="AH63" s="41" t="s">
        <v>169</v>
      </c>
      <c r="AI63" s="41">
        <v>1</v>
      </c>
      <c r="AJ63" s="41">
        <v>1</v>
      </c>
      <c r="AK63" s="41">
        <v>0</v>
      </c>
      <c r="AL63" s="42">
        <v>0</v>
      </c>
      <c r="AM63" s="41" t="s">
        <v>144</v>
      </c>
      <c r="AN63" s="42">
        <v>0</v>
      </c>
      <c r="AO63" s="41" t="s">
        <v>104</v>
      </c>
      <c r="AP63" s="41" t="s">
        <v>541</v>
      </c>
      <c r="AQ63" s="41" t="s">
        <v>104</v>
      </c>
      <c r="AR63" s="41" t="s">
        <v>165</v>
      </c>
      <c r="AS63" s="41" t="s">
        <v>169</v>
      </c>
      <c r="AT63" s="41" t="s">
        <v>104</v>
      </c>
      <c r="AU63" s="41" t="s">
        <v>173</v>
      </c>
      <c r="AW63" s="41" t="s">
        <v>170</v>
      </c>
      <c r="AX63" s="41" t="s">
        <v>1494</v>
      </c>
      <c r="AY63" s="41" t="s">
        <v>1930</v>
      </c>
      <c r="AZ63" s="40"/>
      <c r="BA63" s="40"/>
    </row>
    <row r="64" spans="6:53" ht="29" x14ac:dyDescent="0.35">
      <c r="F64" s="40" t="s">
        <v>1059</v>
      </c>
      <c r="G64" s="85" t="s">
        <v>675</v>
      </c>
      <c r="H64" s="40" t="s">
        <v>675</v>
      </c>
      <c r="I64" s="41" t="s">
        <v>223</v>
      </c>
      <c r="J64" s="41" t="s">
        <v>601</v>
      </c>
      <c r="K64" s="41" t="s">
        <v>602</v>
      </c>
      <c r="L64" s="40" t="s">
        <v>603</v>
      </c>
      <c r="O64" s="40" t="s">
        <v>104</v>
      </c>
      <c r="P64" s="41" t="s">
        <v>104</v>
      </c>
      <c r="Q64" s="41" t="s">
        <v>104</v>
      </c>
      <c r="R64" s="41" t="s">
        <v>104</v>
      </c>
      <c r="S64" s="40" t="s">
        <v>169</v>
      </c>
      <c r="U64" s="41" t="s">
        <v>104</v>
      </c>
      <c r="V64" s="41" t="s">
        <v>104</v>
      </c>
      <c r="W64" s="41" t="s">
        <v>104</v>
      </c>
      <c r="X64" s="41" t="s">
        <v>104</v>
      </c>
      <c r="Y64" s="40" t="s">
        <v>604</v>
      </c>
      <c r="Z64" s="41" t="s">
        <v>605</v>
      </c>
      <c r="AA64" s="41" t="s">
        <v>117</v>
      </c>
      <c r="AB64" s="41" t="s">
        <v>668</v>
      </c>
      <c r="AC64" s="40" t="s">
        <v>604</v>
      </c>
      <c r="AD64" s="41" t="s">
        <v>607</v>
      </c>
      <c r="AE64" s="41" t="s">
        <v>117</v>
      </c>
      <c r="AF64" s="41" t="s">
        <v>669</v>
      </c>
      <c r="AG64" s="41" t="s">
        <v>138</v>
      </c>
      <c r="AH64" s="41" t="s">
        <v>169</v>
      </c>
      <c r="AI64" s="41">
        <v>1</v>
      </c>
      <c r="AJ64" s="41">
        <v>1</v>
      </c>
      <c r="AK64" s="41">
        <v>0</v>
      </c>
      <c r="AL64" s="42">
        <v>0</v>
      </c>
      <c r="AM64" s="41" t="s">
        <v>144</v>
      </c>
      <c r="AN64" s="42">
        <v>0</v>
      </c>
      <c r="AO64" s="41" t="s">
        <v>104</v>
      </c>
      <c r="AP64" s="41" t="s">
        <v>541</v>
      </c>
      <c r="AQ64" s="41" t="s">
        <v>104</v>
      </c>
      <c r="AR64" s="41" t="s">
        <v>165</v>
      </c>
      <c r="AS64" s="41" t="s">
        <v>169</v>
      </c>
      <c r="AT64" s="41" t="s">
        <v>104</v>
      </c>
      <c r="AU64" s="41" t="s">
        <v>173</v>
      </c>
      <c r="AW64" s="41" t="s">
        <v>170</v>
      </c>
      <c r="AX64" s="41" t="s">
        <v>1495</v>
      </c>
      <c r="AY64" s="41" t="s">
        <v>1931</v>
      </c>
      <c r="AZ64" s="40"/>
      <c r="BA64" s="40"/>
    </row>
    <row r="65" spans="6:53" ht="29" x14ac:dyDescent="0.35">
      <c r="F65" s="40" t="s">
        <v>1060</v>
      </c>
      <c r="G65" s="85" t="s">
        <v>662</v>
      </c>
      <c r="H65" s="40" t="s">
        <v>662</v>
      </c>
      <c r="I65" s="41" t="s">
        <v>223</v>
      </c>
      <c r="J65" s="41" t="s">
        <v>601</v>
      </c>
      <c r="K65" s="41" t="s">
        <v>602</v>
      </c>
      <c r="L65" s="40" t="s">
        <v>603</v>
      </c>
      <c r="O65" s="40" t="s">
        <v>104</v>
      </c>
      <c r="P65" s="41" t="s">
        <v>104</v>
      </c>
      <c r="Q65" s="41" t="s">
        <v>104</v>
      </c>
      <c r="R65" s="41" t="s">
        <v>104</v>
      </c>
      <c r="S65" s="40" t="s">
        <v>169</v>
      </c>
      <c r="U65" s="41" t="s">
        <v>104</v>
      </c>
      <c r="V65" s="41" t="s">
        <v>104</v>
      </c>
      <c r="W65" s="41" t="s">
        <v>104</v>
      </c>
      <c r="X65" s="41" t="s">
        <v>104</v>
      </c>
      <c r="Y65" s="40" t="s">
        <v>604</v>
      </c>
      <c r="Z65" s="41" t="s">
        <v>605</v>
      </c>
      <c r="AA65" s="41" t="s">
        <v>117</v>
      </c>
      <c r="AB65" s="41" t="s">
        <v>676</v>
      </c>
      <c r="AC65" s="40" t="s">
        <v>604</v>
      </c>
      <c r="AD65" s="41" t="s">
        <v>607</v>
      </c>
      <c r="AE65" s="41" t="s">
        <v>117</v>
      </c>
      <c r="AF65" s="41" t="s">
        <v>677</v>
      </c>
      <c r="AG65" s="41" t="s">
        <v>138</v>
      </c>
      <c r="AH65" s="41" t="s">
        <v>169</v>
      </c>
      <c r="AI65" s="41">
        <v>1</v>
      </c>
      <c r="AJ65" s="41">
        <v>1</v>
      </c>
      <c r="AK65" s="41">
        <v>0</v>
      </c>
      <c r="AL65" s="42">
        <v>0</v>
      </c>
      <c r="AM65" s="41" t="s">
        <v>144</v>
      </c>
      <c r="AN65" s="42">
        <v>0</v>
      </c>
      <c r="AO65" s="41" t="s">
        <v>104</v>
      </c>
      <c r="AP65" s="41" t="s">
        <v>541</v>
      </c>
      <c r="AQ65" s="41" t="s">
        <v>104</v>
      </c>
      <c r="AR65" s="41" t="s">
        <v>165</v>
      </c>
      <c r="AS65" s="41" t="s">
        <v>169</v>
      </c>
      <c r="AT65" s="41" t="s">
        <v>104</v>
      </c>
      <c r="AU65" s="41" t="s">
        <v>173</v>
      </c>
      <c r="AW65" s="41" t="s">
        <v>170</v>
      </c>
      <c r="AX65" s="41" t="s">
        <v>1496</v>
      </c>
      <c r="AY65" s="41" t="s">
        <v>1932</v>
      </c>
      <c r="AZ65" s="40"/>
      <c r="BA65" s="40"/>
    </row>
    <row r="66" spans="6:53" ht="29" x14ac:dyDescent="0.35">
      <c r="F66" s="40" t="s">
        <v>1061</v>
      </c>
      <c r="G66" s="85" t="s">
        <v>658</v>
      </c>
      <c r="H66" s="40" t="s">
        <v>658</v>
      </c>
      <c r="I66" s="41" t="s">
        <v>223</v>
      </c>
      <c r="J66" s="41" t="s">
        <v>601</v>
      </c>
      <c r="K66" s="41" t="s">
        <v>602</v>
      </c>
      <c r="L66" s="40" t="s">
        <v>603</v>
      </c>
      <c r="O66" s="40" t="s">
        <v>104</v>
      </c>
      <c r="P66" s="41" t="s">
        <v>104</v>
      </c>
      <c r="Q66" s="41" t="s">
        <v>104</v>
      </c>
      <c r="R66" s="41" t="s">
        <v>104</v>
      </c>
      <c r="S66" s="40" t="s">
        <v>169</v>
      </c>
      <c r="U66" s="41" t="s">
        <v>104</v>
      </c>
      <c r="V66" s="41" t="s">
        <v>107</v>
      </c>
      <c r="W66" s="41" t="s">
        <v>112</v>
      </c>
      <c r="X66" s="41" t="s">
        <v>104</v>
      </c>
      <c r="Y66" s="40" t="s">
        <v>604</v>
      </c>
      <c r="Z66" s="41" t="s">
        <v>605</v>
      </c>
      <c r="AA66" s="41" t="s">
        <v>117</v>
      </c>
      <c r="AB66" s="41" t="s">
        <v>676</v>
      </c>
      <c r="AC66" s="40" t="s">
        <v>604</v>
      </c>
      <c r="AD66" s="41" t="s">
        <v>607</v>
      </c>
      <c r="AE66" s="41" t="s">
        <v>117</v>
      </c>
      <c r="AF66" s="41" t="s">
        <v>677</v>
      </c>
      <c r="AG66" s="41" t="s">
        <v>138</v>
      </c>
      <c r="AH66" s="41" t="s">
        <v>169</v>
      </c>
      <c r="AI66" s="41">
        <v>1</v>
      </c>
      <c r="AJ66" s="41">
        <v>1</v>
      </c>
      <c r="AK66" s="41">
        <v>0</v>
      </c>
      <c r="AL66" s="42">
        <v>0</v>
      </c>
      <c r="AM66" s="41" t="s">
        <v>144</v>
      </c>
      <c r="AN66" s="42">
        <v>0</v>
      </c>
      <c r="AO66" s="41" t="s">
        <v>104</v>
      </c>
      <c r="AP66" s="41" t="s">
        <v>541</v>
      </c>
      <c r="AQ66" s="41" t="s">
        <v>104</v>
      </c>
      <c r="AR66" s="41" t="s">
        <v>165</v>
      </c>
      <c r="AS66" s="41" t="s">
        <v>169</v>
      </c>
      <c r="AT66" s="41" t="s">
        <v>104</v>
      </c>
      <c r="AU66" s="41" t="s">
        <v>173</v>
      </c>
      <c r="AW66" s="41" t="s">
        <v>170</v>
      </c>
      <c r="AX66" s="41" t="s">
        <v>1497</v>
      </c>
      <c r="AY66" s="41" t="s">
        <v>1933</v>
      </c>
      <c r="AZ66" s="40"/>
      <c r="BA66" s="40"/>
    </row>
    <row r="67" spans="6:53" ht="29" x14ac:dyDescent="0.35">
      <c r="F67" s="40" t="s">
        <v>1062</v>
      </c>
      <c r="G67" s="85" t="s">
        <v>616</v>
      </c>
      <c r="H67" s="40" t="s">
        <v>616</v>
      </c>
      <c r="I67" s="41" t="s">
        <v>223</v>
      </c>
      <c r="J67" s="41" t="s">
        <v>601</v>
      </c>
      <c r="K67" s="41" t="s">
        <v>602</v>
      </c>
      <c r="L67" s="40" t="s">
        <v>603</v>
      </c>
      <c r="O67" s="40" t="s">
        <v>104</v>
      </c>
      <c r="P67" s="41" t="s">
        <v>104</v>
      </c>
      <c r="Q67" s="41" t="s">
        <v>104</v>
      </c>
      <c r="R67" s="41" t="s">
        <v>104</v>
      </c>
      <c r="S67" s="40" t="s">
        <v>169</v>
      </c>
      <c r="U67" s="41" t="s">
        <v>104</v>
      </c>
      <c r="V67" s="41" t="s">
        <v>104</v>
      </c>
      <c r="W67" s="41" t="s">
        <v>104</v>
      </c>
      <c r="X67" s="41" t="s">
        <v>104</v>
      </c>
      <c r="Y67" s="40" t="s">
        <v>604</v>
      </c>
      <c r="Z67" s="41" t="s">
        <v>605</v>
      </c>
      <c r="AA67" s="41" t="s">
        <v>117</v>
      </c>
      <c r="AB67" s="41" t="s">
        <v>676</v>
      </c>
      <c r="AC67" s="40" t="s">
        <v>604</v>
      </c>
      <c r="AD67" s="41" t="s">
        <v>607</v>
      </c>
      <c r="AE67" s="41" t="s">
        <v>117</v>
      </c>
      <c r="AF67" s="41" t="s">
        <v>677</v>
      </c>
      <c r="AG67" s="41" t="s">
        <v>138</v>
      </c>
      <c r="AH67" s="41" t="s">
        <v>169</v>
      </c>
      <c r="AI67" s="41">
        <v>1</v>
      </c>
      <c r="AJ67" s="41">
        <v>1</v>
      </c>
      <c r="AK67" s="41">
        <v>0</v>
      </c>
      <c r="AL67" s="42">
        <v>0</v>
      </c>
      <c r="AM67" s="41" t="s">
        <v>144</v>
      </c>
      <c r="AN67" s="42">
        <v>0</v>
      </c>
      <c r="AO67" s="41" t="s">
        <v>104</v>
      </c>
      <c r="AP67" s="41" t="s">
        <v>541</v>
      </c>
      <c r="AQ67" s="41" t="s">
        <v>104</v>
      </c>
      <c r="AR67" s="41" t="s">
        <v>165</v>
      </c>
      <c r="AS67" s="41" t="s">
        <v>169</v>
      </c>
      <c r="AT67" s="41" t="s">
        <v>104</v>
      </c>
      <c r="AU67" s="41" t="s">
        <v>173</v>
      </c>
      <c r="AW67" s="41" t="s">
        <v>170</v>
      </c>
      <c r="AX67" s="41" t="s">
        <v>1498</v>
      </c>
      <c r="AY67" s="41" t="s">
        <v>1934</v>
      </c>
      <c r="AZ67" s="40"/>
      <c r="BA67" s="40"/>
    </row>
    <row r="68" spans="6:53" ht="29" x14ac:dyDescent="0.35">
      <c r="F68" s="40" t="s">
        <v>1069</v>
      </c>
      <c r="G68" s="85" t="s">
        <v>608</v>
      </c>
      <c r="H68" s="40" t="s">
        <v>608</v>
      </c>
      <c r="I68" s="41" t="s">
        <v>223</v>
      </c>
      <c r="J68" s="41" t="s">
        <v>601</v>
      </c>
      <c r="K68" s="41" t="s">
        <v>602</v>
      </c>
      <c r="L68" s="40" t="s">
        <v>603</v>
      </c>
      <c r="O68" s="40" t="s">
        <v>104</v>
      </c>
      <c r="P68" s="41" t="s">
        <v>104</v>
      </c>
      <c r="Q68" s="41" t="s">
        <v>104</v>
      </c>
      <c r="R68" s="41" t="s">
        <v>104</v>
      </c>
      <c r="S68" s="40" t="s">
        <v>169</v>
      </c>
      <c r="U68" s="41" t="s">
        <v>104</v>
      </c>
      <c r="V68" s="41" t="s">
        <v>104</v>
      </c>
      <c r="W68" s="41" t="s">
        <v>104</v>
      </c>
      <c r="X68" s="41" t="s">
        <v>104</v>
      </c>
      <c r="Y68" s="40" t="s">
        <v>604</v>
      </c>
      <c r="Z68" s="41" t="s">
        <v>605</v>
      </c>
      <c r="AA68" s="41" t="s">
        <v>102</v>
      </c>
      <c r="AB68" s="41" t="s">
        <v>2212</v>
      </c>
      <c r="AC68" s="40" t="s">
        <v>604</v>
      </c>
      <c r="AD68" s="41" t="s">
        <v>605</v>
      </c>
      <c r="AE68" s="41" t="s">
        <v>102</v>
      </c>
      <c r="AF68" s="41" t="s">
        <v>2212</v>
      </c>
      <c r="AG68" s="41" t="s">
        <v>138</v>
      </c>
      <c r="AH68" s="41" t="s">
        <v>169</v>
      </c>
      <c r="AI68" s="41">
        <v>2</v>
      </c>
      <c r="AJ68" s="41">
        <v>2</v>
      </c>
      <c r="AK68" s="41">
        <v>0</v>
      </c>
      <c r="AL68" s="42">
        <v>0</v>
      </c>
      <c r="AM68" s="41" t="s">
        <v>144</v>
      </c>
      <c r="AN68" s="42">
        <v>0</v>
      </c>
      <c r="AO68" s="41" t="s">
        <v>104</v>
      </c>
      <c r="AP68" s="41" t="s">
        <v>541</v>
      </c>
      <c r="AQ68" s="41" t="s">
        <v>104</v>
      </c>
      <c r="AR68" s="41" t="s">
        <v>165</v>
      </c>
      <c r="AS68" s="41" t="s">
        <v>169</v>
      </c>
      <c r="AT68" s="41" t="s">
        <v>104</v>
      </c>
      <c r="AU68" s="41" t="s">
        <v>173</v>
      </c>
      <c r="AW68" s="41" t="s">
        <v>170</v>
      </c>
      <c r="AX68" s="41" t="s">
        <v>1505</v>
      </c>
      <c r="AY68" s="41" t="s">
        <v>1941</v>
      </c>
      <c r="AZ68" s="40"/>
      <c r="BA68" s="40"/>
    </row>
    <row r="69" spans="6:53" ht="29" x14ac:dyDescent="0.35">
      <c r="F69" s="40" t="s">
        <v>1064</v>
      </c>
      <c r="G69" s="85" t="s">
        <v>664</v>
      </c>
      <c r="H69" s="40" t="s">
        <v>664</v>
      </c>
      <c r="I69" s="41" t="s">
        <v>223</v>
      </c>
      <c r="J69" s="41" t="s">
        <v>601</v>
      </c>
      <c r="K69" s="41" t="s">
        <v>602</v>
      </c>
      <c r="L69" s="40" t="s">
        <v>603</v>
      </c>
      <c r="O69" s="40" t="s">
        <v>104</v>
      </c>
      <c r="P69" s="41" t="s">
        <v>104</v>
      </c>
      <c r="Q69" s="41" t="s">
        <v>104</v>
      </c>
      <c r="R69" s="41" t="s">
        <v>104</v>
      </c>
      <c r="S69" s="40" t="s">
        <v>169</v>
      </c>
      <c r="U69" s="41" t="s">
        <v>104</v>
      </c>
      <c r="V69" s="41" t="s">
        <v>104</v>
      </c>
      <c r="W69" s="41" t="s">
        <v>104</v>
      </c>
      <c r="X69" s="41" t="s">
        <v>104</v>
      </c>
      <c r="Y69" s="40" t="s">
        <v>604</v>
      </c>
      <c r="Z69" s="41" t="s">
        <v>605</v>
      </c>
      <c r="AA69" s="41" t="s">
        <v>117</v>
      </c>
      <c r="AB69" s="41" t="s">
        <v>676</v>
      </c>
      <c r="AC69" s="40" t="s">
        <v>604</v>
      </c>
      <c r="AD69" s="41" t="s">
        <v>607</v>
      </c>
      <c r="AE69" s="41" t="s">
        <v>117</v>
      </c>
      <c r="AF69" s="41" t="s">
        <v>677</v>
      </c>
      <c r="AG69" s="41" t="s">
        <v>138</v>
      </c>
      <c r="AH69" s="41" t="s">
        <v>169</v>
      </c>
      <c r="AI69" s="41">
        <v>1</v>
      </c>
      <c r="AJ69" s="41">
        <v>1</v>
      </c>
      <c r="AK69" s="41">
        <v>0</v>
      </c>
      <c r="AL69" s="42">
        <v>0</v>
      </c>
      <c r="AM69" s="41" t="s">
        <v>144</v>
      </c>
      <c r="AN69" s="42">
        <v>0</v>
      </c>
      <c r="AO69" s="41" t="s">
        <v>104</v>
      </c>
      <c r="AP69" s="41" t="s">
        <v>541</v>
      </c>
      <c r="AQ69" s="41" t="s">
        <v>104</v>
      </c>
      <c r="AR69" s="41" t="s">
        <v>165</v>
      </c>
      <c r="AS69" s="41" t="s">
        <v>169</v>
      </c>
      <c r="AT69" s="41" t="s">
        <v>104</v>
      </c>
      <c r="AU69" s="41" t="s">
        <v>173</v>
      </c>
      <c r="AW69" s="41" t="s">
        <v>170</v>
      </c>
      <c r="AX69" s="41" t="s">
        <v>1500</v>
      </c>
      <c r="AY69" s="41" t="s">
        <v>1936</v>
      </c>
      <c r="AZ69" s="40"/>
      <c r="BA69" s="40"/>
    </row>
    <row r="70" spans="6:53" ht="29" x14ac:dyDescent="0.35">
      <c r="F70" s="40" t="s">
        <v>1065</v>
      </c>
      <c r="G70" s="85" t="s">
        <v>678</v>
      </c>
      <c r="H70" s="40" t="s">
        <v>678</v>
      </c>
      <c r="I70" s="41" t="s">
        <v>223</v>
      </c>
      <c r="J70" s="41" t="s">
        <v>601</v>
      </c>
      <c r="K70" s="41" t="s">
        <v>602</v>
      </c>
      <c r="L70" s="40" t="s">
        <v>603</v>
      </c>
      <c r="O70" s="40" t="s">
        <v>104</v>
      </c>
      <c r="P70" s="41" t="s">
        <v>104</v>
      </c>
      <c r="Q70" s="41" t="s">
        <v>104</v>
      </c>
      <c r="R70" s="41" t="s">
        <v>104</v>
      </c>
      <c r="S70" s="40" t="s">
        <v>169</v>
      </c>
      <c r="U70" s="41" t="s">
        <v>104</v>
      </c>
      <c r="V70" s="41" t="s">
        <v>104</v>
      </c>
      <c r="W70" s="41" t="s">
        <v>104</v>
      </c>
      <c r="X70" s="41" t="s">
        <v>104</v>
      </c>
      <c r="Y70" s="40" t="s">
        <v>604</v>
      </c>
      <c r="Z70" s="41" t="s">
        <v>605</v>
      </c>
      <c r="AA70" s="41" t="s">
        <v>117</v>
      </c>
      <c r="AB70" s="41" t="s">
        <v>676</v>
      </c>
      <c r="AC70" s="40" t="s">
        <v>604</v>
      </c>
      <c r="AD70" s="41" t="s">
        <v>607</v>
      </c>
      <c r="AE70" s="41" t="s">
        <v>117</v>
      </c>
      <c r="AF70" s="41" t="s">
        <v>677</v>
      </c>
      <c r="AG70" s="41" t="s">
        <v>138</v>
      </c>
      <c r="AH70" s="41" t="s">
        <v>169</v>
      </c>
      <c r="AI70" s="41">
        <v>1</v>
      </c>
      <c r="AJ70" s="41">
        <v>1</v>
      </c>
      <c r="AK70" s="41">
        <v>0</v>
      </c>
      <c r="AL70" s="42">
        <v>0</v>
      </c>
      <c r="AM70" s="41" t="s">
        <v>144</v>
      </c>
      <c r="AN70" s="42">
        <v>0</v>
      </c>
      <c r="AO70" s="41" t="s">
        <v>104</v>
      </c>
      <c r="AP70" s="41" t="s">
        <v>541</v>
      </c>
      <c r="AQ70" s="41" t="s">
        <v>104</v>
      </c>
      <c r="AR70" s="41" t="s">
        <v>165</v>
      </c>
      <c r="AS70" s="41" t="s">
        <v>169</v>
      </c>
      <c r="AT70" s="41" t="s">
        <v>104</v>
      </c>
      <c r="AU70" s="41" t="s">
        <v>173</v>
      </c>
      <c r="AW70" s="41" t="s">
        <v>170</v>
      </c>
      <c r="AX70" s="41" t="s">
        <v>1501</v>
      </c>
      <c r="AY70" s="41" t="s">
        <v>1937</v>
      </c>
      <c r="AZ70" s="40"/>
      <c r="BA70" s="40"/>
    </row>
    <row r="71" spans="6:53" ht="29" x14ac:dyDescent="0.35">
      <c r="F71" s="40" t="s">
        <v>1066</v>
      </c>
      <c r="G71" s="85" t="s">
        <v>679</v>
      </c>
      <c r="H71" s="40" t="s">
        <v>679</v>
      </c>
      <c r="I71" s="41" t="s">
        <v>223</v>
      </c>
      <c r="J71" s="41" t="s">
        <v>601</v>
      </c>
      <c r="K71" s="41" t="s">
        <v>602</v>
      </c>
      <c r="L71" s="40" t="s">
        <v>603</v>
      </c>
      <c r="O71" s="40" t="s">
        <v>104</v>
      </c>
      <c r="P71" s="41" t="s">
        <v>104</v>
      </c>
      <c r="Q71" s="41" t="s">
        <v>104</v>
      </c>
      <c r="R71" s="41" t="s">
        <v>104</v>
      </c>
      <c r="S71" s="40" t="s">
        <v>169</v>
      </c>
      <c r="U71" s="41" t="s">
        <v>104</v>
      </c>
      <c r="V71" s="41" t="s">
        <v>104</v>
      </c>
      <c r="W71" s="41" t="s">
        <v>104</v>
      </c>
      <c r="X71" s="41" t="s">
        <v>104</v>
      </c>
      <c r="Y71" s="40" t="s">
        <v>604</v>
      </c>
      <c r="Z71" s="41" t="s">
        <v>605</v>
      </c>
      <c r="AA71" s="41" t="s">
        <v>117</v>
      </c>
      <c r="AB71" s="41" t="s">
        <v>676</v>
      </c>
      <c r="AC71" s="40" t="s">
        <v>604</v>
      </c>
      <c r="AD71" s="41" t="s">
        <v>607</v>
      </c>
      <c r="AE71" s="41" t="s">
        <v>117</v>
      </c>
      <c r="AF71" s="41" t="s">
        <v>677</v>
      </c>
      <c r="AG71" s="41" t="s">
        <v>138</v>
      </c>
      <c r="AH71" s="41" t="s">
        <v>169</v>
      </c>
      <c r="AI71" s="41">
        <v>1</v>
      </c>
      <c r="AJ71" s="41">
        <v>1</v>
      </c>
      <c r="AK71" s="41">
        <v>0</v>
      </c>
      <c r="AL71" s="42">
        <v>0</v>
      </c>
      <c r="AM71" s="41" t="s">
        <v>144</v>
      </c>
      <c r="AN71" s="42">
        <v>0</v>
      </c>
      <c r="AO71" s="41" t="s">
        <v>104</v>
      </c>
      <c r="AP71" s="41" t="s">
        <v>541</v>
      </c>
      <c r="AQ71" s="41" t="s">
        <v>104</v>
      </c>
      <c r="AR71" s="41" t="s">
        <v>165</v>
      </c>
      <c r="AS71" s="41" t="s">
        <v>169</v>
      </c>
      <c r="AT71" s="41" t="s">
        <v>104</v>
      </c>
      <c r="AU71" s="41" t="s">
        <v>173</v>
      </c>
      <c r="AW71" s="41" t="s">
        <v>170</v>
      </c>
      <c r="AX71" s="41" t="s">
        <v>1502</v>
      </c>
      <c r="AY71" s="41" t="s">
        <v>1938</v>
      </c>
      <c r="AZ71" s="40"/>
      <c r="BA71" s="40"/>
    </row>
    <row r="72" spans="6:53" ht="29" x14ac:dyDescent="0.35">
      <c r="F72" s="40" t="s">
        <v>1067</v>
      </c>
      <c r="G72" s="85" t="s">
        <v>658</v>
      </c>
      <c r="H72" s="40" t="s">
        <v>658</v>
      </c>
      <c r="I72" s="41" t="s">
        <v>223</v>
      </c>
      <c r="J72" s="41" t="s">
        <v>601</v>
      </c>
      <c r="K72" s="41" t="s">
        <v>602</v>
      </c>
      <c r="L72" s="40" t="s">
        <v>603</v>
      </c>
      <c r="O72" s="40" t="s">
        <v>104</v>
      </c>
      <c r="P72" s="41" t="s">
        <v>104</v>
      </c>
      <c r="Q72" s="41" t="s">
        <v>104</v>
      </c>
      <c r="R72" s="41" t="s">
        <v>104</v>
      </c>
      <c r="S72" s="40" t="s">
        <v>169</v>
      </c>
      <c r="U72" s="41" t="s">
        <v>104</v>
      </c>
      <c r="V72" s="41" t="s">
        <v>107</v>
      </c>
      <c r="W72" s="41" t="s">
        <v>112</v>
      </c>
      <c r="X72" s="41" t="s">
        <v>104</v>
      </c>
      <c r="Y72" s="40" t="s">
        <v>604</v>
      </c>
      <c r="Z72" s="41" t="s">
        <v>605</v>
      </c>
      <c r="AA72" s="41" t="s">
        <v>117</v>
      </c>
      <c r="AB72" s="41" t="s">
        <v>680</v>
      </c>
      <c r="AC72" s="40" t="s">
        <v>604</v>
      </c>
      <c r="AD72" s="41" t="s">
        <v>607</v>
      </c>
      <c r="AE72" s="41" t="s">
        <v>117</v>
      </c>
      <c r="AF72" s="41" t="s">
        <v>681</v>
      </c>
      <c r="AG72" s="41" t="s">
        <v>138</v>
      </c>
      <c r="AH72" s="41" t="s">
        <v>169</v>
      </c>
      <c r="AI72" s="41">
        <v>1</v>
      </c>
      <c r="AJ72" s="41">
        <v>1</v>
      </c>
      <c r="AK72" s="41">
        <v>0</v>
      </c>
      <c r="AL72" s="42">
        <v>0</v>
      </c>
      <c r="AM72" s="41" t="s">
        <v>144</v>
      </c>
      <c r="AN72" s="42">
        <v>0</v>
      </c>
      <c r="AO72" s="41" t="s">
        <v>104</v>
      </c>
      <c r="AP72" s="41" t="s">
        <v>541</v>
      </c>
      <c r="AQ72" s="41" t="s">
        <v>104</v>
      </c>
      <c r="AR72" s="41" t="s">
        <v>165</v>
      </c>
      <c r="AS72" s="41" t="s">
        <v>169</v>
      </c>
      <c r="AT72" s="41" t="s">
        <v>104</v>
      </c>
      <c r="AU72" s="41" t="s">
        <v>173</v>
      </c>
      <c r="AW72" s="41" t="s">
        <v>170</v>
      </c>
      <c r="AX72" s="41" t="s">
        <v>1503</v>
      </c>
      <c r="AY72" s="41" t="s">
        <v>1939</v>
      </c>
      <c r="AZ72" s="40"/>
      <c r="BA72" s="40"/>
    </row>
    <row r="73" spans="6:53" ht="29" x14ac:dyDescent="0.35">
      <c r="F73" s="40" t="s">
        <v>1068</v>
      </c>
      <c r="G73" s="85" t="s">
        <v>616</v>
      </c>
      <c r="H73" s="40" t="s">
        <v>616</v>
      </c>
      <c r="I73" s="41" t="s">
        <v>223</v>
      </c>
      <c r="J73" s="41" t="s">
        <v>601</v>
      </c>
      <c r="K73" s="41" t="s">
        <v>602</v>
      </c>
      <c r="L73" s="40" t="s">
        <v>603</v>
      </c>
      <c r="O73" s="40" t="s">
        <v>104</v>
      </c>
      <c r="P73" s="41" t="s">
        <v>104</v>
      </c>
      <c r="Q73" s="41" t="s">
        <v>104</v>
      </c>
      <c r="R73" s="41" t="s">
        <v>104</v>
      </c>
      <c r="S73" s="40" t="s">
        <v>169</v>
      </c>
      <c r="U73" s="41" t="s">
        <v>104</v>
      </c>
      <c r="V73" s="41" t="s">
        <v>104</v>
      </c>
      <c r="W73" s="41" t="s">
        <v>104</v>
      </c>
      <c r="X73" s="41" t="s">
        <v>104</v>
      </c>
      <c r="Y73" s="40" t="s">
        <v>604</v>
      </c>
      <c r="Z73" s="41" t="s">
        <v>605</v>
      </c>
      <c r="AA73" s="41" t="s">
        <v>117</v>
      </c>
      <c r="AB73" s="41" t="s">
        <v>680</v>
      </c>
      <c r="AC73" s="40" t="s">
        <v>604</v>
      </c>
      <c r="AD73" s="41" t="s">
        <v>607</v>
      </c>
      <c r="AE73" s="41" t="s">
        <v>117</v>
      </c>
      <c r="AF73" s="41" t="s">
        <v>681</v>
      </c>
      <c r="AG73" s="41" t="s">
        <v>138</v>
      </c>
      <c r="AH73" s="41" t="s">
        <v>169</v>
      </c>
      <c r="AI73" s="41">
        <v>1</v>
      </c>
      <c r="AJ73" s="41">
        <v>1</v>
      </c>
      <c r="AK73" s="41">
        <v>0</v>
      </c>
      <c r="AL73" s="42">
        <v>0</v>
      </c>
      <c r="AM73" s="41" t="s">
        <v>144</v>
      </c>
      <c r="AN73" s="42">
        <v>0</v>
      </c>
      <c r="AO73" s="41" t="s">
        <v>104</v>
      </c>
      <c r="AP73" s="41" t="s">
        <v>541</v>
      </c>
      <c r="AQ73" s="41" t="s">
        <v>104</v>
      </c>
      <c r="AR73" s="41" t="s">
        <v>165</v>
      </c>
      <c r="AS73" s="41" t="s">
        <v>169</v>
      </c>
      <c r="AT73" s="41" t="s">
        <v>104</v>
      </c>
      <c r="AU73" s="41" t="s">
        <v>173</v>
      </c>
      <c r="AW73" s="41" t="s">
        <v>170</v>
      </c>
      <c r="AX73" s="41" t="s">
        <v>1504</v>
      </c>
      <c r="AY73" s="41" t="s">
        <v>1940</v>
      </c>
      <c r="AZ73" s="40"/>
      <c r="BA73" s="40"/>
    </row>
    <row r="74" spans="6:53" ht="29" x14ac:dyDescent="0.35">
      <c r="F74" s="40" t="s">
        <v>1081</v>
      </c>
      <c r="G74" s="85" t="s">
        <v>608</v>
      </c>
      <c r="H74" s="40" t="s">
        <v>608</v>
      </c>
      <c r="I74" s="41" t="s">
        <v>223</v>
      </c>
      <c r="J74" s="41" t="s">
        <v>601</v>
      </c>
      <c r="K74" s="41" t="s">
        <v>602</v>
      </c>
      <c r="L74" s="40" t="s">
        <v>603</v>
      </c>
      <c r="O74" s="40" t="s">
        <v>104</v>
      </c>
      <c r="P74" s="41" t="s">
        <v>104</v>
      </c>
      <c r="Q74" s="41" t="s">
        <v>104</v>
      </c>
      <c r="R74" s="41" t="s">
        <v>104</v>
      </c>
      <c r="S74" s="40" t="s">
        <v>169</v>
      </c>
      <c r="U74" s="41" t="s">
        <v>104</v>
      </c>
      <c r="V74" s="41" t="s">
        <v>104</v>
      </c>
      <c r="W74" s="41" t="s">
        <v>104</v>
      </c>
      <c r="X74" s="41" t="s">
        <v>104</v>
      </c>
      <c r="Y74" s="40" t="s">
        <v>604</v>
      </c>
      <c r="Z74" s="41" t="s">
        <v>605</v>
      </c>
      <c r="AA74" s="41" t="s">
        <v>102</v>
      </c>
      <c r="AB74" s="41" t="s">
        <v>2212</v>
      </c>
      <c r="AC74" s="40" t="s">
        <v>604</v>
      </c>
      <c r="AD74" s="41" t="s">
        <v>605</v>
      </c>
      <c r="AE74" s="41" t="s">
        <v>102</v>
      </c>
      <c r="AF74" s="41" t="s">
        <v>2212</v>
      </c>
      <c r="AG74" s="41" t="s">
        <v>138</v>
      </c>
      <c r="AH74" s="41" t="s">
        <v>169</v>
      </c>
      <c r="AI74" s="41">
        <v>2</v>
      </c>
      <c r="AJ74" s="41">
        <v>2</v>
      </c>
      <c r="AK74" s="41">
        <v>0</v>
      </c>
      <c r="AL74" s="42">
        <v>0</v>
      </c>
      <c r="AM74" s="41" t="s">
        <v>144</v>
      </c>
      <c r="AN74" s="42">
        <v>0</v>
      </c>
      <c r="AO74" s="41" t="s">
        <v>104</v>
      </c>
      <c r="AP74" s="41" t="s">
        <v>541</v>
      </c>
      <c r="AQ74" s="41" t="s">
        <v>104</v>
      </c>
      <c r="AR74" s="41" t="s">
        <v>165</v>
      </c>
      <c r="AS74" s="41" t="s">
        <v>169</v>
      </c>
      <c r="AT74" s="41" t="s">
        <v>104</v>
      </c>
      <c r="AU74" s="41" t="s">
        <v>173</v>
      </c>
      <c r="AW74" s="41" t="s">
        <v>170</v>
      </c>
      <c r="AX74" s="41" t="s">
        <v>1517</v>
      </c>
      <c r="AY74" s="41" t="s">
        <v>1953</v>
      </c>
      <c r="AZ74" s="40"/>
      <c r="BA74" s="40"/>
    </row>
    <row r="75" spans="6:53" ht="29" x14ac:dyDescent="0.35">
      <c r="F75" s="40" t="s">
        <v>1070</v>
      </c>
      <c r="G75" s="85" t="s">
        <v>655</v>
      </c>
      <c r="H75" s="40" t="s">
        <v>655</v>
      </c>
      <c r="I75" s="41" t="s">
        <v>223</v>
      </c>
      <c r="J75" s="41" t="s">
        <v>601</v>
      </c>
      <c r="K75" s="41" t="s">
        <v>602</v>
      </c>
      <c r="L75" s="40" t="s">
        <v>603</v>
      </c>
      <c r="O75" s="40" t="s">
        <v>104</v>
      </c>
      <c r="P75" s="41" t="s">
        <v>104</v>
      </c>
      <c r="Q75" s="41" t="s">
        <v>104</v>
      </c>
      <c r="R75" s="41" t="s">
        <v>104</v>
      </c>
      <c r="S75" s="40" t="s">
        <v>169</v>
      </c>
      <c r="U75" s="41" t="s">
        <v>104</v>
      </c>
      <c r="V75" s="41" t="s">
        <v>104</v>
      </c>
      <c r="W75" s="41" t="s">
        <v>104</v>
      </c>
      <c r="X75" s="41" t="s">
        <v>104</v>
      </c>
      <c r="Y75" s="40" t="s">
        <v>604</v>
      </c>
      <c r="Z75" s="41" t="s">
        <v>605</v>
      </c>
      <c r="AA75" s="41" t="s">
        <v>117</v>
      </c>
      <c r="AB75" s="41" t="s">
        <v>680</v>
      </c>
      <c r="AC75" s="40" t="s">
        <v>604</v>
      </c>
      <c r="AD75" s="41" t="s">
        <v>607</v>
      </c>
      <c r="AE75" s="41" t="s">
        <v>117</v>
      </c>
      <c r="AF75" s="41" t="s">
        <v>681</v>
      </c>
      <c r="AG75" s="41" t="s">
        <v>138</v>
      </c>
      <c r="AH75" s="41" t="s">
        <v>169</v>
      </c>
      <c r="AI75" s="41">
        <v>1</v>
      </c>
      <c r="AJ75" s="41">
        <v>1</v>
      </c>
      <c r="AK75" s="41">
        <v>0</v>
      </c>
      <c r="AL75" s="42">
        <v>0</v>
      </c>
      <c r="AM75" s="41" t="s">
        <v>144</v>
      </c>
      <c r="AN75" s="42">
        <v>0</v>
      </c>
      <c r="AO75" s="41" t="s">
        <v>104</v>
      </c>
      <c r="AP75" s="41" t="s">
        <v>541</v>
      </c>
      <c r="AQ75" s="41" t="s">
        <v>104</v>
      </c>
      <c r="AR75" s="41" t="s">
        <v>165</v>
      </c>
      <c r="AS75" s="41" t="s">
        <v>169</v>
      </c>
      <c r="AT75" s="41" t="s">
        <v>104</v>
      </c>
      <c r="AU75" s="41" t="s">
        <v>173</v>
      </c>
      <c r="AW75" s="41" t="s">
        <v>170</v>
      </c>
      <c r="AX75" s="41" t="s">
        <v>1506</v>
      </c>
      <c r="AY75" s="41" t="s">
        <v>1942</v>
      </c>
      <c r="AZ75" s="40"/>
      <c r="BA75" s="40"/>
    </row>
    <row r="76" spans="6:53" ht="29" x14ac:dyDescent="0.35">
      <c r="F76" s="40" t="s">
        <v>1071</v>
      </c>
      <c r="G76" s="85" t="s">
        <v>654</v>
      </c>
      <c r="H76" s="40" t="s">
        <v>654</v>
      </c>
      <c r="I76" s="41" t="s">
        <v>223</v>
      </c>
      <c r="J76" s="41" t="s">
        <v>601</v>
      </c>
      <c r="K76" s="41" t="s">
        <v>602</v>
      </c>
      <c r="L76" s="40" t="s">
        <v>603</v>
      </c>
      <c r="O76" s="40" t="s">
        <v>104</v>
      </c>
      <c r="P76" s="41" t="s">
        <v>104</v>
      </c>
      <c r="Q76" s="41" t="s">
        <v>104</v>
      </c>
      <c r="R76" s="41" t="s">
        <v>104</v>
      </c>
      <c r="S76" s="40" t="s">
        <v>169</v>
      </c>
      <c r="U76" s="41" t="s">
        <v>104</v>
      </c>
      <c r="V76" s="41" t="s">
        <v>104</v>
      </c>
      <c r="W76" s="41" t="s">
        <v>104</v>
      </c>
      <c r="X76" s="41" t="s">
        <v>104</v>
      </c>
      <c r="Y76" s="40" t="s">
        <v>604</v>
      </c>
      <c r="Z76" s="41" t="s">
        <v>605</v>
      </c>
      <c r="AA76" s="41" t="s">
        <v>117</v>
      </c>
      <c r="AB76" s="41" t="s">
        <v>680</v>
      </c>
      <c r="AC76" s="40" t="s">
        <v>604</v>
      </c>
      <c r="AD76" s="41" t="s">
        <v>607</v>
      </c>
      <c r="AE76" s="41" t="s">
        <v>117</v>
      </c>
      <c r="AF76" s="41" t="s">
        <v>681</v>
      </c>
      <c r="AG76" s="41" t="s">
        <v>138</v>
      </c>
      <c r="AH76" s="41" t="s">
        <v>169</v>
      </c>
      <c r="AI76" s="41">
        <v>2</v>
      </c>
      <c r="AJ76" s="41">
        <v>2</v>
      </c>
      <c r="AK76" s="41">
        <v>0</v>
      </c>
      <c r="AL76" s="42">
        <v>0</v>
      </c>
      <c r="AM76" s="41" t="s">
        <v>144</v>
      </c>
      <c r="AN76" s="42">
        <v>0</v>
      </c>
      <c r="AO76" s="41" t="s">
        <v>104</v>
      </c>
      <c r="AP76" s="41" t="s">
        <v>541</v>
      </c>
      <c r="AQ76" s="41" t="s">
        <v>104</v>
      </c>
      <c r="AR76" s="41" t="s">
        <v>165</v>
      </c>
      <c r="AS76" s="41" t="s">
        <v>169</v>
      </c>
      <c r="AT76" s="41" t="s">
        <v>104</v>
      </c>
      <c r="AU76" s="41" t="s">
        <v>173</v>
      </c>
      <c r="AW76" s="41" t="s">
        <v>170</v>
      </c>
      <c r="AX76" s="41" t="s">
        <v>1507</v>
      </c>
      <c r="AY76" s="41" t="s">
        <v>1943</v>
      </c>
      <c r="AZ76" s="40"/>
      <c r="BA76" s="40"/>
    </row>
    <row r="77" spans="6:53" ht="29" x14ac:dyDescent="0.35">
      <c r="F77" s="40" t="s">
        <v>1072</v>
      </c>
      <c r="G77" s="85" t="s">
        <v>656</v>
      </c>
      <c r="H77" s="40" t="s">
        <v>656</v>
      </c>
      <c r="I77" s="41" t="s">
        <v>223</v>
      </c>
      <c r="J77" s="41" t="s">
        <v>601</v>
      </c>
      <c r="K77" s="41" t="s">
        <v>602</v>
      </c>
      <c r="L77" s="40" t="s">
        <v>603</v>
      </c>
      <c r="O77" s="40" t="s">
        <v>104</v>
      </c>
      <c r="P77" s="41" t="s">
        <v>104</v>
      </c>
      <c r="Q77" s="41" t="s">
        <v>104</v>
      </c>
      <c r="R77" s="41" t="s">
        <v>104</v>
      </c>
      <c r="S77" s="40" t="s">
        <v>169</v>
      </c>
      <c r="U77" s="41" t="s">
        <v>104</v>
      </c>
      <c r="V77" s="41" t="s">
        <v>104</v>
      </c>
      <c r="W77" s="41" t="s">
        <v>104</v>
      </c>
      <c r="X77" s="41" t="s">
        <v>104</v>
      </c>
      <c r="Y77" s="40" t="s">
        <v>604</v>
      </c>
      <c r="Z77" s="41" t="s">
        <v>605</v>
      </c>
      <c r="AA77" s="41" t="s">
        <v>117</v>
      </c>
      <c r="AB77" s="41" t="s">
        <v>680</v>
      </c>
      <c r="AC77" s="40" t="s">
        <v>604</v>
      </c>
      <c r="AD77" s="41" t="s">
        <v>607</v>
      </c>
      <c r="AE77" s="41" t="s">
        <v>117</v>
      </c>
      <c r="AF77" s="41" t="s">
        <v>681</v>
      </c>
      <c r="AG77" s="41" t="s">
        <v>138</v>
      </c>
      <c r="AH77" s="41" t="s">
        <v>169</v>
      </c>
      <c r="AI77" s="41">
        <v>1</v>
      </c>
      <c r="AJ77" s="41">
        <v>1</v>
      </c>
      <c r="AK77" s="41">
        <v>0</v>
      </c>
      <c r="AL77" s="42">
        <v>0</v>
      </c>
      <c r="AM77" s="41" t="s">
        <v>144</v>
      </c>
      <c r="AN77" s="42">
        <v>0</v>
      </c>
      <c r="AO77" s="41" t="s">
        <v>104</v>
      </c>
      <c r="AP77" s="41" t="s">
        <v>541</v>
      </c>
      <c r="AQ77" s="41" t="s">
        <v>104</v>
      </c>
      <c r="AR77" s="41" t="s">
        <v>165</v>
      </c>
      <c r="AS77" s="41" t="s">
        <v>169</v>
      </c>
      <c r="AT77" s="41" t="s">
        <v>104</v>
      </c>
      <c r="AU77" s="41" t="s">
        <v>173</v>
      </c>
      <c r="AW77" s="41" t="s">
        <v>170</v>
      </c>
      <c r="AX77" s="41" t="s">
        <v>1508</v>
      </c>
      <c r="AY77" s="41" t="s">
        <v>1944</v>
      </c>
      <c r="AZ77" s="40"/>
      <c r="BA77" s="40"/>
    </row>
    <row r="78" spans="6:53" ht="29" x14ac:dyDescent="0.35">
      <c r="F78" s="40" t="s">
        <v>1097</v>
      </c>
      <c r="G78" s="85" t="s">
        <v>608</v>
      </c>
      <c r="H78" s="40" t="s">
        <v>608</v>
      </c>
      <c r="I78" s="41" t="s">
        <v>223</v>
      </c>
      <c r="J78" s="41" t="s">
        <v>601</v>
      </c>
      <c r="K78" s="41" t="s">
        <v>602</v>
      </c>
      <c r="L78" s="40" t="s">
        <v>603</v>
      </c>
      <c r="O78" s="40" t="s">
        <v>104</v>
      </c>
      <c r="P78" s="41" t="s">
        <v>104</v>
      </c>
      <c r="Q78" s="41" t="s">
        <v>104</v>
      </c>
      <c r="R78" s="41" t="s">
        <v>104</v>
      </c>
      <c r="S78" s="40" t="s">
        <v>169</v>
      </c>
      <c r="U78" s="41" t="s">
        <v>104</v>
      </c>
      <c r="V78" s="41" t="s">
        <v>104</v>
      </c>
      <c r="W78" s="41" t="s">
        <v>104</v>
      </c>
      <c r="X78" s="41" t="s">
        <v>104</v>
      </c>
      <c r="Y78" s="40" t="s">
        <v>604</v>
      </c>
      <c r="Z78" s="41" t="s">
        <v>605</v>
      </c>
      <c r="AA78" s="41" t="s">
        <v>102</v>
      </c>
      <c r="AB78" s="41" t="s">
        <v>2212</v>
      </c>
      <c r="AC78" s="40" t="s">
        <v>604</v>
      </c>
      <c r="AD78" s="41" t="s">
        <v>605</v>
      </c>
      <c r="AE78" s="41" t="s">
        <v>102</v>
      </c>
      <c r="AF78" s="41" t="s">
        <v>2212</v>
      </c>
      <c r="AG78" s="41" t="s">
        <v>138</v>
      </c>
      <c r="AH78" s="41" t="s">
        <v>169</v>
      </c>
      <c r="AI78" s="41">
        <v>2</v>
      </c>
      <c r="AJ78" s="41">
        <v>2</v>
      </c>
      <c r="AK78" s="41">
        <v>0</v>
      </c>
      <c r="AL78" s="42">
        <v>0</v>
      </c>
      <c r="AM78" s="41" t="s">
        <v>144</v>
      </c>
      <c r="AN78" s="42">
        <v>0</v>
      </c>
      <c r="AO78" s="41" t="s">
        <v>104</v>
      </c>
      <c r="AP78" s="41" t="s">
        <v>541</v>
      </c>
      <c r="AQ78" s="41" t="s">
        <v>104</v>
      </c>
      <c r="AR78" s="41" t="s">
        <v>165</v>
      </c>
      <c r="AS78" s="41" t="s">
        <v>169</v>
      </c>
      <c r="AT78" s="41" t="s">
        <v>104</v>
      </c>
      <c r="AU78" s="41" t="s">
        <v>173</v>
      </c>
      <c r="AW78" s="41" t="s">
        <v>170</v>
      </c>
      <c r="AX78" s="41" t="s">
        <v>1533</v>
      </c>
      <c r="AY78" s="41" t="s">
        <v>1969</v>
      </c>
      <c r="AZ78" s="40"/>
      <c r="BA78" s="40"/>
    </row>
    <row r="79" spans="6:53" ht="29" x14ac:dyDescent="0.35">
      <c r="F79" s="40" t="s">
        <v>1074</v>
      </c>
      <c r="G79" s="85" t="s">
        <v>671</v>
      </c>
      <c r="H79" s="40" t="s">
        <v>671</v>
      </c>
      <c r="I79" s="41" t="s">
        <v>223</v>
      </c>
      <c r="J79" s="41" t="s">
        <v>601</v>
      </c>
      <c r="K79" s="41" t="s">
        <v>602</v>
      </c>
      <c r="L79" s="40" t="s">
        <v>603</v>
      </c>
      <c r="O79" s="40" t="s">
        <v>104</v>
      </c>
      <c r="P79" s="41" t="s">
        <v>104</v>
      </c>
      <c r="Q79" s="41" t="s">
        <v>104</v>
      </c>
      <c r="R79" s="41" t="s">
        <v>104</v>
      </c>
      <c r="S79" s="40" t="s">
        <v>169</v>
      </c>
      <c r="U79" s="41" t="s">
        <v>104</v>
      </c>
      <c r="V79" s="41" t="s">
        <v>104</v>
      </c>
      <c r="W79" s="41" t="s">
        <v>104</v>
      </c>
      <c r="X79" s="41" t="s">
        <v>104</v>
      </c>
      <c r="Y79" s="40" t="s">
        <v>604</v>
      </c>
      <c r="Z79" s="41" t="s">
        <v>605</v>
      </c>
      <c r="AA79" s="41" t="s">
        <v>117</v>
      </c>
      <c r="AB79" s="41" t="s">
        <v>680</v>
      </c>
      <c r="AC79" s="40" t="s">
        <v>604</v>
      </c>
      <c r="AD79" s="41" t="s">
        <v>607</v>
      </c>
      <c r="AE79" s="41" t="s">
        <v>117</v>
      </c>
      <c r="AF79" s="41" t="s">
        <v>681</v>
      </c>
      <c r="AG79" s="41" t="s">
        <v>138</v>
      </c>
      <c r="AH79" s="41" t="s">
        <v>169</v>
      </c>
      <c r="AI79" s="41">
        <v>1</v>
      </c>
      <c r="AJ79" s="41">
        <v>1</v>
      </c>
      <c r="AK79" s="41">
        <v>0</v>
      </c>
      <c r="AL79" s="42">
        <v>0</v>
      </c>
      <c r="AM79" s="41" t="s">
        <v>144</v>
      </c>
      <c r="AN79" s="42">
        <v>0</v>
      </c>
      <c r="AO79" s="41" t="s">
        <v>104</v>
      </c>
      <c r="AP79" s="41" t="s">
        <v>541</v>
      </c>
      <c r="AQ79" s="41" t="s">
        <v>104</v>
      </c>
      <c r="AR79" s="41" t="s">
        <v>165</v>
      </c>
      <c r="AS79" s="41" t="s">
        <v>169</v>
      </c>
      <c r="AT79" s="41" t="s">
        <v>104</v>
      </c>
      <c r="AU79" s="41" t="s">
        <v>173</v>
      </c>
      <c r="AW79" s="41" t="s">
        <v>170</v>
      </c>
      <c r="AX79" s="41" t="s">
        <v>1510</v>
      </c>
      <c r="AY79" s="41" t="s">
        <v>1946</v>
      </c>
      <c r="AZ79" s="40"/>
      <c r="BA79" s="40"/>
    </row>
    <row r="80" spans="6:53" ht="29" x14ac:dyDescent="0.35">
      <c r="F80" s="40" t="s">
        <v>1075</v>
      </c>
      <c r="G80" s="85" t="s">
        <v>682</v>
      </c>
      <c r="H80" s="40" t="s">
        <v>682</v>
      </c>
      <c r="I80" s="41" t="s">
        <v>223</v>
      </c>
      <c r="J80" s="41" t="s">
        <v>601</v>
      </c>
      <c r="K80" s="41" t="s">
        <v>602</v>
      </c>
      <c r="L80" s="40" t="s">
        <v>603</v>
      </c>
      <c r="O80" s="40" t="s">
        <v>104</v>
      </c>
      <c r="P80" s="41" t="s">
        <v>104</v>
      </c>
      <c r="Q80" s="41" t="s">
        <v>104</v>
      </c>
      <c r="R80" s="41" t="s">
        <v>104</v>
      </c>
      <c r="S80" s="40" t="s">
        <v>169</v>
      </c>
      <c r="U80" s="41" t="s">
        <v>104</v>
      </c>
      <c r="V80" s="41" t="s">
        <v>104</v>
      </c>
      <c r="W80" s="41" t="s">
        <v>104</v>
      </c>
      <c r="X80" s="41" t="s">
        <v>104</v>
      </c>
      <c r="Y80" s="40" t="s">
        <v>604</v>
      </c>
      <c r="Z80" s="41" t="s">
        <v>605</v>
      </c>
      <c r="AA80" s="41" t="s">
        <v>117</v>
      </c>
      <c r="AB80" s="41" t="s">
        <v>680</v>
      </c>
      <c r="AC80" s="40" t="s">
        <v>604</v>
      </c>
      <c r="AD80" s="41" t="s">
        <v>607</v>
      </c>
      <c r="AE80" s="41" t="s">
        <v>117</v>
      </c>
      <c r="AF80" s="41" t="s">
        <v>681</v>
      </c>
      <c r="AG80" s="41" t="s">
        <v>138</v>
      </c>
      <c r="AH80" s="41" t="s">
        <v>169</v>
      </c>
      <c r="AI80" s="41">
        <v>1</v>
      </c>
      <c r="AJ80" s="41">
        <v>1</v>
      </c>
      <c r="AK80" s="41">
        <v>0</v>
      </c>
      <c r="AL80" s="42">
        <v>0</v>
      </c>
      <c r="AM80" s="41" t="s">
        <v>144</v>
      </c>
      <c r="AN80" s="42">
        <v>0</v>
      </c>
      <c r="AO80" s="41" t="s">
        <v>104</v>
      </c>
      <c r="AP80" s="41" t="s">
        <v>541</v>
      </c>
      <c r="AQ80" s="41" t="s">
        <v>104</v>
      </c>
      <c r="AR80" s="41" t="s">
        <v>165</v>
      </c>
      <c r="AS80" s="41" t="s">
        <v>169</v>
      </c>
      <c r="AT80" s="41" t="s">
        <v>104</v>
      </c>
      <c r="AU80" s="41" t="s">
        <v>173</v>
      </c>
      <c r="AW80" s="41" t="s">
        <v>170</v>
      </c>
      <c r="AX80" s="41" t="s">
        <v>1511</v>
      </c>
      <c r="AY80" s="41" t="s">
        <v>1947</v>
      </c>
      <c r="AZ80" s="40"/>
      <c r="BA80" s="40"/>
    </row>
    <row r="81" spans="6:53" ht="29" x14ac:dyDescent="0.35">
      <c r="F81" s="40" t="s">
        <v>1076</v>
      </c>
      <c r="G81" s="85" t="s">
        <v>678</v>
      </c>
      <c r="H81" s="40" t="s">
        <v>678</v>
      </c>
      <c r="I81" s="41" t="s">
        <v>223</v>
      </c>
      <c r="J81" s="41" t="s">
        <v>601</v>
      </c>
      <c r="K81" s="41" t="s">
        <v>602</v>
      </c>
      <c r="L81" s="40" t="s">
        <v>603</v>
      </c>
      <c r="O81" s="40" t="s">
        <v>104</v>
      </c>
      <c r="P81" s="41" t="s">
        <v>104</v>
      </c>
      <c r="Q81" s="41" t="s">
        <v>104</v>
      </c>
      <c r="R81" s="41" t="s">
        <v>104</v>
      </c>
      <c r="S81" s="40" t="s">
        <v>169</v>
      </c>
      <c r="U81" s="41" t="s">
        <v>104</v>
      </c>
      <c r="V81" s="41" t="s">
        <v>104</v>
      </c>
      <c r="W81" s="41" t="s">
        <v>104</v>
      </c>
      <c r="X81" s="41" t="s">
        <v>104</v>
      </c>
      <c r="Y81" s="40" t="s">
        <v>604</v>
      </c>
      <c r="Z81" s="41" t="s">
        <v>605</v>
      </c>
      <c r="AA81" s="41" t="s">
        <v>117</v>
      </c>
      <c r="AB81" s="41" t="s">
        <v>680</v>
      </c>
      <c r="AC81" s="40" t="s">
        <v>604</v>
      </c>
      <c r="AD81" s="41" t="s">
        <v>607</v>
      </c>
      <c r="AE81" s="41" t="s">
        <v>117</v>
      </c>
      <c r="AF81" s="41" t="s">
        <v>681</v>
      </c>
      <c r="AG81" s="41" t="s">
        <v>138</v>
      </c>
      <c r="AH81" s="41" t="s">
        <v>169</v>
      </c>
      <c r="AI81" s="41">
        <v>1</v>
      </c>
      <c r="AJ81" s="41">
        <v>1</v>
      </c>
      <c r="AK81" s="41">
        <v>0</v>
      </c>
      <c r="AL81" s="42">
        <v>0</v>
      </c>
      <c r="AM81" s="41" t="s">
        <v>144</v>
      </c>
      <c r="AN81" s="42">
        <v>0</v>
      </c>
      <c r="AO81" s="41" t="s">
        <v>104</v>
      </c>
      <c r="AP81" s="41" t="s">
        <v>541</v>
      </c>
      <c r="AQ81" s="41" t="s">
        <v>104</v>
      </c>
      <c r="AR81" s="41" t="s">
        <v>165</v>
      </c>
      <c r="AS81" s="41" t="s">
        <v>169</v>
      </c>
      <c r="AT81" s="41" t="s">
        <v>104</v>
      </c>
      <c r="AU81" s="41" t="s">
        <v>173</v>
      </c>
      <c r="AW81" s="41" t="s">
        <v>170</v>
      </c>
      <c r="AX81" s="41" t="s">
        <v>1512</v>
      </c>
      <c r="AY81" s="41" t="s">
        <v>1948</v>
      </c>
      <c r="AZ81" s="40"/>
      <c r="BA81" s="40"/>
    </row>
    <row r="82" spans="6:53" ht="29" x14ac:dyDescent="0.35">
      <c r="F82" s="40" t="s">
        <v>1077</v>
      </c>
      <c r="G82" s="85" t="s">
        <v>658</v>
      </c>
      <c r="H82" s="40" t="s">
        <v>658</v>
      </c>
      <c r="I82" s="41" t="s">
        <v>223</v>
      </c>
      <c r="J82" s="41" t="s">
        <v>601</v>
      </c>
      <c r="K82" s="41" t="s">
        <v>602</v>
      </c>
      <c r="L82" s="40" t="s">
        <v>603</v>
      </c>
      <c r="O82" s="40" t="s">
        <v>104</v>
      </c>
      <c r="P82" s="41" t="s">
        <v>104</v>
      </c>
      <c r="Q82" s="41" t="s">
        <v>104</v>
      </c>
      <c r="R82" s="41" t="s">
        <v>104</v>
      </c>
      <c r="S82" s="40" t="s">
        <v>169</v>
      </c>
      <c r="T82" s="41" t="s">
        <v>614</v>
      </c>
      <c r="U82" s="41" t="s">
        <v>104</v>
      </c>
      <c r="V82" s="41" t="s">
        <v>107</v>
      </c>
      <c r="W82" s="41" t="s">
        <v>112</v>
      </c>
      <c r="X82" s="41" t="s">
        <v>104</v>
      </c>
      <c r="Y82" s="40" t="s">
        <v>604</v>
      </c>
      <c r="Z82" s="41" t="s">
        <v>605</v>
      </c>
      <c r="AA82" s="41" t="s">
        <v>117</v>
      </c>
      <c r="AB82" s="41" t="s">
        <v>683</v>
      </c>
      <c r="AC82" s="40" t="s">
        <v>604</v>
      </c>
      <c r="AD82" s="41" t="s">
        <v>607</v>
      </c>
      <c r="AE82" s="41" t="s">
        <v>117</v>
      </c>
      <c r="AF82" s="41" t="s">
        <v>684</v>
      </c>
      <c r="AG82" s="41" t="s">
        <v>138</v>
      </c>
      <c r="AH82" s="41" t="s">
        <v>169</v>
      </c>
      <c r="AI82" s="41">
        <v>1</v>
      </c>
      <c r="AJ82" s="41">
        <v>1</v>
      </c>
      <c r="AK82" s="41">
        <v>0</v>
      </c>
      <c r="AL82" s="42">
        <v>0</v>
      </c>
      <c r="AM82" s="41" t="s">
        <v>144</v>
      </c>
      <c r="AN82" s="42">
        <v>0</v>
      </c>
      <c r="AO82" s="41" t="s">
        <v>104</v>
      </c>
      <c r="AP82" s="41" t="s">
        <v>541</v>
      </c>
      <c r="AQ82" s="41" t="s">
        <v>104</v>
      </c>
      <c r="AR82" s="41" t="s">
        <v>165</v>
      </c>
      <c r="AS82" s="41" t="s">
        <v>169</v>
      </c>
      <c r="AT82" s="41" t="s">
        <v>104</v>
      </c>
      <c r="AU82" s="41" t="s">
        <v>173</v>
      </c>
      <c r="AW82" s="41" t="s">
        <v>170</v>
      </c>
      <c r="AX82" s="41" t="s">
        <v>1513</v>
      </c>
      <c r="AY82" s="41" t="s">
        <v>1949</v>
      </c>
      <c r="AZ82" s="40"/>
      <c r="BA82" s="40"/>
    </row>
    <row r="83" spans="6:53" ht="29" x14ac:dyDescent="0.35">
      <c r="F83" s="40" t="s">
        <v>1078</v>
      </c>
      <c r="G83" s="85" t="s">
        <v>685</v>
      </c>
      <c r="H83" s="40" t="s">
        <v>685</v>
      </c>
      <c r="I83" s="41" t="s">
        <v>223</v>
      </c>
      <c r="J83" s="41" t="s">
        <v>601</v>
      </c>
      <c r="K83" s="41" t="s">
        <v>602</v>
      </c>
      <c r="L83" s="40" t="s">
        <v>603</v>
      </c>
      <c r="O83" s="40" t="s">
        <v>104</v>
      </c>
      <c r="P83" s="41" t="s">
        <v>104</v>
      </c>
      <c r="Q83" s="41" t="s">
        <v>104</v>
      </c>
      <c r="R83" s="41" t="s">
        <v>104</v>
      </c>
      <c r="S83" s="40" t="s">
        <v>169</v>
      </c>
      <c r="T83" s="41" t="s">
        <v>686</v>
      </c>
      <c r="U83" s="41" t="s">
        <v>104</v>
      </c>
      <c r="V83" s="41" t="s">
        <v>104</v>
      </c>
      <c r="W83" s="41" t="s">
        <v>104</v>
      </c>
      <c r="X83" s="41" t="s">
        <v>104</v>
      </c>
      <c r="Y83" s="40" t="s">
        <v>604</v>
      </c>
      <c r="Z83" s="41" t="s">
        <v>605</v>
      </c>
      <c r="AA83" s="41" t="s">
        <v>117</v>
      </c>
      <c r="AB83" s="41" t="s">
        <v>683</v>
      </c>
      <c r="AC83" s="40" t="s">
        <v>604</v>
      </c>
      <c r="AD83" s="41" t="s">
        <v>607</v>
      </c>
      <c r="AE83" s="41" t="s">
        <v>117</v>
      </c>
      <c r="AF83" s="41" t="s">
        <v>684</v>
      </c>
      <c r="AG83" s="41" t="s">
        <v>138</v>
      </c>
      <c r="AH83" s="41" t="s">
        <v>169</v>
      </c>
      <c r="AI83" s="41">
        <v>1</v>
      </c>
      <c r="AJ83" s="41">
        <v>1</v>
      </c>
      <c r="AK83" s="41">
        <v>0</v>
      </c>
      <c r="AL83" s="42">
        <v>0</v>
      </c>
      <c r="AM83" s="41" t="s">
        <v>144</v>
      </c>
      <c r="AN83" s="42">
        <v>0</v>
      </c>
      <c r="AO83" s="41" t="s">
        <v>104</v>
      </c>
      <c r="AP83" s="41" t="s">
        <v>541</v>
      </c>
      <c r="AQ83" s="41" t="s">
        <v>104</v>
      </c>
      <c r="AR83" s="41" t="s">
        <v>165</v>
      </c>
      <c r="AS83" s="41" t="s">
        <v>169</v>
      </c>
      <c r="AT83" s="41" t="s">
        <v>104</v>
      </c>
      <c r="AU83" s="41" t="s">
        <v>173</v>
      </c>
      <c r="AW83" s="41" t="s">
        <v>170</v>
      </c>
      <c r="AX83" s="41" t="s">
        <v>1514</v>
      </c>
      <c r="AY83" s="41" t="s">
        <v>1950</v>
      </c>
      <c r="AZ83" s="40"/>
      <c r="BA83" s="40"/>
    </row>
    <row r="84" spans="6:53" ht="29" x14ac:dyDescent="0.35">
      <c r="F84" s="40" t="s">
        <v>1079</v>
      </c>
      <c r="G84" s="85" t="s">
        <v>687</v>
      </c>
      <c r="H84" s="40" t="s">
        <v>687</v>
      </c>
      <c r="I84" s="41" t="s">
        <v>223</v>
      </c>
      <c r="J84" s="41" t="s">
        <v>601</v>
      </c>
      <c r="K84" s="41" t="s">
        <v>602</v>
      </c>
      <c r="L84" s="40" t="s">
        <v>603</v>
      </c>
      <c r="O84" s="40" t="s">
        <v>104</v>
      </c>
      <c r="P84" s="41" t="s">
        <v>104</v>
      </c>
      <c r="Q84" s="41" t="s">
        <v>104</v>
      </c>
      <c r="R84" s="41" t="s">
        <v>104</v>
      </c>
      <c r="S84" s="40" t="s">
        <v>169</v>
      </c>
      <c r="T84" s="41" t="s">
        <v>688</v>
      </c>
      <c r="U84" s="41" t="s">
        <v>104</v>
      </c>
      <c r="V84" s="41" t="s">
        <v>104</v>
      </c>
      <c r="W84" s="41" t="s">
        <v>104</v>
      </c>
      <c r="X84" s="41" t="s">
        <v>104</v>
      </c>
      <c r="Y84" s="40" t="s">
        <v>604</v>
      </c>
      <c r="Z84" s="41" t="s">
        <v>605</v>
      </c>
      <c r="AA84" s="41" t="s">
        <v>117</v>
      </c>
      <c r="AB84" s="41" t="s">
        <v>683</v>
      </c>
      <c r="AC84" s="40" t="s">
        <v>604</v>
      </c>
      <c r="AD84" s="41" t="s">
        <v>607</v>
      </c>
      <c r="AE84" s="41" t="s">
        <v>117</v>
      </c>
      <c r="AF84" s="41" t="s">
        <v>684</v>
      </c>
      <c r="AG84" s="41" t="s">
        <v>138</v>
      </c>
      <c r="AH84" s="41" t="s">
        <v>169</v>
      </c>
      <c r="AI84" s="41">
        <v>1</v>
      </c>
      <c r="AJ84" s="41">
        <v>1</v>
      </c>
      <c r="AK84" s="41">
        <v>0</v>
      </c>
      <c r="AL84" s="42">
        <v>0</v>
      </c>
      <c r="AM84" s="41" t="s">
        <v>144</v>
      </c>
      <c r="AN84" s="42">
        <v>0</v>
      </c>
      <c r="AO84" s="41" t="s">
        <v>104</v>
      </c>
      <c r="AP84" s="41" t="s">
        <v>541</v>
      </c>
      <c r="AQ84" s="41" t="s">
        <v>104</v>
      </c>
      <c r="AR84" s="41" t="s">
        <v>165</v>
      </c>
      <c r="AS84" s="41" t="s">
        <v>169</v>
      </c>
      <c r="AT84" s="41" t="s">
        <v>104</v>
      </c>
      <c r="AU84" s="41" t="s">
        <v>173</v>
      </c>
      <c r="AW84" s="41" t="s">
        <v>170</v>
      </c>
      <c r="AX84" s="41" t="s">
        <v>1515</v>
      </c>
      <c r="AY84" s="41" t="s">
        <v>1951</v>
      </c>
      <c r="AZ84" s="40"/>
      <c r="BA84" s="40"/>
    </row>
    <row r="85" spans="6:53" ht="29" x14ac:dyDescent="0.35">
      <c r="F85" s="40" t="s">
        <v>1080</v>
      </c>
      <c r="G85" s="85" t="s">
        <v>616</v>
      </c>
      <c r="H85" s="40" t="s">
        <v>616</v>
      </c>
      <c r="I85" s="41" t="s">
        <v>223</v>
      </c>
      <c r="J85" s="41" t="s">
        <v>601</v>
      </c>
      <c r="K85" s="41" t="s">
        <v>602</v>
      </c>
      <c r="L85" s="40" t="s">
        <v>603</v>
      </c>
      <c r="O85" s="40" t="s">
        <v>104</v>
      </c>
      <c r="P85" s="41" t="s">
        <v>104</v>
      </c>
      <c r="Q85" s="41" t="s">
        <v>104</v>
      </c>
      <c r="R85" s="41" t="s">
        <v>104</v>
      </c>
      <c r="S85" s="40" t="s">
        <v>169</v>
      </c>
      <c r="U85" s="41" t="s">
        <v>104</v>
      </c>
      <c r="V85" s="41" t="s">
        <v>104</v>
      </c>
      <c r="W85" s="41" t="s">
        <v>104</v>
      </c>
      <c r="X85" s="41" t="s">
        <v>104</v>
      </c>
      <c r="Y85" s="40" t="s">
        <v>604</v>
      </c>
      <c r="Z85" s="41" t="s">
        <v>605</v>
      </c>
      <c r="AA85" s="41" t="s">
        <v>117</v>
      </c>
      <c r="AB85" s="41" t="s">
        <v>683</v>
      </c>
      <c r="AC85" s="40" t="s">
        <v>604</v>
      </c>
      <c r="AD85" s="41" t="s">
        <v>607</v>
      </c>
      <c r="AE85" s="41" t="s">
        <v>117</v>
      </c>
      <c r="AF85" s="41" t="s">
        <v>684</v>
      </c>
      <c r="AG85" s="41" t="s">
        <v>138</v>
      </c>
      <c r="AH85" s="41" t="s">
        <v>169</v>
      </c>
      <c r="AI85" s="41">
        <v>1</v>
      </c>
      <c r="AJ85" s="41">
        <v>1</v>
      </c>
      <c r="AK85" s="41">
        <v>0</v>
      </c>
      <c r="AL85" s="42">
        <v>0</v>
      </c>
      <c r="AM85" s="41" t="s">
        <v>144</v>
      </c>
      <c r="AN85" s="42">
        <v>0</v>
      </c>
      <c r="AO85" s="41" t="s">
        <v>104</v>
      </c>
      <c r="AP85" s="41" t="s">
        <v>541</v>
      </c>
      <c r="AQ85" s="41" t="s">
        <v>104</v>
      </c>
      <c r="AR85" s="41" t="s">
        <v>165</v>
      </c>
      <c r="AS85" s="41" t="s">
        <v>169</v>
      </c>
      <c r="AT85" s="41" t="s">
        <v>104</v>
      </c>
      <c r="AU85" s="41" t="s">
        <v>173</v>
      </c>
      <c r="AW85" s="41" t="s">
        <v>170</v>
      </c>
      <c r="AX85" s="41" t="s">
        <v>1516</v>
      </c>
      <c r="AY85" s="41" t="s">
        <v>1952</v>
      </c>
      <c r="AZ85" s="40"/>
      <c r="BA85" s="40"/>
    </row>
    <row r="86" spans="6:53" ht="29" x14ac:dyDescent="0.35">
      <c r="F86" s="40" t="s">
        <v>1112</v>
      </c>
      <c r="G86" s="85" t="s">
        <v>608</v>
      </c>
      <c r="H86" s="40" t="s">
        <v>608</v>
      </c>
      <c r="I86" s="41" t="s">
        <v>223</v>
      </c>
      <c r="J86" s="41" t="s">
        <v>601</v>
      </c>
      <c r="K86" s="41" t="s">
        <v>602</v>
      </c>
      <c r="L86" s="40" t="s">
        <v>603</v>
      </c>
      <c r="O86" s="40" t="s">
        <v>104</v>
      </c>
      <c r="P86" s="41" t="s">
        <v>104</v>
      </c>
      <c r="Q86" s="41" t="s">
        <v>104</v>
      </c>
      <c r="R86" s="41" t="s">
        <v>104</v>
      </c>
      <c r="S86" s="40" t="s">
        <v>169</v>
      </c>
      <c r="U86" s="41" t="s">
        <v>104</v>
      </c>
      <c r="V86" s="41" t="s">
        <v>104</v>
      </c>
      <c r="W86" s="41" t="s">
        <v>104</v>
      </c>
      <c r="X86" s="41" t="s">
        <v>104</v>
      </c>
      <c r="Y86" s="40" t="s">
        <v>604</v>
      </c>
      <c r="Z86" s="41" t="s">
        <v>605</v>
      </c>
      <c r="AA86" s="41" t="s">
        <v>102</v>
      </c>
      <c r="AB86" s="41" t="s">
        <v>2212</v>
      </c>
      <c r="AC86" s="40" t="s">
        <v>604</v>
      </c>
      <c r="AD86" s="41" t="s">
        <v>605</v>
      </c>
      <c r="AE86" s="41" t="s">
        <v>102</v>
      </c>
      <c r="AF86" s="41" t="s">
        <v>2212</v>
      </c>
      <c r="AG86" s="41" t="s">
        <v>138</v>
      </c>
      <c r="AH86" s="41" t="s">
        <v>169</v>
      </c>
      <c r="AI86" s="41">
        <v>1</v>
      </c>
      <c r="AJ86" s="41">
        <v>1</v>
      </c>
      <c r="AK86" s="41">
        <v>0</v>
      </c>
      <c r="AL86" s="42">
        <v>0</v>
      </c>
      <c r="AM86" s="41" t="s">
        <v>144</v>
      </c>
      <c r="AN86" s="42">
        <v>0</v>
      </c>
      <c r="AO86" s="41" t="s">
        <v>104</v>
      </c>
      <c r="AP86" s="41" t="s">
        <v>541</v>
      </c>
      <c r="AQ86" s="41" t="s">
        <v>104</v>
      </c>
      <c r="AR86" s="41" t="s">
        <v>165</v>
      </c>
      <c r="AS86" s="41" t="s">
        <v>169</v>
      </c>
      <c r="AT86" s="41" t="s">
        <v>104</v>
      </c>
      <c r="AU86" s="41" t="s">
        <v>173</v>
      </c>
      <c r="AW86" s="41" t="s">
        <v>170</v>
      </c>
      <c r="AX86" s="41" t="s">
        <v>1548</v>
      </c>
      <c r="AY86" s="41" t="s">
        <v>1984</v>
      </c>
      <c r="AZ86" s="40"/>
      <c r="BA86" s="40"/>
    </row>
    <row r="87" spans="6:53" ht="29" x14ac:dyDescent="0.35">
      <c r="F87" s="40" t="s">
        <v>1082</v>
      </c>
      <c r="G87" s="85" t="s">
        <v>654</v>
      </c>
      <c r="H87" s="40" t="s">
        <v>654</v>
      </c>
      <c r="I87" s="41" t="s">
        <v>223</v>
      </c>
      <c r="J87" s="41" t="s">
        <v>601</v>
      </c>
      <c r="K87" s="41" t="s">
        <v>602</v>
      </c>
      <c r="L87" s="40" t="s">
        <v>603</v>
      </c>
      <c r="O87" s="40" t="s">
        <v>104</v>
      </c>
      <c r="P87" s="41" t="s">
        <v>104</v>
      </c>
      <c r="Q87" s="41" t="s">
        <v>104</v>
      </c>
      <c r="R87" s="41" t="s">
        <v>104</v>
      </c>
      <c r="S87" s="40" t="s">
        <v>169</v>
      </c>
      <c r="U87" s="41" t="s">
        <v>104</v>
      </c>
      <c r="V87" s="41" t="s">
        <v>104</v>
      </c>
      <c r="W87" s="41" t="s">
        <v>104</v>
      </c>
      <c r="X87" s="41" t="s">
        <v>104</v>
      </c>
      <c r="Y87" s="40" t="s">
        <v>604</v>
      </c>
      <c r="Z87" s="41" t="s">
        <v>605</v>
      </c>
      <c r="AA87" s="41" t="s">
        <v>117</v>
      </c>
      <c r="AB87" s="41" t="s">
        <v>683</v>
      </c>
      <c r="AC87" s="40" t="s">
        <v>604</v>
      </c>
      <c r="AD87" s="41" t="s">
        <v>607</v>
      </c>
      <c r="AE87" s="41" t="s">
        <v>117</v>
      </c>
      <c r="AF87" s="41" t="s">
        <v>684</v>
      </c>
      <c r="AG87" s="41" t="s">
        <v>138</v>
      </c>
      <c r="AH87" s="41" t="s">
        <v>169</v>
      </c>
      <c r="AI87" s="41">
        <v>2</v>
      </c>
      <c r="AJ87" s="41">
        <v>2</v>
      </c>
      <c r="AK87" s="41">
        <v>0</v>
      </c>
      <c r="AL87" s="42">
        <v>0</v>
      </c>
      <c r="AM87" s="41" t="s">
        <v>144</v>
      </c>
      <c r="AN87" s="42">
        <v>0</v>
      </c>
      <c r="AO87" s="41" t="s">
        <v>104</v>
      </c>
      <c r="AP87" s="41" t="s">
        <v>541</v>
      </c>
      <c r="AQ87" s="41" t="s">
        <v>104</v>
      </c>
      <c r="AR87" s="41" t="s">
        <v>165</v>
      </c>
      <c r="AS87" s="41" t="s">
        <v>169</v>
      </c>
      <c r="AT87" s="41" t="s">
        <v>104</v>
      </c>
      <c r="AU87" s="41" t="s">
        <v>173</v>
      </c>
      <c r="AW87" s="41" t="s">
        <v>170</v>
      </c>
      <c r="AX87" s="41" t="s">
        <v>1518</v>
      </c>
      <c r="AY87" s="41" t="s">
        <v>1954</v>
      </c>
      <c r="AZ87" s="40"/>
      <c r="BA87" s="40"/>
    </row>
    <row r="88" spans="6:53" ht="29" x14ac:dyDescent="0.35">
      <c r="F88" s="40" t="s">
        <v>1083</v>
      </c>
      <c r="G88" s="85" t="s">
        <v>678</v>
      </c>
      <c r="H88" s="40" t="s">
        <v>678</v>
      </c>
      <c r="I88" s="41" t="s">
        <v>223</v>
      </c>
      <c r="J88" s="41" t="s">
        <v>601</v>
      </c>
      <c r="K88" s="41" t="s">
        <v>602</v>
      </c>
      <c r="L88" s="40" t="s">
        <v>603</v>
      </c>
      <c r="O88" s="40" t="s">
        <v>104</v>
      </c>
      <c r="P88" s="41" t="s">
        <v>104</v>
      </c>
      <c r="Q88" s="41" t="s">
        <v>104</v>
      </c>
      <c r="R88" s="41" t="s">
        <v>104</v>
      </c>
      <c r="S88" s="40" t="s">
        <v>169</v>
      </c>
      <c r="U88" s="41" t="s">
        <v>104</v>
      </c>
      <c r="V88" s="41" t="s">
        <v>104</v>
      </c>
      <c r="W88" s="41" t="s">
        <v>104</v>
      </c>
      <c r="X88" s="41" t="s">
        <v>104</v>
      </c>
      <c r="Y88" s="40" t="s">
        <v>604</v>
      </c>
      <c r="Z88" s="41" t="s">
        <v>605</v>
      </c>
      <c r="AA88" s="41" t="s">
        <v>117</v>
      </c>
      <c r="AB88" s="41" t="s">
        <v>683</v>
      </c>
      <c r="AC88" s="40" t="s">
        <v>604</v>
      </c>
      <c r="AD88" s="41" t="s">
        <v>607</v>
      </c>
      <c r="AE88" s="41" t="s">
        <v>117</v>
      </c>
      <c r="AF88" s="41" t="s">
        <v>684</v>
      </c>
      <c r="AG88" s="41" t="s">
        <v>138</v>
      </c>
      <c r="AH88" s="41" t="s">
        <v>169</v>
      </c>
      <c r="AI88" s="41">
        <v>1</v>
      </c>
      <c r="AJ88" s="41">
        <v>1</v>
      </c>
      <c r="AK88" s="41">
        <v>0</v>
      </c>
      <c r="AL88" s="42">
        <v>0</v>
      </c>
      <c r="AM88" s="41" t="s">
        <v>144</v>
      </c>
      <c r="AN88" s="42">
        <v>0</v>
      </c>
      <c r="AO88" s="41" t="s">
        <v>104</v>
      </c>
      <c r="AP88" s="41" t="s">
        <v>541</v>
      </c>
      <c r="AQ88" s="41" t="s">
        <v>104</v>
      </c>
      <c r="AR88" s="41" t="s">
        <v>165</v>
      </c>
      <c r="AS88" s="41" t="s">
        <v>169</v>
      </c>
      <c r="AT88" s="41" t="s">
        <v>104</v>
      </c>
      <c r="AU88" s="41" t="s">
        <v>173</v>
      </c>
      <c r="AW88" s="41" t="s">
        <v>170</v>
      </c>
      <c r="AX88" s="41" t="s">
        <v>1519</v>
      </c>
      <c r="AY88" s="41" t="s">
        <v>1955</v>
      </c>
      <c r="AZ88" s="40"/>
      <c r="BA88" s="40"/>
    </row>
    <row r="89" spans="6:53" ht="29" x14ac:dyDescent="0.35">
      <c r="F89" s="40" t="s">
        <v>1116</v>
      </c>
      <c r="G89" s="85" t="s">
        <v>608</v>
      </c>
      <c r="H89" s="40" t="s">
        <v>608</v>
      </c>
      <c r="I89" s="41" t="s">
        <v>223</v>
      </c>
      <c r="J89" s="41" t="s">
        <v>601</v>
      </c>
      <c r="K89" s="41" t="s">
        <v>602</v>
      </c>
      <c r="L89" s="40" t="s">
        <v>603</v>
      </c>
      <c r="O89" s="40" t="s">
        <v>104</v>
      </c>
      <c r="P89" s="41" t="s">
        <v>104</v>
      </c>
      <c r="Q89" s="41" t="s">
        <v>104</v>
      </c>
      <c r="R89" s="41" t="s">
        <v>104</v>
      </c>
      <c r="S89" s="40" t="s">
        <v>169</v>
      </c>
      <c r="U89" s="41" t="s">
        <v>104</v>
      </c>
      <c r="V89" s="41" t="s">
        <v>104</v>
      </c>
      <c r="W89" s="41" t="s">
        <v>104</v>
      </c>
      <c r="X89" s="41" t="s">
        <v>104</v>
      </c>
      <c r="Y89" s="40" t="s">
        <v>604</v>
      </c>
      <c r="Z89" s="41" t="s">
        <v>605</v>
      </c>
      <c r="AA89" s="41" t="s">
        <v>102</v>
      </c>
      <c r="AB89" s="41" t="s">
        <v>2212</v>
      </c>
      <c r="AC89" s="40" t="s">
        <v>604</v>
      </c>
      <c r="AD89" s="41" t="s">
        <v>605</v>
      </c>
      <c r="AE89" s="41" t="s">
        <v>102</v>
      </c>
      <c r="AF89" s="41" t="s">
        <v>2212</v>
      </c>
      <c r="AG89" s="41" t="s">
        <v>138</v>
      </c>
      <c r="AH89" s="41" t="s">
        <v>169</v>
      </c>
      <c r="AI89" s="41">
        <v>2</v>
      </c>
      <c r="AJ89" s="41">
        <v>2</v>
      </c>
      <c r="AK89" s="41">
        <v>0</v>
      </c>
      <c r="AL89" s="42">
        <v>0</v>
      </c>
      <c r="AM89" s="41" t="s">
        <v>144</v>
      </c>
      <c r="AN89" s="42">
        <v>0</v>
      </c>
      <c r="AO89" s="41" t="s">
        <v>104</v>
      </c>
      <c r="AP89" s="41" t="s">
        <v>541</v>
      </c>
      <c r="AQ89" s="41" t="s">
        <v>104</v>
      </c>
      <c r="AR89" s="41" t="s">
        <v>165</v>
      </c>
      <c r="AS89" s="41" t="s">
        <v>169</v>
      </c>
      <c r="AT89" s="41" t="s">
        <v>104</v>
      </c>
      <c r="AU89" s="41" t="s">
        <v>173</v>
      </c>
      <c r="AW89" s="41" t="s">
        <v>170</v>
      </c>
      <c r="AX89" s="41" t="s">
        <v>1552</v>
      </c>
      <c r="AY89" s="41" t="s">
        <v>1988</v>
      </c>
      <c r="AZ89" s="40"/>
      <c r="BA89" s="40"/>
    </row>
    <row r="90" spans="6:53" ht="29" x14ac:dyDescent="0.35">
      <c r="F90" s="40" t="s">
        <v>1085</v>
      </c>
      <c r="G90" s="85" t="s">
        <v>689</v>
      </c>
      <c r="H90" s="40" t="s">
        <v>689</v>
      </c>
      <c r="I90" s="41" t="s">
        <v>223</v>
      </c>
      <c r="J90" s="41" t="s">
        <v>601</v>
      </c>
      <c r="K90" s="41" t="s">
        <v>602</v>
      </c>
      <c r="L90" s="40" t="s">
        <v>603</v>
      </c>
      <c r="O90" s="40" t="s">
        <v>104</v>
      </c>
      <c r="P90" s="41" t="s">
        <v>104</v>
      </c>
      <c r="Q90" s="41" t="s">
        <v>104</v>
      </c>
      <c r="R90" s="41" t="s">
        <v>104</v>
      </c>
      <c r="S90" s="40" t="s">
        <v>169</v>
      </c>
      <c r="U90" s="41" t="s">
        <v>104</v>
      </c>
      <c r="V90" s="41" t="s">
        <v>104</v>
      </c>
      <c r="W90" s="41" t="s">
        <v>104</v>
      </c>
      <c r="X90" s="41" t="s">
        <v>104</v>
      </c>
      <c r="Y90" s="40" t="s">
        <v>604</v>
      </c>
      <c r="Z90" s="41" t="s">
        <v>605</v>
      </c>
      <c r="AA90" s="41" t="s">
        <v>117</v>
      </c>
      <c r="AB90" s="41" t="s">
        <v>683</v>
      </c>
      <c r="AC90" s="40" t="s">
        <v>604</v>
      </c>
      <c r="AD90" s="41" t="s">
        <v>607</v>
      </c>
      <c r="AE90" s="41" t="s">
        <v>117</v>
      </c>
      <c r="AF90" s="41" t="s">
        <v>684</v>
      </c>
      <c r="AG90" s="41" t="s">
        <v>138</v>
      </c>
      <c r="AH90" s="41" t="s">
        <v>169</v>
      </c>
      <c r="AI90" s="41">
        <v>1</v>
      </c>
      <c r="AJ90" s="41">
        <v>1</v>
      </c>
      <c r="AK90" s="41">
        <v>0</v>
      </c>
      <c r="AL90" s="42">
        <v>0</v>
      </c>
      <c r="AM90" s="41" t="s">
        <v>144</v>
      </c>
      <c r="AN90" s="42">
        <v>0</v>
      </c>
      <c r="AO90" s="41" t="s">
        <v>104</v>
      </c>
      <c r="AP90" s="41" t="s">
        <v>541</v>
      </c>
      <c r="AQ90" s="41" t="s">
        <v>104</v>
      </c>
      <c r="AR90" s="41" t="s">
        <v>165</v>
      </c>
      <c r="AS90" s="41" t="s">
        <v>169</v>
      </c>
      <c r="AT90" s="41" t="s">
        <v>104</v>
      </c>
      <c r="AU90" s="41" t="s">
        <v>173</v>
      </c>
      <c r="AW90" s="41" t="s">
        <v>170</v>
      </c>
      <c r="AX90" s="41" t="s">
        <v>1521</v>
      </c>
      <c r="AY90" s="41" t="s">
        <v>1957</v>
      </c>
      <c r="AZ90" s="40"/>
      <c r="BA90" s="40"/>
    </row>
    <row r="91" spans="6:53" ht="29" x14ac:dyDescent="0.35">
      <c r="F91" s="40" t="s">
        <v>1086</v>
      </c>
      <c r="G91" s="85" t="s">
        <v>690</v>
      </c>
      <c r="H91" s="40" t="s">
        <v>690</v>
      </c>
      <c r="I91" s="41" t="s">
        <v>223</v>
      </c>
      <c r="J91" s="41" t="s">
        <v>601</v>
      </c>
      <c r="K91" s="41" t="s">
        <v>602</v>
      </c>
      <c r="L91" s="40" t="s">
        <v>603</v>
      </c>
      <c r="O91" s="40" t="s">
        <v>104</v>
      </c>
      <c r="P91" s="41" t="s">
        <v>104</v>
      </c>
      <c r="Q91" s="41" t="s">
        <v>104</v>
      </c>
      <c r="R91" s="41" t="s">
        <v>104</v>
      </c>
      <c r="S91" s="40" t="s">
        <v>169</v>
      </c>
      <c r="U91" s="41" t="s">
        <v>104</v>
      </c>
      <c r="V91" s="41" t="s">
        <v>104</v>
      </c>
      <c r="W91" s="41" t="s">
        <v>104</v>
      </c>
      <c r="X91" s="41" t="s">
        <v>104</v>
      </c>
      <c r="Y91" s="40" t="s">
        <v>604</v>
      </c>
      <c r="Z91" s="41" t="s">
        <v>605</v>
      </c>
      <c r="AA91" s="41" t="s">
        <v>117</v>
      </c>
      <c r="AB91" s="41" t="s">
        <v>683</v>
      </c>
      <c r="AC91" s="40" t="s">
        <v>604</v>
      </c>
      <c r="AD91" s="41" t="s">
        <v>607</v>
      </c>
      <c r="AE91" s="41" t="s">
        <v>117</v>
      </c>
      <c r="AF91" s="41" t="s">
        <v>684</v>
      </c>
      <c r="AG91" s="41" t="s">
        <v>138</v>
      </c>
      <c r="AH91" s="41" t="s">
        <v>169</v>
      </c>
      <c r="AI91" s="41">
        <v>1</v>
      </c>
      <c r="AJ91" s="41">
        <v>1</v>
      </c>
      <c r="AK91" s="41">
        <v>0</v>
      </c>
      <c r="AL91" s="42">
        <v>0</v>
      </c>
      <c r="AM91" s="41" t="s">
        <v>144</v>
      </c>
      <c r="AN91" s="42">
        <v>0</v>
      </c>
      <c r="AO91" s="41" t="s">
        <v>104</v>
      </c>
      <c r="AP91" s="41" t="s">
        <v>541</v>
      </c>
      <c r="AQ91" s="41" t="s">
        <v>104</v>
      </c>
      <c r="AR91" s="41" t="s">
        <v>165</v>
      </c>
      <c r="AS91" s="41" t="s">
        <v>169</v>
      </c>
      <c r="AT91" s="41" t="s">
        <v>104</v>
      </c>
      <c r="AU91" s="41" t="s">
        <v>173</v>
      </c>
      <c r="AW91" s="41" t="s">
        <v>170</v>
      </c>
      <c r="AX91" s="41" t="s">
        <v>1522</v>
      </c>
      <c r="AY91" s="41" t="s">
        <v>1958</v>
      </c>
      <c r="AZ91" s="40"/>
      <c r="BA91" s="40"/>
    </row>
    <row r="92" spans="6:53" ht="29" x14ac:dyDescent="0.35">
      <c r="F92" s="40" t="s">
        <v>1087</v>
      </c>
      <c r="G92" s="85" t="s">
        <v>616</v>
      </c>
      <c r="H92" s="40" t="s">
        <v>616</v>
      </c>
      <c r="I92" s="41" t="s">
        <v>223</v>
      </c>
      <c r="J92" s="41" t="s">
        <v>601</v>
      </c>
      <c r="K92" s="41" t="s">
        <v>602</v>
      </c>
      <c r="L92" s="40" t="s">
        <v>603</v>
      </c>
      <c r="O92" s="40" t="s">
        <v>104</v>
      </c>
      <c r="P92" s="41" t="s">
        <v>104</v>
      </c>
      <c r="Q92" s="41" t="s">
        <v>104</v>
      </c>
      <c r="R92" s="41" t="s">
        <v>104</v>
      </c>
      <c r="S92" s="40" t="s">
        <v>169</v>
      </c>
      <c r="U92" s="41" t="s">
        <v>104</v>
      </c>
      <c r="V92" s="41" t="s">
        <v>104</v>
      </c>
      <c r="W92" s="41" t="s">
        <v>104</v>
      </c>
      <c r="X92" s="41" t="s">
        <v>104</v>
      </c>
      <c r="Y92" s="40" t="s">
        <v>604</v>
      </c>
      <c r="Z92" s="41" t="s">
        <v>605</v>
      </c>
      <c r="AA92" s="41" t="s">
        <v>117</v>
      </c>
      <c r="AB92" s="41" t="s">
        <v>691</v>
      </c>
      <c r="AC92" s="40" t="s">
        <v>604</v>
      </c>
      <c r="AD92" s="41" t="s">
        <v>607</v>
      </c>
      <c r="AE92" s="41" t="s">
        <v>117</v>
      </c>
      <c r="AF92" s="41" t="s">
        <v>692</v>
      </c>
      <c r="AG92" s="41" t="s">
        <v>138</v>
      </c>
      <c r="AH92" s="41" t="s">
        <v>169</v>
      </c>
      <c r="AI92" s="41">
        <v>2</v>
      </c>
      <c r="AJ92" s="41">
        <v>2</v>
      </c>
      <c r="AK92" s="41">
        <v>0</v>
      </c>
      <c r="AL92" s="42">
        <v>0</v>
      </c>
      <c r="AM92" s="41" t="s">
        <v>144</v>
      </c>
      <c r="AN92" s="42">
        <v>0</v>
      </c>
      <c r="AO92" s="41" t="s">
        <v>104</v>
      </c>
      <c r="AP92" s="41" t="s">
        <v>541</v>
      </c>
      <c r="AQ92" s="41" t="s">
        <v>104</v>
      </c>
      <c r="AR92" s="41" t="s">
        <v>165</v>
      </c>
      <c r="AS92" s="41" t="s">
        <v>169</v>
      </c>
      <c r="AT92" s="41" t="s">
        <v>104</v>
      </c>
      <c r="AU92" s="41" t="s">
        <v>173</v>
      </c>
      <c r="AW92" s="41" t="s">
        <v>170</v>
      </c>
      <c r="AX92" s="41" t="s">
        <v>1523</v>
      </c>
      <c r="AY92" s="41" t="s">
        <v>1959</v>
      </c>
      <c r="AZ92" s="40"/>
      <c r="BA92" s="40"/>
    </row>
    <row r="93" spans="6:53" ht="29" x14ac:dyDescent="0.35">
      <c r="F93" s="40" t="s">
        <v>1088</v>
      </c>
      <c r="G93" s="85" t="s">
        <v>662</v>
      </c>
      <c r="H93" s="40" t="s">
        <v>662</v>
      </c>
      <c r="I93" s="41" t="s">
        <v>223</v>
      </c>
      <c r="J93" s="41" t="s">
        <v>601</v>
      </c>
      <c r="K93" s="41" t="s">
        <v>602</v>
      </c>
      <c r="L93" s="40" t="s">
        <v>603</v>
      </c>
      <c r="O93" s="40" t="s">
        <v>104</v>
      </c>
      <c r="P93" s="41" t="s">
        <v>104</v>
      </c>
      <c r="Q93" s="41" t="s">
        <v>104</v>
      </c>
      <c r="R93" s="41" t="s">
        <v>104</v>
      </c>
      <c r="S93" s="40" t="s">
        <v>169</v>
      </c>
      <c r="U93" s="41" t="s">
        <v>104</v>
      </c>
      <c r="V93" s="41" t="s">
        <v>104</v>
      </c>
      <c r="W93" s="41" t="s">
        <v>104</v>
      </c>
      <c r="X93" s="41" t="s">
        <v>104</v>
      </c>
      <c r="Y93" s="40" t="s">
        <v>604</v>
      </c>
      <c r="Z93" s="41" t="s">
        <v>605</v>
      </c>
      <c r="AA93" s="41" t="s">
        <v>117</v>
      </c>
      <c r="AB93" s="41" t="s">
        <v>691</v>
      </c>
      <c r="AC93" s="40" t="s">
        <v>604</v>
      </c>
      <c r="AD93" s="41" t="s">
        <v>607</v>
      </c>
      <c r="AE93" s="41" t="s">
        <v>117</v>
      </c>
      <c r="AF93" s="41" t="s">
        <v>692</v>
      </c>
      <c r="AG93" s="41" t="s">
        <v>138</v>
      </c>
      <c r="AH93" s="41" t="s">
        <v>169</v>
      </c>
      <c r="AI93" s="41">
        <v>1</v>
      </c>
      <c r="AJ93" s="41">
        <v>1</v>
      </c>
      <c r="AK93" s="41">
        <v>0</v>
      </c>
      <c r="AL93" s="42">
        <v>0</v>
      </c>
      <c r="AM93" s="41" t="s">
        <v>144</v>
      </c>
      <c r="AN93" s="42">
        <v>0</v>
      </c>
      <c r="AO93" s="41" t="s">
        <v>104</v>
      </c>
      <c r="AP93" s="41" t="s">
        <v>541</v>
      </c>
      <c r="AQ93" s="41" t="s">
        <v>104</v>
      </c>
      <c r="AR93" s="41" t="s">
        <v>165</v>
      </c>
      <c r="AS93" s="41" t="s">
        <v>169</v>
      </c>
      <c r="AT93" s="41" t="s">
        <v>104</v>
      </c>
      <c r="AU93" s="41" t="s">
        <v>173</v>
      </c>
      <c r="AW93" s="41" t="s">
        <v>170</v>
      </c>
      <c r="AX93" s="41" t="s">
        <v>1524</v>
      </c>
      <c r="AY93" s="41" t="s">
        <v>1960</v>
      </c>
      <c r="AZ93" s="40"/>
      <c r="BA93" s="40"/>
    </row>
    <row r="94" spans="6:53" ht="29" x14ac:dyDescent="0.35">
      <c r="F94" s="40" t="s">
        <v>1089</v>
      </c>
      <c r="G94" s="85" t="s">
        <v>674</v>
      </c>
      <c r="H94" s="40" t="s">
        <v>674</v>
      </c>
      <c r="I94" s="41" t="s">
        <v>223</v>
      </c>
      <c r="J94" s="41" t="s">
        <v>601</v>
      </c>
      <c r="K94" s="41" t="s">
        <v>602</v>
      </c>
      <c r="L94" s="40" t="s">
        <v>603</v>
      </c>
      <c r="O94" s="40" t="s">
        <v>104</v>
      </c>
      <c r="P94" s="41" t="s">
        <v>104</v>
      </c>
      <c r="Q94" s="41" t="s">
        <v>104</v>
      </c>
      <c r="R94" s="41" t="s">
        <v>104</v>
      </c>
      <c r="S94" s="40" t="s">
        <v>169</v>
      </c>
      <c r="U94" s="41" t="s">
        <v>104</v>
      </c>
      <c r="V94" s="41" t="s">
        <v>104</v>
      </c>
      <c r="W94" s="41" t="s">
        <v>104</v>
      </c>
      <c r="X94" s="41" t="s">
        <v>104</v>
      </c>
      <c r="Y94" s="40" t="s">
        <v>604</v>
      </c>
      <c r="Z94" s="41" t="s">
        <v>605</v>
      </c>
      <c r="AA94" s="41" t="s">
        <v>117</v>
      </c>
      <c r="AB94" s="41" t="s">
        <v>691</v>
      </c>
      <c r="AC94" s="40" t="s">
        <v>604</v>
      </c>
      <c r="AD94" s="41" t="s">
        <v>607</v>
      </c>
      <c r="AE94" s="41" t="s">
        <v>117</v>
      </c>
      <c r="AF94" s="41" t="s">
        <v>692</v>
      </c>
      <c r="AG94" s="41" t="s">
        <v>138</v>
      </c>
      <c r="AH94" s="41" t="s">
        <v>169</v>
      </c>
      <c r="AI94" s="41">
        <v>1</v>
      </c>
      <c r="AJ94" s="41">
        <v>1</v>
      </c>
      <c r="AK94" s="41">
        <v>0</v>
      </c>
      <c r="AL94" s="42">
        <v>0</v>
      </c>
      <c r="AM94" s="41" t="s">
        <v>144</v>
      </c>
      <c r="AN94" s="42">
        <v>0</v>
      </c>
      <c r="AO94" s="41" t="s">
        <v>104</v>
      </c>
      <c r="AP94" s="41" t="s">
        <v>541</v>
      </c>
      <c r="AQ94" s="41" t="s">
        <v>104</v>
      </c>
      <c r="AR94" s="41" t="s">
        <v>165</v>
      </c>
      <c r="AS94" s="41" t="s">
        <v>169</v>
      </c>
      <c r="AT94" s="41" t="s">
        <v>104</v>
      </c>
      <c r="AU94" s="41" t="s">
        <v>173</v>
      </c>
      <c r="AW94" s="41" t="s">
        <v>170</v>
      </c>
      <c r="AX94" s="41" t="s">
        <v>1525</v>
      </c>
      <c r="AY94" s="41" t="s">
        <v>1961</v>
      </c>
      <c r="AZ94" s="40"/>
      <c r="BA94" s="40"/>
    </row>
    <row r="95" spans="6:53" ht="29" x14ac:dyDescent="0.35">
      <c r="F95" s="40" t="s">
        <v>1090</v>
      </c>
      <c r="G95" s="85" t="s">
        <v>658</v>
      </c>
      <c r="H95" s="40" t="s">
        <v>658</v>
      </c>
      <c r="I95" s="41" t="s">
        <v>223</v>
      </c>
      <c r="J95" s="41" t="s">
        <v>601</v>
      </c>
      <c r="K95" s="41" t="s">
        <v>602</v>
      </c>
      <c r="L95" s="40" t="s">
        <v>603</v>
      </c>
      <c r="O95" s="40" t="s">
        <v>104</v>
      </c>
      <c r="P95" s="41" t="s">
        <v>104</v>
      </c>
      <c r="Q95" s="41" t="s">
        <v>104</v>
      </c>
      <c r="R95" s="41" t="s">
        <v>104</v>
      </c>
      <c r="S95" s="40" t="s">
        <v>169</v>
      </c>
      <c r="T95" s="41" t="s">
        <v>693</v>
      </c>
      <c r="U95" s="41" t="s">
        <v>104</v>
      </c>
      <c r="V95" s="41" t="s">
        <v>107</v>
      </c>
      <c r="W95" s="41" t="s">
        <v>112</v>
      </c>
      <c r="X95" s="41" t="s">
        <v>104</v>
      </c>
      <c r="Y95" s="40" t="s">
        <v>604</v>
      </c>
      <c r="Z95" s="41" t="s">
        <v>605</v>
      </c>
      <c r="AA95" s="41" t="s">
        <v>117</v>
      </c>
      <c r="AB95" s="41" t="s">
        <v>691</v>
      </c>
      <c r="AC95" s="40" t="s">
        <v>604</v>
      </c>
      <c r="AD95" s="41" t="s">
        <v>607</v>
      </c>
      <c r="AE95" s="41" t="s">
        <v>117</v>
      </c>
      <c r="AF95" s="41" t="s">
        <v>692</v>
      </c>
      <c r="AG95" s="41" t="s">
        <v>138</v>
      </c>
      <c r="AH95" s="41" t="s">
        <v>169</v>
      </c>
      <c r="AI95" s="41">
        <v>1</v>
      </c>
      <c r="AJ95" s="41">
        <v>1</v>
      </c>
      <c r="AK95" s="41">
        <v>0</v>
      </c>
      <c r="AL95" s="42">
        <v>0</v>
      </c>
      <c r="AM95" s="41" t="s">
        <v>144</v>
      </c>
      <c r="AN95" s="42">
        <v>0</v>
      </c>
      <c r="AO95" s="41" t="s">
        <v>104</v>
      </c>
      <c r="AP95" s="41" t="s">
        <v>541</v>
      </c>
      <c r="AQ95" s="41" t="s">
        <v>104</v>
      </c>
      <c r="AR95" s="41" t="s">
        <v>165</v>
      </c>
      <c r="AS95" s="41" t="s">
        <v>169</v>
      </c>
      <c r="AT95" s="41" t="s">
        <v>104</v>
      </c>
      <c r="AU95" s="41" t="s">
        <v>173</v>
      </c>
      <c r="AW95" s="41" t="s">
        <v>170</v>
      </c>
      <c r="AX95" s="41" t="s">
        <v>1526</v>
      </c>
      <c r="AY95" s="41" t="s">
        <v>1962</v>
      </c>
      <c r="AZ95" s="40"/>
      <c r="BA95" s="40"/>
    </row>
    <row r="96" spans="6:53" ht="29" x14ac:dyDescent="0.35">
      <c r="F96" s="40" t="s">
        <v>1091</v>
      </c>
      <c r="G96" s="85" t="s">
        <v>694</v>
      </c>
      <c r="H96" s="40" t="s">
        <v>694</v>
      </c>
      <c r="I96" s="41" t="s">
        <v>223</v>
      </c>
      <c r="J96" s="41" t="s">
        <v>601</v>
      </c>
      <c r="K96" s="41" t="s">
        <v>602</v>
      </c>
      <c r="L96" s="40" t="s">
        <v>603</v>
      </c>
      <c r="O96" s="40" t="s">
        <v>104</v>
      </c>
      <c r="P96" s="41" t="s">
        <v>104</v>
      </c>
      <c r="Q96" s="41" t="s">
        <v>104</v>
      </c>
      <c r="R96" s="41" t="s">
        <v>104</v>
      </c>
      <c r="S96" s="40" t="s">
        <v>169</v>
      </c>
      <c r="U96" s="41" t="s">
        <v>104</v>
      </c>
      <c r="V96" s="41" t="s">
        <v>104</v>
      </c>
      <c r="W96" s="41" t="s">
        <v>104</v>
      </c>
      <c r="X96" s="41" t="s">
        <v>104</v>
      </c>
      <c r="Y96" s="40" t="s">
        <v>604</v>
      </c>
      <c r="Z96" s="41" t="s">
        <v>605</v>
      </c>
      <c r="AA96" s="41" t="s">
        <v>117</v>
      </c>
      <c r="AB96" s="41" t="s">
        <v>691</v>
      </c>
      <c r="AC96" s="40" t="s">
        <v>604</v>
      </c>
      <c r="AD96" s="41" t="s">
        <v>607</v>
      </c>
      <c r="AE96" s="41" t="s">
        <v>117</v>
      </c>
      <c r="AF96" s="41" t="s">
        <v>692</v>
      </c>
      <c r="AG96" s="41" t="s">
        <v>138</v>
      </c>
      <c r="AH96" s="41" t="s">
        <v>169</v>
      </c>
      <c r="AI96" s="41">
        <v>1</v>
      </c>
      <c r="AJ96" s="41">
        <v>1</v>
      </c>
      <c r="AK96" s="41">
        <v>0</v>
      </c>
      <c r="AL96" s="42">
        <v>0</v>
      </c>
      <c r="AM96" s="41" t="s">
        <v>144</v>
      </c>
      <c r="AN96" s="42">
        <v>0</v>
      </c>
      <c r="AO96" s="41" t="s">
        <v>104</v>
      </c>
      <c r="AP96" s="41" t="s">
        <v>541</v>
      </c>
      <c r="AQ96" s="41" t="s">
        <v>104</v>
      </c>
      <c r="AR96" s="41" t="s">
        <v>165</v>
      </c>
      <c r="AS96" s="41" t="s">
        <v>169</v>
      </c>
      <c r="AT96" s="41" t="s">
        <v>104</v>
      </c>
      <c r="AU96" s="41" t="s">
        <v>173</v>
      </c>
      <c r="AW96" s="41" t="s">
        <v>170</v>
      </c>
      <c r="AX96" s="41" t="s">
        <v>1527</v>
      </c>
      <c r="AY96" s="41" t="s">
        <v>1963</v>
      </c>
      <c r="AZ96" s="40"/>
      <c r="BA96" s="40"/>
    </row>
    <row r="97" spans="6:53" ht="29" x14ac:dyDescent="0.35">
      <c r="F97" s="40" t="s">
        <v>1129</v>
      </c>
      <c r="G97" s="85" t="s">
        <v>608</v>
      </c>
      <c r="H97" s="40" t="s">
        <v>608</v>
      </c>
      <c r="I97" s="41" t="s">
        <v>223</v>
      </c>
      <c r="J97" s="41" t="s">
        <v>601</v>
      </c>
      <c r="K97" s="41" t="s">
        <v>602</v>
      </c>
      <c r="L97" s="40" t="s">
        <v>603</v>
      </c>
      <c r="O97" s="40" t="s">
        <v>104</v>
      </c>
      <c r="P97" s="41" t="s">
        <v>104</v>
      </c>
      <c r="Q97" s="41" t="s">
        <v>104</v>
      </c>
      <c r="R97" s="41" t="s">
        <v>104</v>
      </c>
      <c r="S97" s="40" t="s">
        <v>169</v>
      </c>
      <c r="U97" s="41" t="s">
        <v>104</v>
      </c>
      <c r="V97" s="41" t="s">
        <v>104</v>
      </c>
      <c r="W97" s="41" t="s">
        <v>104</v>
      </c>
      <c r="X97" s="41" t="s">
        <v>104</v>
      </c>
      <c r="Y97" s="40" t="s">
        <v>604</v>
      </c>
      <c r="Z97" s="41" t="s">
        <v>605</v>
      </c>
      <c r="AA97" s="41" t="s">
        <v>102</v>
      </c>
      <c r="AB97" s="41" t="s">
        <v>2212</v>
      </c>
      <c r="AC97" s="40" t="s">
        <v>604</v>
      </c>
      <c r="AD97" s="41" t="s">
        <v>605</v>
      </c>
      <c r="AE97" s="41" t="s">
        <v>102</v>
      </c>
      <c r="AF97" s="41" t="s">
        <v>2212</v>
      </c>
      <c r="AG97" s="41" t="s">
        <v>138</v>
      </c>
      <c r="AH97" s="41" t="s">
        <v>169</v>
      </c>
      <c r="AI97" s="41">
        <v>2</v>
      </c>
      <c r="AJ97" s="41">
        <v>2</v>
      </c>
      <c r="AK97" s="41">
        <v>0</v>
      </c>
      <c r="AL97" s="42">
        <v>0</v>
      </c>
      <c r="AM97" s="41" t="s">
        <v>144</v>
      </c>
      <c r="AN97" s="42">
        <v>0</v>
      </c>
      <c r="AO97" s="41" t="s">
        <v>104</v>
      </c>
      <c r="AP97" s="41" t="s">
        <v>541</v>
      </c>
      <c r="AQ97" s="41" t="s">
        <v>104</v>
      </c>
      <c r="AR97" s="41" t="s">
        <v>165</v>
      </c>
      <c r="AS97" s="41" t="s">
        <v>169</v>
      </c>
      <c r="AT97" s="41" t="s">
        <v>104</v>
      </c>
      <c r="AU97" s="41" t="s">
        <v>173</v>
      </c>
      <c r="AW97" s="41" t="s">
        <v>170</v>
      </c>
      <c r="AX97" s="41" t="s">
        <v>1565</v>
      </c>
      <c r="AY97" s="41" t="s">
        <v>2001</v>
      </c>
      <c r="AZ97" s="40"/>
      <c r="BA97" s="40"/>
    </row>
    <row r="98" spans="6:53" ht="29" x14ac:dyDescent="0.35">
      <c r="F98" s="40" t="s">
        <v>1093</v>
      </c>
      <c r="G98" s="85" t="s">
        <v>678</v>
      </c>
      <c r="H98" s="40" t="s">
        <v>678</v>
      </c>
      <c r="I98" s="41" t="s">
        <v>223</v>
      </c>
      <c r="J98" s="41" t="s">
        <v>601</v>
      </c>
      <c r="K98" s="41" t="s">
        <v>602</v>
      </c>
      <c r="L98" s="40" t="s">
        <v>603</v>
      </c>
      <c r="O98" s="40" t="s">
        <v>104</v>
      </c>
      <c r="P98" s="41" t="s">
        <v>104</v>
      </c>
      <c r="Q98" s="41" t="s">
        <v>104</v>
      </c>
      <c r="R98" s="41" t="s">
        <v>104</v>
      </c>
      <c r="S98" s="40" t="s">
        <v>169</v>
      </c>
      <c r="U98" s="41" t="s">
        <v>104</v>
      </c>
      <c r="V98" s="41" t="s">
        <v>104</v>
      </c>
      <c r="W98" s="41" t="s">
        <v>104</v>
      </c>
      <c r="X98" s="41" t="s">
        <v>104</v>
      </c>
      <c r="Y98" s="40" t="s">
        <v>604</v>
      </c>
      <c r="Z98" s="41" t="s">
        <v>605</v>
      </c>
      <c r="AA98" s="41" t="s">
        <v>117</v>
      </c>
      <c r="AB98" s="41" t="s">
        <v>691</v>
      </c>
      <c r="AC98" s="40" t="s">
        <v>604</v>
      </c>
      <c r="AD98" s="41" t="s">
        <v>607</v>
      </c>
      <c r="AE98" s="41" t="s">
        <v>117</v>
      </c>
      <c r="AF98" s="41" t="s">
        <v>692</v>
      </c>
      <c r="AG98" s="41" t="s">
        <v>138</v>
      </c>
      <c r="AH98" s="41" t="s">
        <v>169</v>
      </c>
      <c r="AI98" s="41">
        <v>1</v>
      </c>
      <c r="AJ98" s="41">
        <v>1</v>
      </c>
      <c r="AK98" s="41">
        <v>0</v>
      </c>
      <c r="AL98" s="42">
        <v>0</v>
      </c>
      <c r="AM98" s="41" t="s">
        <v>144</v>
      </c>
      <c r="AN98" s="42">
        <v>0</v>
      </c>
      <c r="AO98" s="41" t="s">
        <v>104</v>
      </c>
      <c r="AP98" s="41" t="s">
        <v>541</v>
      </c>
      <c r="AQ98" s="41" t="s">
        <v>104</v>
      </c>
      <c r="AR98" s="41" t="s">
        <v>165</v>
      </c>
      <c r="AS98" s="41" t="s">
        <v>169</v>
      </c>
      <c r="AT98" s="41" t="s">
        <v>104</v>
      </c>
      <c r="AU98" s="41" t="s">
        <v>173</v>
      </c>
      <c r="AW98" s="41" t="s">
        <v>170</v>
      </c>
      <c r="AX98" s="41" t="s">
        <v>1529</v>
      </c>
      <c r="AY98" s="41" t="s">
        <v>1965</v>
      </c>
      <c r="AZ98" s="40"/>
      <c r="BA98" s="40"/>
    </row>
    <row r="99" spans="6:53" ht="29" x14ac:dyDescent="0.35">
      <c r="F99" s="40" t="s">
        <v>1094</v>
      </c>
      <c r="G99" s="85" t="s">
        <v>654</v>
      </c>
      <c r="H99" s="40" t="s">
        <v>654</v>
      </c>
      <c r="I99" s="41" t="s">
        <v>223</v>
      </c>
      <c r="J99" s="41" t="s">
        <v>601</v>
      </c>
      <c r="K99" s="41" t="s">
        <v>602</v>
      </c>
      <c r="L99" s="40" t="s">
        <v>603</v>
      </c>
      <c r="O99" s="40" t="s">
        <v>104</v>
      </c>
      <c r="P99" s="41" t="s">
        <v>104</v>
      </c>
      <c r="Q99" s="41" t="s">
        <v>104</v>
      </c>
      <c r="R99" s="41" t="s">
        <v>104</v>
      </c>
      <c r="S99" s="40" t="s">
        <v>169</v>
      </c>
      <c r="U99" s="41" t="s">
        <v>104</v>
      </c>
      <c r="V99" s="41" t="s">
        <v>104</v>
      </c>
      <c r="W99" s="41" t="s">
        <v>104</v>
      </c>
      <c r="X99" s="41" t="s">
        <v>104</v>
      </c>
      <c r="Y99" s="40" t="s">
        <v>604</v>
      </c>
      <c r="Z99" s="41" t="s">
        <v>605</v>
      </c>
      <c r="AA99" s="41" t="s">
        <v>117</v>
      </c>
      <c r="AB99" s="41" t="s">
        <v>691</v>
      </c>
      <c r="AC99" s="40" t="s">
        <v>604</v>
      </c>
      <c r="AD99" s="41" t="s">
        <v>607</v>
      </c>
      <c r="AE99" s="41" t="s">
        <v>117</v>
      </c>
      <c r="AF99" s="41" t="s">
        <v>692</v>
      </c>
      <c r="AG99" s="41" t="s">
        <v>138</v>
      </c>
      <c r="AH99" s="41" t="s">
        <v>169</v>
      </c>
      <c r="AI99" s="41">
        <v>2</v>
      </c>
      <c r="AJ99" s="41">
        <v>2</v>
      </c>
      <c r="AK99" s="41">
        <v>0</v>
      </c>
      <c r="AL99" s="42">
        <v>0</v>
      </c>
      <c r="AM99" s="41" t="s">
        <v>144</v>
      </c>
      <c r="AN99" s="42">
        <v>0</v>
      </c>
      <c r="AO99" s="41" t="s">
        <v>104</v>
      </c>
      <c r="AP99" s="41" t="s">
        <v>541</v>
      </c>
      <c r="AQ99" s="41" t="s">
        <v>104</v>
      </c>
      <c r="AR99" s="41" t="s">
        <v>165</v>
      </c>
      <c r="AS99" s="41" t="s">
        <v>169</v>
      </c>
      <c r="AT99" s="41" t="s">
        <v>104</v>
      </c>
      <c r="AU99" s="41" t="s">
        <v>173</v>
      </c>
      <c r="AW99" s="41" t="s">
        <v>170</v>
      </c>
      <c r="AX99" s="41" t="s">
        <v>1530</v>
      </c>
      <c r="AY99" s="41" t="s">
        <v>1966</v>
      </c>
      <c r="AZ99" s="40"/>
      <c r="BA99" s="40"/>
    </row>
    <row r="100" spans="6:53" ht="29" x14ac:dyDescent="0.35">
      <c r="F100" s="40" t="s">
        <v>1095</v>
      </c>
      <c r="G100" s="85" t="s">
        <v>690</v>
      </c>
      <c r="H100" s="40" t="s">
        <v>690</v>
      </c>
      <c r="I100" s="41" t="s">
        <v>223</v>
      </c>
      <c r="J100" s="41" t="s">
        <v>601</v>
      </c>
      <c r="K100" s="41" t="s">
        <v>602</v>
      </c>
      <c r="L100" s="40" t="s">
        <v>603</v>
      </c>
      <c r="O100" s="40" t="s">
        <v>104</v>
      </c>
      <c r="P100" s="41" t="s">
        <v>104</v>
      </c>
      <c r="Q100" s="41" t="s">
        <v>104</v>
      </c>
      <c r="R100" s="41" t="s">
        <v>104</v>
      </c>
      <c r="S100" s="40" t="s">
        <v>169</v>
      </c>
      <c r="U100" s="41" t="s">
        <v>104</v>
      </c>
      <c r="V100" s="41" t="s">
        <v>104</v>
      </c>
      <c r="W100" s="41" t="s">
        <v>104</v>
      </c>
      <c r="X100" s="41" t="s">
        <v>104</v>
      </c>
      <c r="Y100" s="40" t="s">
        <v>604</v>
      </c>
      <c r="Z100" s="41" t="s">
        <v>605</v>
      </c>
      <c r="AA100" s="41" t="s">
        <v>117</v>
      </c>
      <c r="AB100" s="41" t="s">
        <v>691</v>
      </c>
      <c r="AC100" s="40" t="s">
        <v>604</v>
      </c>
      <c r="AD100" s="41" t="s">
        <v>607</v>
      </c>
      <c r="AE100" s="41" t="s">
        <v>117</v>
      </c>
      <c r="AF100" s="41" t="s">
        <v>692</v>
      </c>
      <c r="AG100" s="41" t="s">
        <v>138</v>
      </c>
      <c r="AH100" s="41" t="s">
        <v>169</v>
      </c>
      <c r="AI100" s="41">
        <v>1</v>
      </c>
      <c r="AJ100" s="41">
        <v>1</v>
      </c>
      <c r="AK100" s="41">
        <v>0</v>
      </c>
      <c r="AL100" s="42">
        <v>0</v>
      </c>
      <c r="AM100" s="41" t="s">
        <v>144</v>
      </c>
      <c r="AN100" s="42">
        <v>0</v>
      </c>
      <c r="AO100" s="41" t="s">
        <v>104</v>
      </c>
      <c r="AP100" s="41" t="s">
        <v>541</v>
      </c>
      <c r="AQ100" s="41" t="s">
        <v>104</v>
      </c>
      <c r="AR100" s="41" t="s">
        <v>165</v>
      </c>
      <c r="AS100" s="41" t="s">
        <v>169</v>
      </c>
      <c r="AT100" s="41" t="s">
        <v>104</v>
      </c>
      <c r="AU100" s="41" t="s">
        <v>173</v>
      </c>
      <c r="AW100" s="41" t="s">
        <v>170</v>
      </c>
      <c r="AX100" s="41" t="s">
        <v>1531</v>
      </c>
      <c r="AY100" s="41" t="s">
        <v>1967</v>
      </c>
      <c r="AZ100" s="40"/>
      <c r="BA100" s="40"/>
    </row>
    <row r="101" spans="6:53" ht="29" x14ac:dyDescent="0.35">
      <c r="F101" s="40" t="s">
        <v>1096</v>
      </c>
      <c r="G101" s="85" t="s">
        <v>662</v>
      </c>
      <c r="H101" s="40" t="s">
        <v>662</v>
      </c>
      <c r="I101" s="41" t="s">
        <v>223</v>
      </c>
      <c r="J101" s="41" t="s">
        <v>601</v>
      </c>
      <c r="K101" s="41" t="s">
        <v>602</v>
      </c>
      <c r="L101" s="40" t="s">
        <v>603</v>
      </c>
      <c r="O101" s="40" t="s">
        <v>104</v>
      </c>
      <c r="P101" s="41" t="s">
        <v>104</v>
      </c>
      <c r="Q101" s="41" t="s">
        <v>104</v>
      </c>
      <c r="R101" s="41" t="s">
        <v>104</v>
      </c>
      <c r="S101" s="40" t="s">
        <v>169</v>
      </c>
      <c r="U101" s="41" t="s">
        <v>104</v>
      </c>
      <c r="V101" s="41" t="s">
        <v>104</v>
      </c>
      <c r="W101" s="41" t="s">
        <v>104</v>
      </c>
      <c r="X101" s="41" t="s">
        <v>104</v>
      </c>
      <c r="Y101" s="40" t="s">
        <v>604</v>
      </c>
      <c r="Z101" s="41" t="s">
        <v>605</v>
      </c>
      <c r="AA101" s="41" t="s">
        <v>117</v>
      </c>
      <c r="AB101" s="41" t="s">
        <v>695</v>
      </c>
      <c r="AC101" s="40" t="s">
        <v>604</v>
      </c>
      <c r="AD101" s="41" t="s">
        <v>607</v>
      </c>
      <c r="AE101" s="41" t="s">
        <v>117</v>
      </c>
      <c r="AF101" s="41" t="s">
        <v>696</v>
      </c>
      <c r="AG101" s="41" t="s">
        <v>138</v>
      </c>
      <c r="AH101" s="41" t="s">
        <v>169</v>
      </c>
      <c r="AI101" s="41">
        <v>1</v>
      </c>
      <c r="AJ101" s="41">
        <v>1</v>
      </c>
      <c r="AK101" s="41">
        <v>0</v>
      </c>
      <c r="AL101" s="42">
        <v>0</v>
      </c>
      <c r="AM101" s="41" t="s">
        <v>144</v>
      </c>
      <c r="AN101" s="42">
        <v>0</v>
      </c>
      <c r="AO101" s="41" t="s">
        <v>104</v>
      </c>
      <c r="AP101" s="41" t="s">
        <v>541</v>
      </c>
      <c r="AQ101" s="41" t="s">
        <v>104</v>
      </c>
      <c r="AR101" s="41" t="s">
        <v>165</v>
      </c>
      <c r="AS101" s="41" t="s">
        <v>169</v>
      </c>
      <c r="AT101" s="41" t="s">
        <v>104</v>
      </c>
      <c r="AU101" s="41" t="s">
        <v>173</v>
      </c>
      <c r="AW101" s="41" t="s">
        <v>170</v>
      </c>
      <c r="AX101" s="41" t="s">
        <v>1532</v>
      </c>
      <c r="AY101" s="41" t="s">
        <v>1968</v>
      </c>
      <c r="AZ101" s="40"/>
      <c r="BA101" s="40"/>
    </row>
    <row r="102" spans="6:53" ht="29" x14ac:dyDescent="0.35">
      <c r="F102" s="40" t="s">
        <v>1138</v>
      </c>
      <c r="G102" s="85" t="s">
        <v>608</v>
      </c>
      <c r="H102" s="40" t="s">
        <v>608</v>
      </c>
      <c r="I102" s="41" t="s">
        <v>223</v>
      </c>
      <c r="J102" s="41" t="s">
        <v>601</v>
      </c>
      <c r="K102" s="41" t="s">
        <v>602</v>
      </c>
      <c r="L102" s="40" t="s">
        <v>603</v>
      </c>
      <c r="O102" s="40" t="s">
        <v>104</v>
      </c>
      <c r="P102" s="41" t="s">
        <v>104</v>
      </c>
      <c r="Q102" s="41" t="s">
        <v>104</v>
      </c>
      <c r="R102" s="41" t="s">
        <v>104</v>
      </c>
      <c r="S102" s="40" t="s">
        <v>169</v>
      </c>
      <c r="U102" s="41" t="s">
        <v>104</v>
      </c>
      <c r="V102" s="41" t="s">
        <v>104</v>
      </c>
      <c r="W102" s="41" t="s">
        <v>104</v>
      </c>
      <c r="X102" s="41" t="s">
        <v>104</v>
      </c>
      <c r="Y102" s="40" t="s">
        <v>604</v>
      </c>
      <c r="Z102" s="41" t="s">
        <v>605</v>
      </c>
      <c r="AA102" s="41" t="s">
        <v>102</v>
      </c>
      <c r="AB102" s="41" t="s">
        <v>2212</v>
      </c>
      <c r="AC102" s="40" t="s">
        <v>604</v>
      </c>
      <c r="AD102" s="41" t="s">
        <v>605</v>
      </c>
      <c r="AE102" s="41" t="s">
        <v>102</v>
      </c>
      <c r="AF102" s="41" t="s">
        <v>2212</v>
      </c>
      <c r="AG102" s="41" t="s">
        <v>138</v>
      </c>
      <c r="AH102" s="41" t="s">
        <v>169</v>
      </c>
      <c r="AI102" s="41">
        <v>2</v>
      </c>
      <c r="AJ102" s="41">
        <v>2</v>
      </c>
      <c r="AK102" s="41">
        <v>0</v>
      </c>
      <c r="AL102" s="42">
        <v>0</v>
      </c>
      <c r="AM102" s="41" t="s">
        <v>144</v>
      </c>
      <c r="AN102" s="42">
        <v>0</v>
      </c>
      <c r="AO102" s="41" t="s">
        <v>104</v>
      </c>
      <c r="AP102" s="41" t="s">
        <v>541</v>
      </c>
      <c r="AQ102" s="41" t="s">
        <v>104</v>
      </c>
      <c r="AR102" s="41" t="s">
        <v>165</v>
      </c>
      <c r="AS102" s="41" t="s">
        <v>169</v>
      </c>
      <c r="AT102" s="41" t="s">
        <v>104</v>
      </c>
      <c r="AU102" s="41" t="s">
        <v>173</v>
      </c>
      <c r="AW102" s="41" t="s">
        <v>170</v>
      </c>
      <c r="AX102" s="41" t="s">
        <v>1574</v>
      </c>
      <c r="AY102" s="41" t="s">
        <v>2010</v>
      </c>
      <c r="AZ102" s="40"/>
      <c r="BA102" s="40"/>
    </row>
    <row r="103" spans="6:53" ht="29" x14ac:dyDescent="0.35">
      <c r="F103" s="40" t="s">
        <v>1148</v>
      </c>
      <c r="G103" s="85" t="s">
        <v>608</v>
      </c>
      <c r="H103" s="40" t="s">
        <v>608</v>
      </c>
      <c r="I103" s="41" t="s">
        <v>223</v>
      </c>
      <c r="J103" s="41" t="s">
        <v>601</v>
      </c>
      <c r="K103" s="41" t="s">
        <v>602</v>
      </c>
      <c r="L103" s="40" t="s">
        <v>603</v>
      </c>
      <c r="O103" s="40" t="s">
        <v>104</v>
      </c>
      <c r="P103" s="41" t="s">
        <v>104</v>
      </c>
      <c r="Q103" s="41" t="s">
        <v>104</v>
      </c>
      <c r="R103" s="41" t="s">
        <v>104</v>
      </c>
      <c r="S103" s="40" t="s">
        <v>169</v>
      </c>
      <c r="U103" s="41" t="s">
        <v>104</v>
      </c>
      <c r="V103" s="41" t="s">
        <v>104</v>
      </c>
      <c r="W103" s="41" t="s">
        <v>104</v>
      </c>
      <c r="X103" s="41" t="s">
        <v>104</v>
      </c>
      <c r="Y103" s="40" t="s">
        <v>604</v>
      </c>
      <c r="Z103" s="41" t="s">
        <v>605</v>
      </c>
      <c r="AA103" s="41" t="s">
        <v>102</v>
      </c>
      <c r="AB103" s="41" t="s">
        <v>2212</v>
      </c>
      <c r="AC103" s="40" t="s">
        <v>604</v>
      </c>
      <c r="AD103" s="41" t="s">
        <v>605</v>
      </c>
      <c r="AE103" s="41" t="s">
        <v>102</v>
      </c>
      <c r="AF103" s="41" t="s">
        <v>2212</v>
      </c>
      <c r="AG103" s="41" t="s">
        <v>138</v>
      </c>
      <c r="AH103" s="41" t="s">
        <v>169</v>
      </c>
      <c r="AI103" s="41">
        <v>1</v>
      </c>
      <c r="AJ103" s="41">
        <v>1</v>
      </c>
      <c r="AK103" s="41">
        <v>0</v>
      </c>
      <c r="AL103" s="42">
        <v>0</v>
      </c>
      <c r="AM103" s="41" t="s">
        <v>144</v>
      </c>
      <c r="AN103" s="42">
        <v>0</v>
      </c>
      <c r="AO103" s="41" t="s">
        <v>104</v>
      </c>
      <c r="AP103" s="41" t="s">
        <v>541</v>
      </c>
      <c r="AQ103" s="41" t="s">
        <v>104</v>
      </c>
      <c r="AR103" s="41" t="s">
        <v>165</v>
      </c>
      <c r="AS103" s="41" t="s">
        <v>169</v>
      </c>
      <c r="AT103" s="41" t="s">
        <v>104</v>
      </c>
      <c r="AU103" s="41" t="s">
        <v>173</v>
      </c>
      <c r="AW103" s="41" t="s">
        <v>170</v>
      </c>
      <c r="AX103" s="41" t="s">
        <v>1584</v>
      </c>
      <c r="AY103" s="41" t="s">
        <v>2020</v>
      </c>
      <c r="AZ103" s="40"/>
      <c r="BA103" s="40"/>
    </row>
    <row r="104" spans="6:53" ht="29" x14ac:dyDescent="0.35">
      <c r="F104" s="40" t="s">
        <v>1099</v>
      </c>
      <c r="G104" s="85" t="s">
        <v>687</v>
      </c>
      <c r="H104" s="40" t="s">
        <v>687</v>
      </c>
      <c r="I104" s="41" t="s">
        <v>223</v>
      </c>
      <c r="J104" s="41" t="s">
        <v>601</v>
      </c>
      <c r="K104" s="41" t="s">
        <v>602</v>
      </c>
      <c r="L104" s="40" t="s">
        <v>603</v>
      </c>
      <c r="O104" s="40" t="s">
        <v>104</v>
      </c>
      <c r="P104" s="41" t="s">
        <v>104</v>
      </c>
      <c r="Q104" s="41" t="s">
        <v>104</v>
      </c>
      <c r="R104" s="41" t="s">
        <v>104</v>
      </c>
      <c r="S104" s="40" t="s">
        <v>169</v>
      </c>
      <c r="T104" s="41" t="s">
        <v>688</v>
      </c>
      <c r="U104" s="41" t="s">
        <v>104</v>
      </c>
      <c r="V104" s="41" t="s">
        <v>104</v>
      </c>
      <c r="W104" s="41" t="s">
        <v>104</v>
      </c>
      <c r="X104" s="41" t="s">
        <v>104</v>
      </c>
      <c r="Y104" s="40" t="s">
        <v>604</v>
      </c>
      <c r="Z104" s="41" t="s">
        <v>605</v>
      </c>
      <c r="AA104" s="41" t="s">
        <v>117</v>
      </c>
      <c r="AB104" s="41" t="s">
        <v>695</v>
      </c>
      <c r="AC104" s="40" t="s">
        <v>604</v>
      </c>
      <c r="AD104" s="41" t="s">
        <v>607</v>
      </c>
      <c r="AE104" s="41" t="s">
        <v>117</v>
      </c>
      <c r="AF104" s="41" t="s">
        <v>696</v>
      </c>
      <c r="AG104" s="41" t="s">
        <v>138</v>
      </c>
      <c r="AH104" s="41" t="s">
        <v>169</v>
      </c>
      <c r="AI104" s="41">
        <v>1</v>
      </c>
      <c r="AJ104" s="41">
        <v>1</v>
      </c>
      <c r="AK104" s="41">
        <v>0</v>
      </c>
      <c r="AL104" s="42">
        <v>0</v>
      </c>
      <c r="AM104" s="41" t="s">
        <v>144</v>
      </c>
      <c r="AN104" s="42">
        <v>0</v>
      </c>
      <c r="AO104" s="41" t="s">
        <v>104</v>
      </c>
      <c r="AP104" s="41" t="s">
        <v>541</v>
      </c>
      <c r="AQ104" s="41" t="s">
        <v>104</v>
      </c>
      <c r="AR104" s="41" t="s">
        <v>165</v>
      </c>
      <c r="AS104" s="41" t="s">
        <v>169</v>
      </c>
      <c r="AT104" s="41" t="s">
        <v>104</v>
      </c>
      <c r="AU104" s="41" t="s">
        <v>173</v>
      </c>
      <c r="AW104" s="41" t="s">
        <v>170</v>
      </c>
      <c r="AX104" s="41" t="s">
        <v>1535</v>
      </c>
      <c r="AY104" s="41" t="s">
        <v>1971</v>
      </c>
      <c r="AZ104" s="40"/>
      <c r="BA104" s="40"/>
    </row>
    <row r="105" spans="6:53" ht="29" x14ac:dyDescent="0.35">
      <c r="F105" s="40" t="s">
        <v>1100</v>
      </c>
      <c r="G105" s="85" t="s">
        <v>616</v>
      </c>
      <c r="H105" s="40" t="s">
        <v>616</v>
      </c>
      <c r="I105" s="41" t="s">
        <v>223</v>
      </c>
      <c r="J105" s="41" t="s">
        <v>601</v>
      </c>
      <c r="K105" s="41" t="s">
        <v>602</v>
      </c>
      <c r="L105" s="40" t="s">
        <v>603</v>
      </c>
      <c r="O105" s="40" t="s">
        <v>104</v>
      </c>
      <c r="P105" s="41" t="s">
        <v>104</v>
      </c>
      <c r="Q105" s="41" t="s">
        <v>104</v>
      </c>
      <c r="R105" s="41" t="s">
        <v>104</v>
      </c>
      <c r="S105" s="40" t="s">
        <v>169</v>
      </c>
      <c r="U105" s="41" t="s">
        <v>104</v>
      </c>
      <c r="V105" s="41" t="s">
        <v>104</v>
      </c>
      <c r="W105" s="41" t="s">
        <v>104</v>
      </c>
      <c r="X105" s="41" t="s">
        <v>104</v>
      </c>
      <c r="Y105" s="40" t="s">
        <v>604</v>
      </c>
      <c r="Z105" s="41" t="s">
        <v>605</v>
      </c>
      <c r="AA105" s="41" t="s">
        <v>117</v>
      </c>
      <c r="AB105" s="41" t="s">
        <v>695</v>
      </c>
      <c r="AC105" s="40" t="s">
        <v>604</v>
      </c>
      <c r="AD105" s="41" t="s">
        <v>607</v>
      </c>
      <c r="AE105" s="41" t="s">
        <v>117</v>
      </c>
      <c r="AF105" s="41" t="s">
        <v>696</v>
      </c>
      <c r="AG105" s="41" t="s">
        <v>138</v>
      </c>
      <c r="AH105" s="41" t="s">
        <v>169</v>
      </c>
      <c r="AI105" s="41">
        <v>1</v>
      </c>
      <c r="AJ105" s="41">
        <v>1</v>
      </c>
      <c r="AK105" s="41">
        <v>0</v>
      </c>
      <c r="AL105" s="42">
        <v>0</v>
      </c>
      <c r="AM105" s="41" t="s">
        <v>144</v>
      </c>
      <c r="AN105" s="42">
        <v>0</v>
      </c>
      <c r="AO105" s="41" t="s">
        <v>104</v>
      </c>
      <c r="AP105" s="41" t="s">
        <v>541</v>
      </c>
      <c r="AQ105" s="41" t="s">
        <v>104</v>
      </c>
      <c r="AR105" s="41" t="s">
        <v>165</v>
      </c>
      <c r="AS105" s="41" t="s">
        <v>169</v>
      </c>
      <c r="AT105" s="41" t="s">
        <v>104</v>
      </c>
      <c r="AU105" s="41" t="s">
        <v>173</v>
      </c>
      <c r="AW105" s="41" t="s">
        <v>170</v>
      </c>
      <c r="AX105" s="41" t="s">
        <v>1536</v>
      </c>
      <c r="AY105" s="41" t="s">
        <v>1972</v>
      </c>
      <c r="AZ105" s="40"/>
      <c r="BA105" s="40"/>
    </row>
    <row r="106" spans="6:53" ht="29" x14ac:dyDescent="0.35">
      <c r="F106" s="40" t="s">
        <v>1101</v>
      </c>
      <c r="G106" s="85" t="s">
        <v>658</v>
      </c>
      <c r="H106" s="40" t="s">
        <v>658</v>
      </c>
      <c r="I106" s="41" t="s">
        <v>223</v>
      </c>
      <c r="J106" s="41" t="s">
        <v>601</v>
      </c>
      <c r="K106" s="41" t="s">
        <v>602</v>
      </c>
      <c r="L106" s="40" t="s">
        <v>603</v>
      </c>
      <c r="O106" s="40" t="s">
        <v>104</v>
      </c>
      <c r="P106" s="41" t="s">
        <v>104</v>
      </c>
      <c r="Q106" s="41" t="s">
        <v>104</v>
      </c>
      <c r="R106" s="41" t="s">
        <v>104</v>
      </c>
      <c r="S106" s="40" t="s">
        <v>169</v>
      </c>
      <c r="T106" s="41" t="s">
        <v>614</v>
      </c>
      <c r="U106" s="41" t="s">
        <v>104</v>
      </c>
      <c r="V106" s="41" t="s">
        <v>107</v>
      </c>
      <c r="W106" s="41" t="s">
        <v>112</v>
      </c>
      <c r="X106" s="41" t="s">
        <v>104</v>
      </c>
      <c r="Y106" s="40" t="s">
        <v>604</v>
      </c>
      <c r="Z106" s="41" t="s">
        <v>605</v>
      </c>
      <c r="AA106" s="41" t="s">
        <v>117</v>
      </c>
      <c r="AB106" s="41" t="s">
        <v>695</v>
      </c>
      <c r="AC106" s="40" t="s">
        <v>604</v>
      </c>
      <c r="AD106" s="41" t="s">
        <v>607</v>
      </c>
      <c r="AE106" s="41" t="s">
        <v>117</v>
      </c>
      <c r="AF106" s="41" t="s">
        <v>696</v>
      </c>
      <c r="AG106" s="41" t="s">
        <v>138</v>
      </c>
      <c r="AH106" s="41" t="s">
        <v>169</v>
      </c>
      <c r="AI106" s="41">
        <v>1</v>
      </c>
      <c r="AJ106" s="41">
        <v>1</v>
      </c>
      <c r="AK106" s="41">
        <v>0</v>
      </c>
      <c r="AL106" s="42">
        <v>0</v>
      </c>
      <c r="AM106" s="41" t="s">
        <v>144</v>
      </c>
      <c r="AN106" s="42">
        <v>0</v>
      </c>
      <c r="AO106" s="41" t="s">
        <v>104</v>
      </c>
      <c r="AP106" s="41" t="s">
        <v>541</v>
      </c>
      <c r="AQ106" s="41" t="s">
        <v>104</v>
      </c>
      <c r="AR106" s="41" t="s">
        <v>165</v>
      </c>
      <c r="AS106" s="41" t="s">
        <v>169</v>
      </c>
      <c r="AT106" s="41" t="s">
        <v>104</v>
      </c>
      <c r="AU106" s="41" t="s">
        <v>173</v>
      </c>
      <c r="AW106" s="41" t="s">
        <v>170</v>
      </c>
      <c r="AX106" s="41" t="s">
        <v>1537</v>
      </c>
      <c r="AY106" s="41" t="s">
        <v>1973</v>
      </c>
      <c r="AZ106" s="40"/>
      <c r="BA106" s="40"/>
    </row>
    <row r="107" spans="6:53" ht="29" x14ac:dyDescent="0.35">
      <c r="F107" s="40" t="s">
        <v>1102</v>
      </c>
      <c r="G107" s="85" t="s">
        <v>654</v>
      </c>
      <c r="H107" s="40" t="s">
        <v>654</v>
      </c>
      <c r="I107" s="41" t="s">
        <v>223</v>
      </c>
      <c r="J107" s="41" t="s">
        <v>601</v>
      </c>
      <c r="K107" s="41" t="s">
        <v>602</v>
      </c>
      <c r="L107" s="40" t="s">
        <v>603</v>
      </c>
      <c r="O107" s="40" t="s">
        <v>104</v>
      </c>
      <c r="P107" s="41" t="s">
        <v>104</v>
      </c>
      <c r="Q107" s="41" t="s">
        <v>104</v>
      </c>
      <c r="R107" s="41" t="s">
        <v>104</v>
      </c>
      <c r="S107" s="40" t="s">
        <v>169</v>
      </c>
      <c r="U107" s="41" t="s">
        <v>104</v>
      </c>
      <c r="V107" s="41" t="s">
        <v>104</v>
      </c>
      <c r="W107" s="41" t="s">
        <v>104</v>
      </c>
      <c r="X107" s="41" t="s">
        <v>104</v>
      </c>
      <c r="Y107" s="40" t="s">
        <v>604</v>
      </c>
      <c r="Z107" s="41" t="s">
        <v>605</v>
      </c>
      <c r="AA107" s="41" t="s">
        <v>117</v>
      </c>
      <c r="AB107" s="41" t="s">
        <v>695</v>
      </c>
      <c r="AC107" s="40" t="s">
        <v>604</v>
      </c>
      <c r="AD107" s="41" t="s">
        <v>607</v>
      </c>
      <c r="AE107" s="41" t="s">
        <v>117</v>
      </c>
      <c r="AF107" s="41" t="s">
        <v>696</v>
      </c>
      <c r="AG107" s="41" t="s">
        <v>138</v>
      </c>
      <c r="AH107" s="41" t="s">
        <v>169</v>
      </c>
      <c r="AI107" s="41">
        <v>1</v>
      </c>
      <c r="AJ107" s="41">
        <v>1</v>
      </c>
      <c r="AK107" s="41">
        <v>0</v>
      </c>
      <c r="AL107" s="42">
        <v>0</v>
      </c>
      <c r="AM107" s="41" t="s">
        <v>144</v>
      </c>
      <c r="AN107" s="42">
        <v>0</v>
      </c>
      <c r="AO107" s="41" t="s">
        <v>104</v>
      </c>
      <c r="AP107" s="41" t="s">
        <v>541</v>
      </c>
      <c r="AQ107" s="41" t="s">
        <v>104</v>
      </c>
      <c r="AR107" s="41" t="s">
        <v>165</v>
      </c>
      <c r="AS107" s="41" t="s">
        <v>169</v>
      </c>
      <c r="AT107" s="41" t="s">
        <v>104</v>
      </c>
      <c r="AU107" s="41" t="s">
        <v>173</v>
      </c>
      <c r="AW107" s="41" t="s">
        <v>170</v>
      </c>
      <c r="AX107" s="41" t="s">
        <v>1538</v>
      </c>
      <c r="AY107" s="41" t="s">
        <v>1974</v>
      </c>
      <c r="AZ107" s="40"/>
      <c r="BA107" s="40"/>
    </row>
    <row r="108" spans="6:53" ht="29" x14ac:dyDescent="0.35">
      <c r="F108" s="40" t="s">
        <v>1103</v>
      </c>
      <c r="G108" s="85" t="s">
        <v>685</v>
      </c>
      <c r="H108" s="40" t="s">
        <v>685</v>
      </c>
      <c r="I108" s="41" t="s">
        <v>223</v>
      </c>
      <c r="J108" s="41" t="s">
        <v>601</v>
      </c>
      <c r="K108" s="41" t="s">
        <v>602</v>
      </c>
      <c r="L108" s="40" t="s">
        <v>603</v>
      </c>
      <c r="O108" s="40" t="s">
        <v>104</v>
      </c>
      <c r="P108" s="41" t="s">
        <v>104</v>
      </c>
      <c r="Q108" s="41" t="s">
        <v>104</v>
      </c>
      <c r="R108" s="41" t="s">
        <v>104</v>
      </c>
      <c r="S108" s="40" t="s">
        <v>169</v>
      </c>
      <c r="T108" s="41" t="s">
        <v>686</v>
      </c>
      <c r="U108" s="41" t="s">
        <v>104</v>
      </c>
      <c r="V108" s="41" t="s">
        <v>104</v>
      </c>
      <c r="W108" s="41" t="s">
        <v>104</v>
      </c>
      <c r="X108" s="41" t="s">
        <v>104</v>
      </c>
      <c r="Y108" s="40" t="s">
        <v>604</v>
      </c>
      <c r="Z108" s="41" t="s">
        <v>605</v>
      </c>
      <c r="AA108" s="41" t="s">
        <v>117</v>
      </c>
      <c r="AB108" s="41" t="s">
        <v>695</v>
      </c>
      <c r="AC108" s="40" t="s">
        <v>604</v>
      </c>
      <c r="AD108" s="41" t="s">
        <v>607</v>
      </c>
      <c r="AE108" s="41" t="s">
        <v>117</v>
      </c>
      <c r="AF108" s="41" t="s">
        <v>696</v>
      </c>
      <c r="AG108" s="41" t="s">
        <v>138</v>
      </c>
      <c r="AH108" s="41" t="s">
        <v>169</v>
      </c>
      <c r="AI108" s="41">
        <v>1</v>
      </c>
      <c r="AJ108" s="41">
        <v>1</v>
      </c>
      <c r="AK108" s="41">
        <v>0</v>
      </c>
      <c r="AL108" s="42">
        <v>0</v>
      </c>
      <c r="AM108" s="41" t="s">
        <v>144</v>
      </c>
      <c r="AN108" s="42">
        <v>0</v>
      </c>
      <c r="AO108" s="41" t="s">
        <v>104</v>
      </c>
      <c r="AP108" s="41" t="s">
        <v>541</v>
      </c>
      <c r="AQ108" s="41" t="s">
        <v>104</v>
      </c>
      <c r="AR108" s="41" t="s">
        <v>165</v>
      </c>
      <c r="AS108" s="41" t="s">
        <v>169</v>
      </c>
      <c r="AT108" s="41" t="s">
        <v>104</v>
      </c>
      <c r="AU108" s="41" t="s">
        <v>173</v>
      </c>
      <c r="AW108" s="41" t="s">
        <v>170</v>
      </c>
      <c r="AX108" s="41" t="s">
        <v>1539</v>
      </c>
      <c r="AY108" s="41" t="s">
        <v>1975</v>
      </c>
      <c r="AZ108" s="40"/>
      <c r="BA108" s="40"/>
    </row>
    <row r="109" spans="6:53" ht="29" x14ac:dyDescent="0.35">
      <c r="F109" s="40" t="s">
        <v>1104</v>
      </c>
      <c r="G109" s="85" t="s">
        <v>690</v>
      </c>
      <c r="H109" s="40" t="s">
        <v>690</v>
      </c>
      <c r="I109" s="41" t="s">
        <v>223</v>
      </c>
      <c r="J109" s="41" t="s">
        <v>601</v>
      </c>
      <c r="K109" s="41" t="s">
        <v>602</v>
      </c>
      <c r="L109" s="40" t="s">
        <v>603</v>
      </c>
      <c r="O109" s="40" t="s">
        <v>104</v>
      </c>
      <c r="P109" s="41" t="s">
        <v>104</v>
      </c>
      <c r="Q109" s="41" t="s">
        <v>104</v>
      </c>
      <c r="R109" s="41" t="s">
        <v>104</v>
      </c>
      <c r="S109" s="40" t="s">
        <v>169</v>
      </c>
      <c r="U109" s="41" t="s">
        <v>104</v>
      </c>
      <c r="V109" s="41" t="s">
        <v>104</v>
      </c>
      <c r="W109" s="41" t="s">
        <v>104</v>
      </c>
      <c r="X109" s="41" t="s">
        <v>104</v>
      </c>
      <c r="Y109" s="40" t="s">
        <v>604</v>
      </c>
      <c r="Z109" s="41" t="s">
        <v>605</v>
      </c>
      <c r="AA109" s="41" t="s">
        <v>117</v>
      </c>
      <c r="AB109" s="41" t="s">
        <v>695</v>
      </c>
      <c r="AC109" s="40" t="s">
        <v>604</v>
      </c>
      <c r="AD109" s="41" t="s">
        <v>607</v>
      </c>
      <c r="AE109" s="41" t="s">
        <v>117</v>
      </c>
      <c r="AF109" s="41" t="s">
        <v>696</v>
      </c>
      <c r="AG109" s="41" t="s">
        <v>138</v>
      </c>
      <c r="AH109" s="41" t="s">
        <v>169</v>
      </c>
      <c r="AI109" s="41">
        <v>1</v>
      </c>
      <c r="AJ109" s="41">
        <v>1</v>
      </c>
      <c r="AK109" s="41">
        <v>0</v>
      </c>
      <c r="AL109" s="42">
        <v>0</v>
      </c>
      <c r="AM109" s="41" t="s">
        <v>144</v>
      </c>
      <c r="AN109" s="42">
        <v>0</v>
      </c>
      <c r="AO109" s="41" t="s">
        <v>104</v>
      </c>
      <c r="AP109" s="41" t="s">
        <v>541</v>
      </c>
      <c r="AQ109" s="41" t="s">
        <v>104</v>
      </c>
      <c r="AR109" s="41" t="s">
        <v>165</v>
      </c>
      <c r="AS109" s="41" t="s">
        <v>169</v>
      </c>
      <c r="AT109" s="41" t="s">
        <v>104</v>
      </c>
      <c r="AU109" s="41" t="s">
        <v>173</v>
      </c>
      <c r="AW109" s="41" t="s">
        <v>170</v>
      </c>
      <c r="AX109" s="41" t="s">
        <v>1540</v>
      </c>
      <c r="AY109" s="41" t="s">
        <v>1976</v>
      </c>
      <c r="AZ109" s="40"/>
      <c r="BA109" s="40"/>
    </row>
    <row r="110" spans="6:53" ht="29" x14ac:dyDescent="0.35">
      <c r="F110" s="40" t="s">
        <v>1105</v>
      </c>
      <c r="G110" s="85" t="s">
        <v>678</v>
      </c>
      <c r="H110" s="40" t="s">
        <v>678</v>
      </c>
      <c r="I110" s="41" t="s">
        <v>223</v>
      </c>
      <c r="J110" s="41" t="s">
        <v>601</v>
      </c>
      <c r="K110" s="41" t="s">
        <v>602</v>
      </c>
      <c r="L110" s="40" t="s">
        <v>603</v>
      </c>
      <c r="O110" s="40" t="s">
        <v>104</v>
      </c>
      <c r="P110" s="41" t="s">
        <v>104</v>
      </c>
      <c r="Q110" s="41" t="s">
        <v>104</v>
      </c>
      <c r="R110" s="41" t="s">
        <v>104</v>
      </c>
      <c r="S110" s="40" t="s">
        <v>169</v>
      </c>
      <c r="U110" s="41" t="s">
        <v>104</v>
      </c>
      <c r="V110" s="41" t="s">
        <v>104</v>
      </c>
      <c r="W110" s="41" t="s">
        <v>104</v>
      </c>
      <c r="X110" s="41" t="s">
        <v>104</v>
      </c>
      <c r="Y110" s="40" t="s">
        <v>604</v>
      </c>
      <c r="Z110" s="41" t="s">
        <v>605</v>
      </c>
      <c r="AA110" s="41" t="s">
        <v>117</v>
      </c>
      <c r="AB110" s="41" t="s">
        <v>695</v>
      </c>
      <c r="AC110" s="40" t="s">
        <v>604</v>
      </c>
      <c r="AD110" s="41" t="s">
        <v>607</v>
      </c>
      <c r="AE110" s="41" t="s">
        <v>117</v>
      </c>
      <c r="AF110" s="41" t="s">
        <v>696</v>
      </c>
      <c r="AG110" s="41" t="s">
        <v>138</v>
      </c>
      <c r="AH110" s="41" t="s">
        <v>169</v>
      </c>
      <c r="AI110" s="41">
        <v>1</v>
      </c>
      <c r="AJ110" s="41">
        <v>1</v>
      </c>
      <c r="AK110" s="41">
        <v>0</v>
      </c>
      <c r="AL110" s="42">
        <v>0</v>
      </c>
      <c r="AM110" s="41" t="s">
        <v>144</v>
      </c>
      <c r="AN110" s="42">
        <v>0</v>
      </c>
      <c r="AO110" s="41" t="s">
        <v>104</v>
      </c>
      <c r="AP110" s="41" t="s">
        <v>541</v>
      </c>
      <c r="AQ110" s="41" t="s">
        <v>104</v>
      </c>
      <c r="AR110" s="41" t="s">
        <v>165</v>
      </c>
      <c r="AS110" s="41" t="s">
        <v>169</v>
      </c>
      <c r="AT110" s="41" t="s">
        <v>104</v>
      </c>
      <c r="AU110" s="41" t="s">
        <v>173</v>
      </c>
      <c r="AW110" s="41" t="s">
        <v>170</v>
      </c>
      <c r="AX110" s="41" t="s">
        <v>1541</v>
      </c>
      <c r="AY110" s="41" t="s">
        <v>1977</v>
      </c>
      <c r="AZ110" s="40"/>
      <c r="BA110" s="40"/>
    </row>
    <row r="111" spans="6:53" ht="29" x14ac:dyDescent="0.35">
      <c r="F111" s="40" t="s">
        <v>1106</v>
      </c>
      <c r="G111" s="85" t="s">
        <v>616</v>
      </c>
      <c r="H111" s="40" t="s">
        <v>616</v>
      </c>
      <c r="I111" s="41" t="s">
        <v>223</v>
      </c>
      <c r="J111" s="41" t="s">
        <v>601</v>
      </c>
      <c r="K111" s="41" t="s">
        <v>602</v>
      </c>
      <c r="L111" s="40" t="s">
        <v>603</v>
      </c>
      <c r="O111" s="40" t="s">
        <v>104</v>
      </c>
      <c r="P111" s="41" t="s">
        <v>104</v>
      </c>
      <c r="Q111" s="41" t="s">
        <v>104</v>
      </c>
      <c r="R111" s="41" t="s">
        <v>104</v>
      </c>
      <c r="S111" s="40" t="s">
        <v>169</v>
      </c>
      <c r="U111" s="41" t="s">
        <v>104</v>
      </c>
      <c r="V111" s="41" t="s">
        <v>104</v>
      </c>
      <c r="W111" s="41" t="s">
        <v>104</v>
      </c>
      <c r="X111" s="41" t="s">
        <v>104</v>
      </c>
      <c r="Y111" s="40" t="s">
        <v>604</v>
      </c>
      <c r="Z111" s="41" t="s">
        <v>605</v>
      </c>
      <c r="AA111" s="41" t="s">
        <v>117</v>
      </c>
      <c r="AB111" s="41" t="s">
        <v>695</v>
      </c>
      <c r="AC111" s="40" t="s">
        <v>604</v>
      </c>
      <c r="AD111" s="41" t="s">
        <v>607</v>
      </c>
      <c r="AE111" s="41" t="s">
        <v>117</v>
      </c>
      <c r="AF111" s="41" t="s">
        <v>696</v>
      </c>
      <c r="AG111" s="41" t="s">
        <v>138</v>
      </c>
      <c r="AH111" s="41" t="s">
        <v>169</v>
      </c>
      <c r="AI111" s="41">
        <v>1</v>
      </c>
      <c r="AJ111" s="41">
        <v>1</v>
      </c>
      <c r="AK111" s="41">
        <v>0</v>
      </c>
      <c r="AL111" s="42">
        <v>0</v>
      </c>
      <c r="AM111" s="41" t="s">
        <v>144</v>
      </c>
      <c r="AN111" s="42">
        <v>0</v>
      </c>
      <c r="AO111" s="41" t="s">
        <v>104</v>
      </c>
      <c r="AP111" s="41" t="s">
        <v>541</v>
      </c>
      <c r="AQ111" s="41" t="s">
        <v>104</v>
      </c>
      <c r="AR111" s="41" t="s">
        <v>165</v>
      </c>
      <c r="AS111" s="41" t="s">
        <v>169</v>
      </c>
      <c r="AT111" s="41" t="s">
        <v>104</v>
      </c>
      <c r="AU111" s="41" t="s">
        <v>173</v>
      </c>
      <c r="AW111" s="41" t="s">
        <v>170</v>
      </c>
      <c r="AX111" s="41" t="s">
        <v>1542</v>
      </c>
      <c r="AY111" s="41" t="s">
        <v>1978</v>
      </c>
      <c r="AZ111" s="40"/>
      <c r="BA111" s="40"/>
    </row>
    <row r="112" spans="6:53" ht="29" x14ac:dyDescent="0.35">
      <c r="F112" s="40" t="s">
        <v>1107</v>
      </c>
      <c r="G112" s="85" t="s">
        <v>662</v>
      </c>
      <c r="H112" s="40" t="s">
        <v>662</v>
      </c>
      <c r="I112" s="41" t="s">
        <v>223</v>
      </c>
      <c r="J112" s="41" t="s">
        <v>601</v>
      </c>
      <c r="K112" s="41" t="s">
        <v>602</v>
      </c>
      <c r="L112" s="40" t="s">
        <v>603</v>
      </c>
      <c r="O112" s="40" t="s">
        <v>104</v>
      </c>
      <c r="P112" s="41" t="s">
        <v>104</v>
      </c>
      <c r="Q112" s="41" t="s">
        <v>104</v>
      </c>
      <c r="R112" s="41" t="s">
        <v>104</v>
      </c>
      <c r="S112" s="40" t="s">
        <v>169</v>
      </c>
      <c r="U112" s="41" t="s">
        <v>104</v>
      </c>
      <c r="V112" s="41" t="s">
        <v>104</v>
      </c>
      <c r="W112" s="41" t="s">
        <v>104</v>
      </c>
      <c r="X112" s="41" t="s">
        <v>104</v>
      </c>
      <c r="Y112" s="40" t="s">
        <v>604</v>
      </c>
      <c r="Z112" s="41" t="s">
        <v>605</v>
      </c>
      <c r="AA112" s="41" t="s">
        <v>117</v>
      </c>
      <c r="AB112" s="41" t="s">
        <v>697</v>
      </c>
      <c r="AC112" s="40" t="s">
        <v>604</v>
      </c>
      <c r="AD112" s="41" t="s">
        <v>607</v>
      </c>
      <c r="AE112" s="41" t="s">
        <v>117</v>
      </c>
      <c r="AF112" s="41" t="s">
        <v>698</v>
      </c>
      <c r="AG112" s="41" t="s">
        <v>138</v>
      </c>
      <c r="AH112" s="41" t="s">
        <v>169</v>
      </c>
      <c r="AI112" s="41">
        <v>1</v>
      </c>
      <c r="AJ112" s="41">
        <v>1</v>
      </c>
      <c r="AK112" s="41">
        <v>0</v>
      </c>
      <c r="AL112" s="42">
        <v>0</v>
      </c>
      <c r="AM112" s="41" t="s">
        <v>144</v>
      </c>
      <c r="AN112" s="42">
        <v>0</v>
      </c>
      <c r="AO112" s="41" t="s">
        <v>104</v>
      </c>
      <c r="AP112" s="41" t="s">
        <v>541</v>
      </c>
      <c r="AQ112" s="41" t="s">
        <v>104</v>
      </c>
      <c r="AR112" s="41" t="s">
        <v>165</v>
      </c>
      <c r="AS112" s="41" t="s">
        <v>169</v>
      </c>
      <c r="AT112" s="41" t="s">
        <v>104</v>
      </c>
      <c r="AU112" s="41" t="s">
        <v>173</v>
      </c>
      <c r="AW112" s="41" t="s">
        <v>170</v>
      </c>
      <c r="AX112" s="41" t="s">
        <v>1543</v>
      </c>
      <c r="AY112" s="41" t="s">
        <v>1979</v>
      </c>
      <c r="AZ112" s="40"/>
      <c r="BA112" s="40"/>
    </row>
    <row r="113" spans="6:53" ht="29" x14ac:dyDescent="0.35">
      <c r="F113" s="40" t="s">
        <v>1035</v>
      </c>
      <c r="G113" s="85" t="s">
        <v>653</v>
      </c>
      <c r="H113" s="40" t="s">
        <v>653</v>
      </c>
      <c r="I113" s="41" t="s">
        <v>223</v>
      </c>
      <c r="J113" s="41" t="s">
        <v>601</v>
      </c>
      <c r="K113" s="41" t="s">
        <v>602</v>
      </c>
      <c r="L113" s="40" t="s">
        <v>603</v>
      </c>
      <c r="O113" s="40" t="s">
        <v>104</v>
      </c>
      <c r="P113" s="41" t="s">
        <v>104</v>
      </c>
      <c r="Q113" s="41" t="s">
        <v>104</v>
      </c>
      <c r="R113" s="41" t="s">
        <v>104</v>
      </c>
      <c r="S113" s="40" t="s">
        <v>169</v>
      </c>
      <c r="U113" s="41" t="s">
        <v>104</v>
      </c>
      <c r="V113" s="41" t="s">
        <v>104</v>
      </c>
      <c r="W113" s="41" t="s">
        <v>104</v>
      </c>
      <c r="X113" s="41" t="s">
        <v>104</v>
      </c>
      <c r="Y113" s="40" t="s">
        <v>604</v>
      </c>
      <c r="Z113" s="41" t="s">
        <v>605</v>
      </c>
      <c r="AA113" s="41" t="s">
        <v>117</v>
      </c>
      <c r="AB113" s="41" t="s">
        <v>646</v>
      </c>
      <c r="AC113" s="40" t="s">
        <v>604</v>
      </c>
      <c r="AD113" s="41" t="s">
        <v>605</v>
      </c>
      <c r="AE113" s="41" t="s">
        <v>117</v>
      </c>
      <c r="AF113" s="41" t="s">
        <v>646</v>
      </c>
      <c r="AG113" s="41" t="s">
        <v>138</v>
      </c>
      <c r="AH113" s="41" t="s">
        <v>169</v>
      </c>
      <c r="AI113" s="41">
        <v>1</v>
      </c>
      <c r="AJ113" s="41">
        <v>1</v>
      </c>
      <c r="AK113" s="41">
        <v>0</v>
      </c>
      <c r="AL113" s="42">
        <v>0</v>
      </c>
      <c r="AM113" s="41" t="s">
        <v>144</v>
      </c>
      <c r="AN113" s="42">
        <v>0</v>
      </c>
      <c r="AO113" s="41" t="s">
        <v>104</v>
      </c>
      <c r="AP113" s="41" t="s">
        <v>541</v>
      </c>
      <c r="AQ113" s="41" t="s">
        <v>104</v>
      </c>
      <c r="AR113" s="41" t="s">
        <v>165</v>
      </c>
      <c r="AS113" s="41" t="s">
        <v>169</v>
      </c>
      <c r="AT113" s="41" t="s">
        <v>104</v>
      </c>
      <c r="AU113" s="41" t="s">
        <v>173</v>
      </c>
      <c r="AW113" s="41" t="s">
        <v>170</v>
      </c>
      <c r="AX113" s="41" t="s">
        <v>1471</v>
      </c>
      <c r="AY113" s="41" t="s">
        <v>1907</v>
      </c>
      <c r="AZ113" s="40"/>
      <c r="BA113" s="40"/>
    </row>
    <row r="114" spans="6:53" ht="29" x14ac:dyDescent="0.35">
      <c r="F114" s="40" t="s">
        <v>1109</v>
      </c>
      <c r="G114" s="85" t="s">
        <v>654</v>
      </c>
      <c r="H114" s="40" t="s">
        <v>654</v>
      </c>
      <c r="I114" s="41" t="s">
        <v>223</v>
      </c>
      <c r="J114" s="41" t="s">
        <v>601</v>
      </c>
      <c r="K114" s="41" t="s">
        <v>602</v>
      </c>
      <c r="L114" s="40" t="s">
        <v>603</v>
      </c>
      <c r="O114" s="40" t="s">
        <v>104</v>
      </c>
      <c r="P114" s="41" t="s">
        <v>104</v>
      </c>
      <c r="Q114" s="41" t="s">
        <v>104</v>
      </c>
      <c r="R114" s="41" t="s">
        <v>104</v>
      </c>
      <c r="S114" s="40" t="s">
        <v>169</v>
      </c>
      <c r="U114" s="41" t="s">
        <v>104</v>
      </c>
      <c r="V114" s="41" t="s">
        <v>104</v>
      </c>
      <c r="W114" s="41" t="s">
        <v>104</v>
      </c>
      <c r="X114" s="41" t="s">
        <v>104</v>
      </c>
      <c r="Y114" s="40" t="s">
        <v>604</v>
      </c>
      <c r="Z114" s="41" t="s">
        <v>607</v>
      </c>
      <c r="AA114" s="41" t="s">
        <v>117</v>
      </c>
      <c r="AB114" s="41">
        <v>514</v>
      </c>
      <c r="AC114" s="40" t="s">
        <v>604</v>
      </c>
      <c r="AD114" s="41" t="s">
        <v>607</v>
      </c>
      <c r="AE114" s="41" t="s">
        <v>117</v>
      </c>
      <c r="AF114" s="41">
        <v>514</v>
      </c>
      <c r="AG114" s="41" t="s">
        <v>138</v>
      </c>
      <c r="AH114" s="41" t="s">
        <v>169</v>
      </c>
      <c r="AI114" s="41">
        <v>2</v>
      </c>
      <c r="AJ114" s="41">
        <v>2</v>
      </c>
      <c r="AK114" s="41">
        <v>0</v>
      </c>
      <c r="AL114" s="42">
        <v>0</v>
      </c>
      <c r="AM114" s="41" t="s">
        <v>144</v>
      </c>
      <c r="AN114" s="42">
        <v>0</v>
      </c>
      <c r="AO114" s="41" t="s">
        <v>104</v>
      </c>
      <c r="AP114" s="41" t="s">
        <v>541</v>
      </c>
      <c r="AQ114" s="41" t="s">
        <v>104</v>
      </c>
      <c r="AR114" s="41" t="s">
        <v>165</v>
      </c>
      <c r="AS114" s="41" t="s">
        <v>169</v>
      </c>
      <c r="AT114" s="41" t="s">
        <v>104</v>
      </c>
      <c r="AU114" s="41" t="s">
        <v>173</v>
      </c>
      <c r="AW114" s="41" t="s">
        <v>170</v>
      </c>
      <c r="AX114" s="41" t="s">
        <v>1545</v>
      </c>
      <c r="AY114" s="41" t="s">
        <v>1981</v>
      </c>
      <c r="AZ114" s="40"/>
      <c r="BA114" s="40"/>
    </row>
    <row r="115" spans="6:53" ht="29" x14ac:dyDescent="0.35">
      <c r="F115" s="40" t="s">
        <v>1110</v>
      </c>
      <c r="G115" s="85" t="s">
        <v>658</v>
      </c>
      <c r="H115" s="40" t="s">
        <v>658</v>
      </c>
      <c r="I115" s="41" t="s">
        <v>223</v>
      </c>
      <c r="J115" s="41" t="s">
        <v>601</v>
      </c>
      <c r="K115" s="41" t="s">
        <v>602</v>
      </c>
      <c r="L115" s="40" t="s">
        <v>603</v>
      </c>
      <c r="O115" s="40" t="s">
        <v>104</v>
      </c>
      <c r="P115" s="41" t="s">
        <v>104</v>
      </c>
      <c r="Q115" s="41" t="s">
        <v>104</v>
      </c>
      <c r="R115" s="41" t="s">
        <v>104</v>
      </c>
      <c r="S115" s="40" t="s">
        <v>169</v>
      </c>
      <c r="T115" s="41" t="s">
        <v>614</v>
      </c>
      <c r="U115" s="41" t="s">
        <v>104</v>
      </c>
      <c r="V115" s="41" t="s">
        <v>107</v>
      </c>
      <c r="W115" s="41" t="s">
        <v>112</v>
      </c>
      <c r="X115" s="41" t="s">
        <v>104</v>
      </c>
      <c r="Y115" s="40" t="s">
        <v>604</v>
      </c>
      <c r="Z115" s="41" t="s">
        <v>605</v>
      </c>
      <c r="AA115" s="41" t="s">
        <v>117</v>
      </c>
      <c r="AB115" s="41" t="s">
        <v>697</v>
      </c>
      <c r="AC115" s="40" t="s">
        <v>604</v>
      </c>
      <c r="AD115" s="41" t="s">
        <v>607</v>
      </c>
      <c r="AE115" s="41" t="s">
        <v>117</v>
      </c>
      <c r="AF115" s="41" t="s">
        <v>2215</v>
      </c>
      <c r="AG115" s="41" t="s">
        <v>138</v>
      </c>
      <c r="AH115" s="41" t="s">
        <v>169</v>
      </c>
      <c r="AI115" s="41">
        <v>1</v>
      </c>
      <c r="AJ115" s="41">
        <v>1</v>
      </c>
      <c r="AK115" s="41">
        <v>0</v>
      </c>
      <c r="AL115" s="42">
        <v>0</v>
      </c>
      <c r="AM115" s="41" t="s">
        <v>144</v>
      </c>
      <c r="AN115" s="42">
        <v>0</v>
      </c>
      <c r="AO115" s="41" t="s">
        <v>104</v>
      </c>
      <c r="AP115" s="41" t="s">
        <v>541</v>
      </c>
      <c r="AQ115" s="41" t="s">
        <v>104</v>
      </c>
      <c r="AR115" s="41" t="s">
        <v>165</v>
      </c>
      <c r="AS115" s="41" t="s">
        <v>169</v>
      </c>
      <c r="AT115" s="41" t="s">
        <v>104</v>
      </c>
      <c r="AU115" s="41" t="s">
        <v>173</v>
      </c>
      <c r="AW115" s="41" t="s">
        <v>170</v>
      </c>
      <c r="AX115" s="41" t="s">
        <v>1546</v>
      </c>
      <c r="AY115" s="41" t="s">
        <v>1982</v>
      </c>
      <c r="AZ115" s="40"/>
      <c r="BA115" s="40"/>
    </row>
    <row r="116" spans="6:53" ht="29" x14ac:dyDescent="0.35">
      <c r="F116" s="40" t="s">
        <v>1111</v>
      </c>
      <c r="G116" s="85" t="s">
        <v>685</v>
      </c>
      <c r="H116" s="40" t="s">
        <v>685</v>
      </c>
      <c r="I116" s="41" t="s">
        <v>223</v>
      </c>
      <c r="J116" s="41" t="s">
        <v>601</v>
      </c>
      <c r="K116" s="41" t="s">
        <v>602</v>
      </c>
      <c r="L116" s="40" t="s">
        <v>603</v>
      </c>
      <c r="O116" s="40" t="s">
        <v>104</v>
      </c>
      <c r="P116" s="41" t="s">
        <v>104</v>
      </c>
      <c r="Q116" s="41" t="s">
        <v>104</v>
      </c>
      <c r="R116" s="41" t="s">
        <v>104</v>
      </c>
      <c r="S116" s="40" t="s">
        <v>169</v>
      </c>
      <c r="T116" s="41" t="s">
        <v>686</v>
      </c>
      <c r="U116" s="41" t="s">
        <v>104</v>
      </c>
      <c r="V116" s="41" t="s">
        <v>104</v>
      </c>
      <c r="W116" s="41" t="s">
        <v>104</v>
      </c>
      <c r="X116" s="41" t="s">
        <v>104</v>
      </c>
      <c r="Y116" s="40" t="s">
        <v>604</v>
      </c>
      <c r="Z116" s="41" t="s">
        <v>605</v>
      </c>
      <c r="AA116" s="41" t="s">
        <v>117</v>
      </c>
      <c r="AB116" s="41" t="s">
        <v>697</v>
      </c>
      <c r="AC116" s="40" t="s">
        <v>604</v>
      </c>
      <c r="AD116" s="41" t="s">
        <v>605</v>
      </c>
      <c r="AE116" s="41" t="s">
        <v>117</v>
      </c>
      <c r="AF116" s="41" t="s">
        <v>697</v>
      </c>
      <c r="AG116" s="41" t="s">
        <v>138</v>
      </c>
      <c r="AH116" s="41" t="s">
        <v>169</v>
      </c>
      <c r="AI116" s="41">
        <v>1</v>
      </c>
      <c r="AJ116" s="41">
        <v>1</v>
      </c>
      <c r="AK116" s="41">
        <v>0</v>
      </c>
      <c r="AL116" s="42">
        <v>0</v>
      </c>
      <c r="AM116" s="41" t="s">
        <v>144</v>
      </c>
      <c r="AN116" s="42">
        <v>0</v>
      </c>
      <c r="AO116" s="41" t="s">
        <v>104</v>
      </c>
      <c r="AP116" s="41" t="s">
        <v>541</v>
      </c>
      <c r="AQ116" s="41" t="s">
        <v>104</v>
      </c>
      <c r="AR116" s="41" t="s">
        <v>165</v>
      </c>
      <c r="AS116" s="41" t="s">
        <v>169</v>
      </c>
      <c r="AT116" s="41" t="s">
        <v>104</v>
      </c>
      <c r="AU116" s="41" t="s">
        <v>173</v>
      </c>
      <c r="AW116" s="41" t="s">
        <v>170</v>
      </c>
      <c r="AX116" s="41" t="s">
        <v>1547</v>
      </c>
      <c r="AY116" s="41" t="s">
        <v>1983</v>
      </c>
      <c r="AZ116" s="40"/>
      <c r="BA116" s="40"/>
    </row>
    <row r="117" spans="6:53" ht="29" x14ac:dyDescent="0.35">
      <c r="F117" s="40" t="s">
        <v>1073</v>
      </c>
      <c r="G117" s="85" t="s">
        <v>653</v>
      </c>
      <c r="H117" s="40" t="s">
        <v>653</v>
      </c>
      <c r="I117" s="41" t="s">
        <v>223</v>
      </c>
      <c r="J117" s="41" t="s">
        <v>601</v>
      </c>
      <c r="K117" s="41" t="s">
        <v>602</v>
      </c>
      <c r="L117" s="40" t="s">
        <v>603</v>
      </c>
      <c r="O117" s="40" t="s">
        <v>104</v>
      </c>
      <c r="P117" s="41" t="s">
        <v>104</v>
      </c>
      <c r="Q117" s="41" t="s">
        <v>104</v>
      </c>
      <c r="R117" s="41" t="s">
        <v>104</v>
      </c>
      <c r="S117" s="40" t="s">
        <v>169</v>
      </c>
      <c r="U117" s="41" t="s">
        <v>104</v>
      </c>
      <c r="V117" s="41" t="s">
        <v>104</v>
      </c>
      <c r="W117" s="41" t="s">
        <v>104</v>
      </c>
      <c r="X117" s="41" t="s">
        <v>104</v>
      </c>
      <c r="Y117" s="40" t="s">
        <v>604</v>
      </c>
      <c r="Z117" s="41" t="s">
        <v>605</v>
      </c>
      <c r="AA117" s="41" t="s">
        <v>117</v>
      </c>
      <c r="AB117" s="41" t="s">
        <v>680</v>
      </c>
      <c r="AC117" s="40" t="s">
        <v>604</v>
      </c>
      <c r="AD117" s="41" t="s">
        <v>605</v>
      </c>
      <c r="AE117" s="41" t="s">
        <v>117</v>
      </c>
      <c r="AF117" s="41" t="s">
        <v>695</v>
      </c>
      <c r="AG117" s="41" t="s">
        <v>138</v>
      </c>
      <c r="AH117" s="41" t="s">
        <v>169</v>
      </c>
      <c r="AI117" s="41">
        <v>1</v>
      </c>
      <c r="AJ117" s="41">
        <v>1</v>
      </c>
      <c r="AK117" s="41">
        <v>0</v>
      </c>
      <c r="AL117" s="42">
        <v>0</v>
      </c>
      <c r="AM117" s="41" t="s">
        <v>144</v>
      </c>
      <c r="AN117" s="42">
        <v>0</v>
      </c>
      <c r="AO117" s="41" t="s">
        <v>104</v>
      </c>
      <c r="AP117" s="41" t="s">
        <v>541</v>
      </c>
      <c r="AQ117" s="41" t="s">
        <v>104</v>
      </c>
      <c r="AR117" s="41" t="s">
        <v>165</v>
      </c>
      <c r="AS117" s="41" t="s">
        <v>169</v>
      </c>
      <c r="AT117" s="41" t="s">
        <v>104</v>
      </c>
      <c r="AU117" s="41" t="s">
        <v>173</v>
      </c>
      <c r="AW117" s="41" t="s">
        <v>170</v>
      </c>
      <c r="AX117" s="41" t="s">
        <v>1509</v>
      </c>
      <c r="AY117" s="41" t="s">
        <v>1945</v>
      </c>
      <c r="AZ117" s="40"/>
      <c r="BA117" s="40"/>
    </row>
    <row r="118" spans="6:53" ht="29" x14ac:dyDescent="0.35">
      <c r="F118" s="40" t="s">
        <v>1113</v>
      </c>
      <c r="G118" s="85" t="s">
        <v>658</v>
      </c>
      <c r="H118" s="40" t="s">
        <v>658</v>
      </c>
      <c r="I118" s="41" t="s">
        <v>223</v>
      </c>
      <c r="J118" s="41" t="s">
        <v>601</v>
      </c>
      <c r="K118" s="41" t="s">
        <v>602</v>
      </c>
      <c r="L118" s="40" t="s">
        <v>603</v>
      </c>
      <c r="O118" s="40" t="s">
        <v>104</v>
      </c>
      <c r="P118" s="41" t="s">
        <v>104</v>
      </c>
      <c r="Q118" s="41" t="s">
        <v>104</v>
      </c>
      <c r="R118" s="41" t="s">
        <v>104</v>
      </c>
      <c r="S118" s="40" t="s">
        <v>169</v>
      </c>
      <c r="T118" s="41" t="s">
        <v>614</v>
      </c>
      <c r="U118" s="41" t="s">
        <v>104</v>
      </c>
      <c r="V118" s="41" t="s">
        <v>107</v>
      </c>
      <c r="W118" s="41" t="s">
        <v>112</v>
      </c>
      <c r="X118" s="41" t="s">
        <v>104</v>
      </c>
      <c r="Y118" s="40" t="s">
        <v>604</v>
      </c>
      <c r="Z118" s="41" t="s">
        <v>605</v>
      </c>
      <c r="AA118" s="41" t="s">
        <v>117</v>
      </c>
      <c r="AB118" s="41" t="s">
        <v>699</v>
      </c>
      <c r="AC118" s="40" t="s">
        <v>604</v>
      </c>
      <c r="AD118" s="41" t="s">
        <v>607</v>
      </c>
      <c r="AE118" s="41" t="s">
        <v>117</v>
      </c>
      <c r="AF118" s="41" t="s">
        <v>697</v>
      </c>
      <c r="AG118" s="41" t="s">
        <v>138</v>
      </c>
      <c r="AH118" s="41" t="s">
        <v>169</v>
      </c>
      <c r="AI118" s="41">
        <v>1</v>
      </c>
      <c r="AJ118" s="41">
        <v>1</v>
      </c>
      <c r="AK118" s="41">
        <v>0</v>
      </c>
      <c r="AL118" s="42">
        <v>0</v>
      </c>
      <c r="AM118" s="41" t="s">
        <v>144</v>
      </c>
      <c r="AN118" s="42">
        <v>0</v>
      </c>
      <c r="AO118" s="41" t="s">
        <v>104</v>
      </c>
      <c r="AP118" s="41" t="s">
        <v>541</v>
      </c>
      <c r="AQ118" s="41" t="s">
        <v>104</v>
      </c>
      <c r="AR118" s="41" t="s">
        <v>165</v>
      </c>
      <c r="AS118" s="41" t="s">
        <v>169</v>
      </c>
      <c r="AT118" s="41" t="s">
        <v>104</v>
      </c>
      <c r="AU118" s="41" t="s">
        <v>173</v>
      </c>
      <c r="AW118" s="41" t="s">
        <v>170</v>
      </c>
      <c r="AX118" s="41" t="s">
        <v>1549</v>
      </c>
      <c r="AY118" s="41" t="s">
        <v>1985</v>
      </c>
      <c r="AZ118" s="40"/>
      <c r="BA118" s="40"/>
    </row>
    <row r="119" spans="6:53" ht="29" x14ac:dyDescent="0.35">
      <c r="F119" s="40" t="s">
        <v>1114</v>
      </c>
      <c r="G119" s="85" t="s">
        <v>694</v>
      </c>
      <c r="H119" s="40" t="s">
        <v>694</v>
      </c>
      <c r="I119" s="41" t="s">
        <v>223</v>
      </c>
      <c r="J119" s="41" t="s">
        <v>601</v>
      </c>
      <c r="K119" s="41" t="s">
        <v>602</v>
      </c>
      <c r="L119" s="40" t="s">
        <v>603</v>
      </c>
      <c r="O119" s="40" t="s">
        <v>104</v>
      </c>
      <c r="P119" s="41" t="s">
        <v>104</v>
      </c>
      <c r="Q119" s="41" t="s">
        <v>104</v>
      </c>
      <c r="R119" s="41" t="s">
        <v>104</v>
      </c>
      <c r="S119" s="40" t="s">
        <v>169</v>
      </c>
      <c r="T119" s="41" t="s">
        <v>686</v>
      </c>
      <c r="U119" s="41" t="s">
        <v>104</v>
      </c>
      <c r="V119" s="41" t="s">
        <v>104</v>
      </c>
      <c r="W119" s="41" t="s">
        <v>104</v>
      </c>
      <c r="X119" s="41" t="s">
        <v>104</v>
      </c>
      <c r="Y119" s="40" t="s">
        <v>604</v>
      </c>
      <c r="Z119" s="41" t="s">
        <v>605</v>
      </c>
      <c r="AA119" s="41" t="s">
        <v>117</v>
      </c>
      <c r="AB119" s="41" t="s">
        <v>699</v>
      </c>
      <c r="AC119" s="40" t="s">
        <v>604</v>
      </c>
      <c r="AD119" s="41" t="s">
        <v>605</v>
      </c>
      <c r="AE119" s="41" t="s">
        <v>117</v>
      </c>
      <c r="AF119" s="41" t="s">
        <v>699</v>
      </c>
      <c r="AG119" s="41" t="s">
        <v>138</v>
      </c>
      <c r="AH119" s="41" t="s">
        <v>169</v>
      </c>
      <c r="AI119" s="41">
        <v>1</v>
      </c>
      <c r="AJ119" s="41">
        <v>1</v>
      </c>
      <c r="AK119" s="41">
        <v>0</v>
      </c>
      <c r="AL119" s="42">
        <v>0</v>
      </c>
      <c r="AM119" s="41" t="s">
        <v>144</v>
      </c>
      <c r="AN119" s="42">
        <v>0</v>
      </c>
      <c r="AO119" s="41" t="s">
        <v>104</v>
      </c>
      <c r="AP119" s="41" t="s">
        <v>541</v>
      </c>
      <c r="AQ119" s="41" t="s">
        <v>104</v>
      </c>
      <c r="AR119" s="41" t="s">
        <v>165</v>
      </c>
      <c r="AS119" s="41" t="s">
        <v>169</v>
      </c>
      <c r="AT119" s="41" t="s">
        <v>104</v>
      </c>
      <c r="AU119" s="41" t="s">
        <v>173</v>
      </c>
      <c r="AW119" s="41" t="s">
        <v>170</v>
      </c>
      <c r="AX119" s="41" t="s">
        <v>1550</v>
      </c>
      <c r="AY119" s="41" t="s">
        <v>1986</v>
      </c>
      <c r="AZ119" s="40"/>
      <c r="BA119" s="40"/>
    </row>
    <row r="120" spans="6:53" ht="29" x14ac:dyDescent="0.35">
      <c r="F120" s="40" t="s">
        <v>1115</v>
      </c>
      <c r="G120" s="85" t="s">
        <v>616</v>
      </c>
      <c r="H120" s="40" t="s">
        <v>616</v>
      </c>
      <c r="I120" s="41" t="s">
        <v>223</v>
      </c>
      <c r="J120" s="41" t="s">
        <v>601</v>
      </c>
      <c r="K120" s="41" t="s">
        <v>602</v>
      </c>
      <c r="L120" s="40" t="s">
        <v>603</v>
      </c>
      <c r="O120" s="40" t="s">
        <v>104</v>
      </c>
      <c r="P120" s="41" t="s">
        <v>104</v>
      </c>
      <c r="Q120" s="41" t="s">
        <v>104</v>
      </c>
      <c r="R120" s="41" t="s">
        <v>104</v>
      </c>
      <c r="S120" s="40" t="s">
        <v>169</v>
      </c>
      <c r="U120" s="41" t="s">
        <v>104</v>
      </c>
      <c r="V120" s="41" t="s">
        <v>104</v>
      </c>
      <c r="W120" s="41" t="s">
        <v>104</v>
      </c>
      <c r="X120" s="41" t="s">
        <v>104</v>
      </c>
      <c r="Y120" s="40" t="s">
        <v>604</v>
      </c>
      <c r="Z120" s="41" t="s">
        <v>607</v>
      </c>
      <c r="AA120" s="41" t="s">
        <v>117</v>
      </c>
      <c r="AB120" s="41" t="s">
        <v>699</v>
      </c>
      <c r="AC120" s="40" t="s">
        <v>604</v>
      </c>
      <c r="AD120" s="41" t="s">
        <v>607</v>
      </c>
      <c r="AE120" s="41" t="s">
        <v>117</v>
      </c>
      <c r="AF120" s="41">
        <v>512</v>
      </c>
      <c r="AG120" s="41" t="s">
        <v>138</v>
      </c>
      <c r="AH120" s="41" t="s">
        <v>169</v>
      </c>
      <c r="AI120" s="41">
        <v>1</v>
      </c>
      <c r="AJ120" s="41">
        <v>1</v>
      </c>
      <c r="AK120" s="41">
        <v>0</v>
      </c>
      <c r="AL120" s="42">
        <v>0</v>
      </c>
      <c r="AM120" s="41" t="s">
        <v>144</v>
      </c>
      <c r="AN120" s="42">
        <v>0</v>
      </c>
      <c r="AO120" s="41" t="s">
        <v>104</v>
      </c>
      <c r="AP120" s="41" t="s">
        <v>541</v>
      </c>
      <c r="AQ120" s="41" t="s">
        <v>104</v>
      </c>
      <c r="AR120" s="41" t="s">
        <v>165</v>
      </c>
      <c r="AS120" s="41" t="s">
        <v>169</v>
      </c>
      <c r="AT120" s="41" t="s">
        <v>104</v>
      </c>
      <c r="AU120" s="41" t="s">
        <v>173</v>
      </c>
      <c r="AW120" s="41" t="s">
        <v>170</v>
      </c>
      <c r="AX120" s="41" t="s">
        <v>1551</v>
      </c>
      <c r="AY120" s="41" t="s">
        <v>1987</v>
      </c>
      <c r="AZ120" s="40"/>
      <c r="BA120" s="40"/>
    </row>
    <row r="121" spans="6:53" ht="29" x14ac:dyDescent="0.35">
      <c r="F121" s="40" t="s">
        <v>1084</v>
      </c>
      <c r="G121" s="85" t="s">
        <v>653</v>
      </c>
      <c r="H121" s="40" t="s">
        <v>653</v>
      </c>
      <c r="I121" s="41" t="s">
        <v>223</v>
      </c>
      <c r="J121" s="41" t="s">
        <v>601</v>
      </c>
      <c r="K121" s="41" t="s">
        <v>602</v>
      </c>
      <c r="L121" s="40" t="s">
        <v>603</v>
      </c>
      <c r="O121" s="40" t="s">
        <v>104</v>
      </c>
      <c r="P121" s="41" t="s">
        <v>104</v>
      </c>
      <c r="Q121" s="41" t="s">
        <v>104</v>
      </c>
      <c r="R121" s="41" t="s">
        <v>104</v>
      </c>
      <c r="S121" s="40" t="s">
        <v>169</v>
      </c>
      <c r="U121" s="41" t="s">
        <v>104</v>
      </c>
      <c r="V121" s="41" t="s">
        <v>104</v>
      </c>
      <c r="W121" s="41" t="s">
        <v>104</v>
      </c>
      <c r="X121" s="41" t="s">
        <v>104</v>
      </c>
      <c r="Y121" s="40" t="s">
        <v>604</v>
      </c>
      <c r="Z121" s="41" t="s">
        <v>605</v>
      </c>
      <c r="AA121" s="41" t="s">
        <v>117</v>
      </c>
      <c r="AB121" s="41" t="s">
        <v>683</v>
      </c>
      <c r="AC121" s="40" t="s">
        <v>604</v>
      </c>
      <c r="AD121" s="41" t="s">
        <v>605</v>
      </c>
      <c r="AE121" s="41" t="s">
        <v>117</v>
      </c>
      <c r="AF121" s="41" t="s">
        <v>707</v>
      </c>
      <c r="AG121" s="41" t="s">
        <v>138</v>
      </c>
      <c r="AH121" s="41" t="s">
        <v>169</v>
      </c>
      <c r="AI121" s="41">
        <v>1</v>
      </c>
      <c r="AJ121" s="41">
        <v>1</v>
      </c>
      <c r="AK121" s="41">
        <v>0</v>
      </c>
      <c r="AL121" s="42">
        <v>0</v>
      </c>
      <c r="AM121" s="41" t="s">
        <v>144</v>
      </c>
      <c r="AN121" s="42">
        <v>0</v>
      </c>
      <c r="AO121" s="41" t="s">
        <v>104</v>
      </c>
      <c r="AP121" s="41" t="s">
        <v>541</v>
      </c>
      <c r="AQ121" s="41" t="s">
        <v>104</v>
      </c>
      <c r="AR121" s="41" t="s">
        <v>165</v>
      </c>
      <c r="AS121" s="41" t="s">
        <v>169</v>
      </c>
      <c r="AT121" s="41" t="s">
        <v>104</v>
      </c>
      <c r="AU121" s="41" t="s">
        <v>173</v>
      </c>
      <c r="AW121" s="41" t="s">
        <v>170</v>
      </c>
      <c r="AX121" s="41" t="s">
        <v>1520</v>
      </c>
      <c r="AY121" s="41" t="s">
        <v>1956</v>
      </c>
      <c r="AZ121" s="40"/>
      <c r="BA121" s="40"/>
    </row>
    <row r="122" spans="6:53" ht="29" x14ac:dyDescent="0.35">
      <c r="F122" s="40" t="s">
        <v>1092</v>
      </c>
      <c r="G122" s="85" t="s">
        <v>653</v>
      </c>
      <c r="H122" s="40" t="s">
        <v>653</v>
      </c>
      <c r="I122" s="41" t="s">
        <v>223</v>
      </c>
      <c r="J122" s="41" t="s">
        <v>601</v>
      </c>
      <c r="K122" s="41" t="s">
        <v>602</v>
      </c>
      <c r="L122" s="40" t="s">
        <v>603</v>
      </c>
      <c r="O122" s="40" t="s">
        <v>104</v>
      </c>
      <c r="P122" s="41" t="s">
        <v>104</v>
      </c>
      <c r="Q122" s="41" t="s">
        <v>104</v>
      </c>
      <c r="R122" s="41" t="s">
        <v>104</v>
      </c>
      <c r="S122" s="40" t="s">
        <v>169</v>
      </c>
      <c r="U122" s="41" t="s">
        <v>104</v>
      </c>
      <c r="V122" s="41" t="s">
        <v>104</v>
      </c>
      <c r="W122" s="41" t="s">
        <v>104</v>
      </c>
      <c r="X122" s="41" t="s">
        <v>104</v>
      </c>
      <c r="Y122" s="40" t="s">
        <v>604</v>
      </c>
      <c r="Z122" s="41" t="s">
        <v>605</v>
      </c>
      <c r="AA122" s="41" t="s">
        <v>117</v>
      </c>
      <c r="AB122" s="41" t="s">
        <v>691</v>
      </c>
      <c r="AC122" s="40" t="s">
        <v>604</v>
      </c>
      <c r="AD122" s="41" t="s">
        <v>605</v>
      </c>
      <c r="AE122" s="41" t="s">
        <v>117</v>
      </c>
      <c r="AF122" s="41" t="s">
        <v>692</v>
      </c>
      <c r="AG122" s="41" t="s">
        <v>138</v>
      </c>
      <c r="AH122" s="41" t="s">
        <v>169</v>
      </c>
      <c r="AI122" s="41">
        <v>1</v>
      </c>
      <c r="AJ122" s="41">
        <v>1</v>
      </c>
      <c r="AK122" s="41">
        <v>0</v>
      </c>
      <c r="AL122" s="42">
        <v>0</v>
      </c>
      <c r="AM122" s="41" t="s">
        <v>144</v>
      </c>
      <c r="AN122" s="42">
        <v>0</v>
      </c>
      <c r="AO122" s="41" t="s">
        <v>104</v>
      </c>
      <c r="AP122" s="41" t="s">
        <v>541</v>
      </c>
      <c r="AQ122" s="41" t="s">
        <v>104</v>
      </c>
      <c r="AR122" s="41" t="s">
        <v>165</v>
      </c>
      <c r="AS122" s="41" t="s">
        <v>169</v>
      </c>
      <c r="AT122" s="41" t="s">
        <v>104</v>
      </c>
      <c r="AU122" s="41" t="s">
        <v>173</v>
      </c>
      <c r="AW122" s="41" t="s">
        <v>170</v>
      </c>
      <c r="AX122" s="41" t="s">
        <v>1528</v>
      </c>
      <c r="AY122" s="41" t="s">
        <v>1964</v>
      </c>
      <c r="AZ122" s="40"/>
      <c r="BA122" s="40"/>
    </row>
    <row r="123" spans="6:53" ht="29" x14ac:dyDescent="0.35">
      <c r="F123" s="40" t="s">
        <v>1118</v>
      </c>
      <c r="G123" s="85" t="s">
        <v>664</v>
      </c>
      <c r="H123" s="40" t="s">
        <v>664</v>
      </c>
      <c r="I123" s="41" t="s">
        <v>223</v>
      </c>
      <c r="J123" s="41" t="s">
        <v>601</v>
      </c>
      <c r="K123" s="41" t="s">
        <v>602</v>
      </c>
      <c r="L123" s="40" t="s">
        <v>603</v>
      </c>
      <c r="O123" s="40" t="s">
        <v>104</v>
      </c>
      <c r="P123" s="41" t="s">
        <v>104</v>
      </c>
      <c r="Q123" s="41" t="s">
        <v>104</v>
      </c>
      <c r="R123" s="41" t="s">
        <v>104</v>
      </c>
      <c r="S123" s="40" t="s">
        <v>169</v>
      </c>
      <c r="U123" s="41" t="s">
        <v>104</v>
      </c>
      <c r="V123" s="41" t="s">
        <v>104</v>
      </c>
      <c r="W123" s="41" t="s">
        <v>104</v>
      </c>
      <c r="X123" s="41" t="s">
        <v>104</v>
      </c>
      <c r="Y123" s="40" t="s">
        <v>604</v>
      </c>
      <c r="Z123" s="41" t="s">
        <v>605</v>
      </c>
      <c r="AA123" s="41" t="s">
        <v>117</v>
      </c>
      <c r="AB123" s="41" t="s">
        <v>699</v>
      </c>
      <c r="AC123" s="40" t="s">
        <v>604</v>
      </c>
      <c r="AD123" s="41" t="s">
        <v>607</v>
      </c>
      <c r="AE123" s="41" t="s">
        <v>117</v>
      </c>
      <c r="AF123" s="41" t="s">
        <v>700</v>
      </c>
      <c r="AG123" s="41" t="s">
        <v>138</v>
      </c>
      <c r="AH123" s="41" t="s">
        <v>169</v>
      </c>
      <c r="AI123" s="41">
        <v>1</v>
      </c>
      <c r="AJ123" s="41">
        <v>1</v>
      </c>
      <c r="AK123" s="41">
        <v>0</v>
      </c>
      <c r="AL123" s="42">
        <v>0</v>
      </c>
      <c r="AM123" s="41" t="s">
        <v>144</v>
      </c>
      <c r="AN123" s="42">
        <v>0</v>
      </c>
      <c r="AO123" s="41" t="s">
        <v>104</v>
      </c>
      <c r="AP123" s="41" t="s">
        <v>541</v>
      </c>
      <c r="AQ123" s="41" t="s">
        <v>104</v>
      </c>
      <c r="AR123" s="41" t="s">
        <v>165</v>
      </c>
      <c r="AS123" s="41" t="s">
        <v>169</v>
      </c>
      <c r="AT123" s="41" t="s">
        <v>104</v>
      </c>
      <c r="AU123" s="41" t="s">
        <v>173</v>
      </c>
      <c r="AW123" s="41" t="s">
        <v>170</v>
      </c>
      <c r="AX123" s="41" t="s">
        <v>1554</v>
      </c>
      <c r="AY123" s="41" t="s">
        <v>1990</v>
      </c>
      <c r="AZ123" s="40"/>
      <c r="BA123" s="40"/>
    </row>
    <row r="124" spans="6:53" ht="29" x14ac:dyDescent="0.35">
      <c r="F124" s="40" t="s">
        <v>1098</v>
      </c>
      <c r="G124" s="85" t="s">
        <v>653</v>
      </c>
      <c r="H124" s="40" t="s">
        <v>653</v>
      </c>
      <c r="I124" s="41" t="s">
        <v>223</v>
      </c>
      <c r="J124" s="41" t="s">
        <v>601</v>
      </c>
      <c r="K124" s="41" t="s">
        <v>602</v>
      </c>
      <c r="L124" s="40" t="s">
        <v>603</v>
      </c>
      <c r="O124" s="40" t="s">
        <v>104</v>
      </c>
      <c r="P124" s="41" t="s">
        <v>104</v>
      </c>
      <c r="Q124" s="41" t="s">
        <v>104</v>
      </c>
      <c r="R124" s="41" t="s">
        <v>104</v>
      </c>
      <c r="S124" s="40" t="s">
        <v>169</v>
      </c>
      <c r="U124" s="41" t="s">
        <v>104</v>
      </c>
      <c r="V124" s="41" t="s">
        <v>104</v>
      </c>
      <c r="W124" s="41" t="s">
        <v>104</v>
      </c>
      <c r="X124" s="41" t="s">
        <v>104</v>
      </c>
      <c r="Y124" s="40" t="s">
        <v>604</v>
      </c>
      <c r="Z124" s="41" t="s">
        <v>605</v>
      </c>
      <c r="AA124" s="41" t="s">
        <v>117</v>
      </c>
      <c r="AB124" s="41" t="s">
        <v>695</v>
      </c>
      <c r="AC124" s="40" t="s">
        <v>604</v>
      </c>
      <c r="AD124" s="41" t="s">
        <v>605</v>
      </c>
      <c r="AE124" s="41" t="s">
        <v>117</v>
      </c>
      <c r="AF124" s="41" t="s">
        <v>696</v>
      </c>
      <c r="AG124" s="41" t="s">
        <v>138</v>
      </c>
      <c r="AH124" s="41" t="s">
        <v>169</v>
      </c>
      <c r="AI124" s="41">
        <v>1</v>
      </c>
      <c r="AJ124" s="41">
        <v>1</v>
      </c>
      <c r="AK124" s="41">
        <v>0</v>
      </c>
      <c r="AL124" s="42">
        <v>0</v>
      </c>
      <c r="AM124" s="41" t="s">
        <v>144</v>
      </c>
      <c r="AN124" s="42">
        <v>0</v>
      </c>
      <c r="AO124" s="41" t="s">
        <v>104</v>
      </c>
      <c r="AP124" s="41" t="s">
        <v>541</v>
      </c>
      <c r="AQ124" s="41" t="s">
        <v>104</v>
      </c>
      <c r="AR124" s="41" t="s">
        <v>165</v>
      </c>
      <c r="AS124" s="41" t="s">
        <v>169</v>
      </c>
      <c r="AT124" s="41" t="s">
        <v>104</v>
      </c>
      <c r="AU124" s="41" t="s">
        <v>173</v>
      </c>
      <c r="AW124" s="41" t="s">
        <v>170</v>
      </c>
      <c r="AX124" s="41" t="s">
        <v>1534</v>
      </c>
      <c r="AY124" s="41" t="s">
        <v>1970</v>
      </c>
      <c r="AZ124" s="40"/>
      <c r="BA124" s="40"/>
    </row>
    <row r="125" spans="6:53" ht="29" x14ac:dyDescent="0.35">
      <c r="F125" s="40" t="s">
        <v>1120</v>
      </c>
      <c r="G125" s="85" t="s">
        <v>678</v>
      </c>
      <c r="H125" s="40" t="s">
        <v>678</v>
      </c>
      <c r="I125" s="41" t="s">
        <v>223</v>
      </c>
      <c r="J125" s="41" t="s">
        <v>601</v>
      </c>
      <c r="K125" s="41" t="s">
        <v>602</v>
      </c>
      <c r="L125" s="40" t="s">
        <v>603</v>
      </c>
      <c r="O125" s="40" t="s">
        <v>104</v>
      </c>
      <c r="P125" s="41" t="s">
        <v>104</v>
      </c>
      <c r="Q125" s="41" t="s">
        <v>104</v>
      </c>
      <c r="R125" s="41" t="s">
        <v>104</v>
      </c>
      <c r="S125" s="40" t="s">
        <v>169</v>
      </c>
      <c r="U125" s="41" t="s">
        <v>104</v>
      </c>
      <c r="V125" s="41" t="s">
        <v>104</v>
      </c>
      <c r="W125" s="41" t="s">
        <v>104</v>
      </c>
      <c r="X125" s="41" t="s">
        <v>104</v>
      </c>
      <c r="Y125" s="40" t="s">
        <v>604</v>
      </c>
      <c r="Z125" s="41" t="s">
        <v>605</v>
      </c>
      <c r="AA125" s="41" t="s">
        <v>117</v>
      </c>
      <c r="AB125" s="41" t="s">
        <v>699</v>
      </c>
      <c r="AC125" s="40" t="s">
        <v>604</v>
      </c>
      <c r="AD125" s="41" t="s">
        <v>607</v>
      </c>
      <c r="AE125" s="41" t="s">
        <v>117</v>
      </c>
      <c r="AF125" s="41" t="s">
        <v>700</v>
      </c>
      <c r="AG125" s="41" t="s">
        <v>138</v>
      </c>
      <c r="AH125" s="41" t="s">
        <v>169</v>
      </c>
      <c r="AI125" s="41">
        <v>1</v>
      </c>
      <c r="AJ125" s="41">
        <v>1</v>
      </c>
      <c r="AK125" s="41">
        <v>0</v>
      </c>
      <c r="AL125" s="42">
        <v>0</v>
      </c>
      <c r="AM125" s="41" t="s">
        <v>144</v>
      </c>
      <c r="AN125" s="42">
        <v>0</v>
      </c>
      <c r="AO125" s="41" t="s">
        <v>104</v>
      </c>
      <c r="AP125" s="41" t="s">
        <v>541</v>
      </c>
      <c r="AQ125" s="41" t="s">
        <v>104</v>
      </c>
      <c r="AR125" s="41" t="s">
        <v>165</v>
      </c>
      <c r="AS125" s="41" t="s">
        <v>169</v>
      </c>
      <c r="AT125" s="41" t="s">
        <v>104</v>
      </c>
      <c r="AU125" s="41" t="s">
        <v>173</v>
      </c>
      <c r="AW125" s="41" t="s">
        <v>170</v>
      </c>
      <c r="AX125" s="41" t="s">
        <v>1556</v>
      </c>
      <c r="AY125" s="41" t="s">
        <v>1992</v>
      </c>
      <c r="AZ125" s="40"/>
      <c r="BA125" s="40"/>
    </row>
    <row r="126" spans="6:53" ht="29" x14ac:dyDescent="0.35">
      <c r="F126" s="40" t="s">
        <v>1121</v>
      </c>
      <c r="G126" s="85" t="s">
        <v>656</v>
      </c>
      <c r="H126" s="40" t="s">
        <v>656</v>
      </c>
      <c r="I126" s="41" t="s">
        <v>223</v>
      </c>
      <c r="J126" s="41" t="s">
        <v>601</v>
      </c>
      <c r="K126" s="41" t="s">
        <v>602</v>
      </c>
      <c r="L126" s="40" t="s">
        <v>603</v>
      </c>
      <c r="O126" s="40" t="s">
        <v>104</v>
      </c>
      <c r="P126" s="41" t="s">
        <v>104</v>
      </c>
      <c r="Q126" s="41" t="s">
        <v>104</v>
      </c>
      <c r="R126" s="41" t="s">
        <v>104</v>
      </c>
      <c r="S126" s="40" t="s">
        <v>169</v>
      </c>
      <c r="U126" s="41" t="s">
        <v>104</v>
      </c>
      <c r="V126" s="41" t="s">
        <v>104</v>
      </c>
      <c r="W126" s="41" t="s">
        <v>104</v>
      </c>
      <c r="X126" s="41" t="s">
        <v>104</v>
      </c>
      <c r="Y126" s="40" t="s">
        <v>604</v>
      </c>
      <c r="Z126" s="41" t="s">
        <v>605</v>
      </c>
      <c r="AA126" s="41" t="s">
        <v>117</v>
      </c>
      <c r="AB126" s="41" t="s">
        <v>699</v>
      </c>
      <c r="AC126" s="40" t="s">
        <v>604</v>
      </c>
      <c r="AD126" s="41" t="s">
        <v>607</v>
      </c>
      <c r="AE126" s="41" t="s">
        <v>117</v>
      </c>
      <c r="AF126" s="41" t="s">
        <v>700</v>
      </c>
      <c r="AG126" s="41" t="s">
        <v>138</v>
      </c>
      <c r="AH126" s="41" t="s">
        <v>169</v>
      </c>
      <c r="AI126" s="41">
        <v>1</v>
      </c>
      <c r="AJ126" s="41">
        <v>1</v>
      </c>
      <c r="AK126" s="41">
        <v>0</v>
      </c>
      <c r="AL126" s="42">
        <v>0</v>
      </c>
      <c r="AM126" s="41" t="s">
        <v>144</v>
      </c>
      <c r="AN126" s="42">
        <v>0</v>
      </c>
      <c r="AO126" s="41" t="s">
        <v>104</v>
      </c>
      <c r="AP126" s="41" t="s">
        <v>541</v>
      </c>
      <c r="AQ126" s="41" t="s">
        <v>104</v>
      </c>
      <c r="AR126" s="41" t="s">
        <v>165</v>
      </c>
      <c r="AS126" s="41" t="s">
        <v>169</v>
      </c>
      <c r="AT126" s="41" t="s">
        <v>104</v>
      </c>
      <c r="AU126" s="41" t="s">
        <v>173</v>
      </c>
      <c r="AW126" s="41" t="s">
        <v>170</v>
      </c>
      <c r="AX126" s="41" t="s">
        <v>1557</v>
      </c>
      <c r="AY126" s="41" t="s">
        <v>1993</v>
      </c>
      <c r="AZ126" s="40"/>
      <c r="BA126" s="40"/>
    </row>
    <row r="127" spans="6:53" ht="29" x14ac:dyDescent="0.35">
      <c r="F127" s="40" t="s">
        <v>1122</v>
      </c>
      <c r="G127" s="85" t="s">
        <v>654</v>
      </c>
      <c r="H127" s="40" t="s">
        <v>654</v>
      </c>
      <c r="I127" s="41" t="s">
        <v>223</v>
      </c>
      <c r="J127" s="41" t="s">
        <v>601</v>
      </c>
      <c r="K127" s="41" t="s">
        <v>602</v>
      </c>
      <c r="L127" s="40" t="s">
        <v>603</v>
      </c>
      <c r="O127" s="40" t="s">
        <v>104</v>
      </c>
      <c r="P127" s="41" t="s">
        <v>104</v>
      </c>
      <c r="Q127" s="41" t="s">
        <v>104</v>
      </c>
      <c r="R127" s="41" t="s">
        <v>104</v>
      </c>
      <c r="S127" s="40" t="s">
        <v>169</v>
      </c>
      <c r="U127" s="41" t="s">
        <v>104</v>
      </c>
      <c r="V127" s="41" t="s">
        <v>104</v>
      </c>
      <c r="W127" s="41" t="s">
        <v>104</v>
      </c>
      <c r="X127" s="41" t="s">
        <v>104</v>
      </c>
      <c r="Y127" s="40" t="s">
        <v>604</v>
      </c>
      <c r="Z127" s="41" t="s">
        <v>605</v>
      </c>
      <c r="AA127" s="41" t="s">
        <v>117</v>
      </c>
      <c r="AB127" s="41" t="s">
        <v>699</v>
      </c>
      <c r="AC127" s="40" t="s">
        <v>604</v>
      </c>
      <c r="AD127" s="41" t="s">
        <v>607</v>
      </c>
      <c r="AE127" s="41" t="s">
        <v>117</v>
      </c>
      <c r="AF127" s="41" t="s">
        <v>700</v>
      </c>
      <c r="AG127" s="41" t="s">
        <v>138</v>
      </c>
      <c r="AH127" s="41" t="s">
        <v>169</v>
      </c>
      <c r="AI127" s="41">
        <v>1</v>
      </c>
      <c r="AJ127" s="41">
        <v>1</v>
      </c>
      <c r="AK127" s="41">
        <v>0</v>
      </c>
      <c r="AL127" s="42">
        <v>0</v>
      </c>
      <c r="AM127" s="41" t="s">
        <v>144</v>
      </c>
      <c r="AN127" s="42">
        <v>0</v>
      </c>
      <c r="AO127" s="41" t="s">
        <v>104</v>
      </c>
      <c r="AP127" s="41" t="s">
        <v>541</v>
      </c>
      <c r="AQ127" s="41" t="s">
        <v>104</v>
      </c>
      <c r="AR127" s="41" t="s">
        <v>165</v>
      </c>
      <c r="AS127" s="41" t="s">
        <v>169</v>
      </c>
      <c r="AT127" s="41" t="s">
        <v>104</v>
      </c>
      <c r="AU127" s="41" t="s">
        <v>173</v>
      </c>
      <c r="AW127" s="41" t="s">
        <v>170</v>
      </c>
      <c r="AX127" s="41" t="s">
        <v>1558</v>
      </c>
      <c r="AY127" s="41" t="s">
        <v>1994</v>
      </c>
      <c r="AZ127" s="40"/>
      <c r="BA127" s="40"/>
    </row>
    <row r="128" spans="6:53" ht="29" x14ac:dyDescent="0.35">
      <c r="F128" s="40" t="s">
        <v>1123</v>
      </c>
      <c r="G128" s="85" t="s">
        <v>654</v>
      </c>
      <c r="H128" s="40" t="s">
        <v>654</v>
      </c>
      <c r="I128" s="41" t="s">
        <v>223</v>
      </c>
      <c r="J128" s="41" t="s">
        <v>601</v>
      </c>
      <c r="K128" s="41" t="s">
        <v>602</v>
      </c>
      <c r="L128" s="40" t="s">
        <v>603</v>
      </c>
      <c r="O128" s="40" t="s">
        <v>104</v>
      </c>
      <c r="P128" s="41" t="s">
        <v>104</v>
      </c>
      <c r="Q128" s="41" t="s">
        <v>104</v>
      </c>
      <c r="R128" s="41" t="s">
        <v>104</v>
      </c>
      <c r="S128" s="40" t="s">
        <v>169</v>
      </c>
      <c r="U128" s="41" t="s">
        <v>104</v>
      </c>
      <c r="V128" s="41" t="s">
        <v>104</v>
      </c>
      <c r="W128" s="41" t="s">
        <v>104</v>
      </c>
      <c r="X128" s="41" t="s">
        <v>104</v>
      </c>
      <c r="Y128" s="40" t="s">
        <v>604</v>
      </c>
      <c r="Z128" s="41" t="s">
        <v>605</v>
      </c>
      <c r="AA128" s="41" t="s">
        <v>117</v>
      </c>
      <c r="AB128" s="41" t="s">
        <v>699</v>
      </c>
      <c r="AC128" s="40" t="s">
        <v>604</v>
      </c>
      <c r="AD128" s="41" t="s">
        <v>607</v>
      </c>
      <c r="AE128" s="41" t="s">
        <v>117</v>
      </c>
      <c r="AF128" s="41" t="s">
        <v>700</v>
      </c>
      <c r="AG128" s="41" t="s">
        <v>138</v>
      </c>
      <c r="AH128" s="41" t="s">
        <v>169</v>
      </c>
      <c r="AI128" s="41">
        <v>1</v>
      </c>
      <c r="AJ128" s="41">
        <v>1</v>
      </c>
      <c r="AK128" s="41">
        <v>0</v>
      </c>
      <c r="AL128" s="42">
        <v>0</v>
      </c>
      <c r="AM128" s="41" t="s">
        <v>144</v>
      </c>
      <c r="AN128" s="42">
        <v>0</v>
      </c>
      <c r="AO128" s="41" t="s">
        <v>104</v>
      </c>
      <c r="AP128" s="41" t="s">
        <v>541</v>
      </c>
      <c r="AQ128" s="41" t="s">
        <v>104</v>
      </c>
      <c r="AR128" s="41" t="s">
        <v>165</v>
      </c>
      <c r="AS128" s="41" t="s">
        <v>169</v>
      </c>
      <c r="AT128" s="41" t="s">
        <v>104</v>
      </c>
      <c r="AU128" s="41" t="s">
        <v>173</v>
      </c>
      <c r="AW128" s="41" t="s">
        <v>170</v>
      </c>
      <c r="AX128" s="41" t="s">
        <v>1559</v>
      </c>
      <c r="AY128" s="41" t="s">
        <v>1995</v>
      </c>
      <c r="AZ128" s="40"/>
      <c r="BA128" s="40"/>
    </row>
    <row r="129" spans="6:53" ht="29" x14ac:dyDescent="0.35">
      <c r="F129" s="40" t="s">
        <v>1124</v>
      </c>
      <c r="G129" s="85" t="s">
        <v>628</v>
      </c>
      <c r="H129" s="40" t="s">
        <v>628</v>
      </c>
      <c r="I129" s="41" t="s">
        <v>223</v>
      </c>
      <c r="J129" s="41" t="s">
        <v>601</v>
      </c>
      <c r="K129" s="41" t="s">
        <v>602</v>
      </c>
      <c r="L129" s="40" t="s">
        <v>603</v>
      </c>
      <c r="O129" s="40" t="s">
        <v>104</v>
      </c>
      <c r="P129" s="41" t="s">
        <v>104</v>
      </c>
      <c r="Q129" s="41" t="s">
        <v>104</v>
      </c>
      <c r="R129" s="41" t="s">
        <v>104</v>
      </c>
      <c r="S129" s="40" t="s">
        <v>169</v>
      </c>
      <c r="T129" s="41" t="s">
        <v>702</v>
      </c>
      <c r="U129" s="41" t="s">
        <v>104</v>
      </c>
      <c r="V129" s="41" t="s">
        <v>104</v>
      </c>
      <c r="W129" s="41" t="s">
        <v>104</v>
      </c>
      <c r="X129" s="41" t="s">
        <v>115</v>
      </c>
      <c r="Y129" s="40" t="s">
        <v>604</v>
      </c>
      <c r="Z129" s="41" t="s">
        <v>605</v>
      </c>
      <c r="AA129" s="41" t="s">
        <v>117</v>
      </c>
      <c r="AB129" s="41" t="s">
        <v>699</v>
      </c>
      <c r="AC129" s="40" t="s">
        <v>604</v>
      </c>
      <c r="AD129" s="41" t="s">
        <v>607</v>
      </c>
      <c r="AE129" s="41" t="s">
        <v>117</v>
      </c>
      <c r="AF129" s="41" t="s">
        <v>700</v>
      </c>
      <c r="AG129" s="41" t="s">
        <v>138</v>
      </c>
      <c r="AH129" s="41" t="s">
        <v>169</v>
      </c>
      <c r="AI129" s="41">
        <v>1</v>
      </c>
      <c r="AJ129" s="41">
        <v>1</v>
      </c>
      <c r="AK129" s="41">
        <v>0</v>
      </c>
      <c r="AL129" s="42">
        <v>0</v>
      </c>
      <c r="AM129" s="41" t="s">
        <v>144</v>
      </c>
      <c r="AN129" s="42">
        <v>0</v>
      </c>
      <c r="AO129" s="41" t="s">
        <v>104</v>
      </c>
      <c r="AP129" s="41" t="s">
        <v>541</v>
      </c>
      <c r="AQ129" s="41" t="s">
        <v>104</v>
      </c>
      <c r="AR129" s="41" t="s">
        <v>165</v>
      </c>
      <c r="AS129" s="41" t="s">
        <v>169</v>
      </c>
      <c r="AT129" s="41" t="s">
        <v>104</v>
      </c>
      <c r="AU129" s="41" t="s">
        <v>173</v>
      </c>
      <c r="AW129" s="41" t="s">
        <v>170</v>
      </c>
      <c r="AX129" s="41" t="s">
        <v>1560</v>
      </c>
      <c r="AY129" s="41" t="s">
        <v>1996</v>
      </c>
      <c r="AZ129" s="40"/>
      <c r="BA129" s="40"/>
    </row>
    <row r="130" spans="6:53" ht="29" x14ac:dyDescent="0.35">
      <c r="F130" s="40" t="s">
        <v>1125</v>
      </c>
      <c r="G130" s="85" t="s">
        <v>703</v>
      </c>
      <c r="H130" s="40" t="s">
        <v>703</v>
      </c>
      <c r="I130" s="41" t="s">
        <v>223</v>
      </c>
      <c r="J130" s="41" t="s">
        <v>601</v>
      </c>
      <c r="K130" s="41" t="s">
        <v>602</v>
      </c>
      <c r="L130" s="40" t="s">
        <v>603</v>
      </c>
      <c r="O130" s="40" t="s">
        <v>104</v>
      </c>
      <c r="P130" s="41" t="s">
        <v>104</v>
      </c>
      <c r="Q130" s="41" t="s">
        <v>104</v>
      </c>
      <c r="R130" s="41" t="s">
        <v>104</v>
      </c>
      <c r="S130" s="40" t="s">
        <v>169</v>
      </c>
      <c r="T130" s="41" t="s">
        <v>704</v>
      </c>
      <c r="U130" s="41" t="s">
        <v>104</v>
      </c>
      <c r="V130" s="41" t="s">
        <v>104</v>
      </c>
      <c r="W130" s="41" t="s">
        <v>104</v>
      </c>
      <c r="X130" s="41" t="s">
        <v>104</v>
      </c>
      <c r="Y130" s="40" t="s">
        <v>604</v>
      </c>
      <c r="Z130" s="41" t="s">
        <v>605</v>
      </c>
      <c r="AA130" s="41" t="s">
        <v>117</v>
      </c>
      <c r="AB130" s="41" t="s">
        <v>699</v>
      </c>
      <c r="AC130" s="40" t="s">
        <v>604</v>
      </c>
      <c r="AD130" s="41" t="s">
        <v>605</v>
      </c>
      <c r="AE130" s="41" t="s">
        <v>117</v>
      </c>
      <c r="AF130" s="41" t="s">
        <v>699</v>
      </c>
      <c r="AG130" s="41" t="s">
        <v>138</v>
      </c>
      <c r="AH130" s="41" t="s">
        <v>169</v>
      </c>
      <c r="AI130" s="41">
        <v>1</v>
      </c>
      <c r="AJ130" s="41">
        <v>1</v>
      </c>
      <c r="AK130" s="41">
        <v>0</v>
      </c>
      <c r="AL130" s="42">
        <v>0</v>
      </c>
      <c r="AM130" s="41" t="s">
        <v>144</v>
      </c>
      <c r="AN130" s="42">
        <v>0</v>
      </c>
      <c r="AO130" s="41" t="s">
        <v>104</v>
      </c>
      <c r="AP130" s="41" t="s">
        <v>541</v>
      </c>
      <c r="AQ130" s="41" t="s">
        <v>104</v>
      </c>
      <c r="AR130" s="41" t="s">
        <v>165</v>
      </c>
      <c r="AS130" s="41" t="s">
        <v>169</v>
      </c>
      <c r="AT130" s="41" t="s">
        <v>104</v>
      </c>
      <c r="AU130" s="41" t="s">
        <v>173</v>
      </c>
      <c r="AW130" s="41" t="s">
        <v>170</v>
      </c>
      <c r="AX130" s="41" t="s">
        <v>1561</v>
      </c>
      <c r="AY130" s="41" t="s">
        <v>1997</v>
      </c>
      <c r="AZ130" s="40"/>
      <c r="BA130" s="40"/>
    </row>
    <row r="131" spans="6:53" ht="29" x14ac:dyDescent="0.35">
      <c r="F131" s="40" t="s">
        <v>1126</v>
      </c>
      <c r="G131" s="85" t="s">
        <v>658</v>
      </c>
      <c r="H131" s="40" t="s">
        <v>658</v>
      </c>
      <c r="I131" s="41" t="s">
        <v>223</v>
      </c>
      <c r="J131" s="41" t="s">
        <v>601</v>
      </c>
      <c r="K131" s="41" t="s">
        <v>602</v>
      </c>
      <c r="L131" s="40" t="s">
        <v>603</v>
      </c>
      <c r="O131" s="40" t="s">
        <v>104</v>
      </c>
      <c r="P131" s="41" t="s">
        <v>104</v>
      </c>
      <c r="Q131" s="41" t="s">
        <v>104</v>
      </c>
      <c r="R131" s="41" t="s">
        <v>104</v>
      </c>
      <c r="S131" s="40" t="s">
        <v>169</v>
      </c>
      <c r="T131" s="41" t="s">
        <v>614</v>
      </c>
      <c r="U131" s="41" t="s">
        <v>104</v>
      </c>
      <c r="V131" s="41" t="s">
        <v>107</v>
      </c>
      <c r="W131" s="41" t="s">
        <v>112</v>
      </c>
      <c r="X131" s="41" t="s">
        <v>104</v>
      </c>
      <c r="Y131" s="40" t="s">
        <v>604</v>
      </c>
      <c r="Z131" s="41" t="s">
        <v>605</v>
      </c>
      <c r="AA131" s="41" t="s">
        <v>117</v>
      </c>
      <c r="AB131" s="41" t="s">
        <v>705</v>
      </c>
      <c r="AC131" s="40" t="s">
        <v>604</v>
      </c>
      <c r="AD131" s="41" t="s">
        <v>607</v>
      </c>
      <c r="AE131" s="41" t="s">
        <v>117</v>
      </c>
      <c r="AF131" s="41" t="s">
        <v>706</v>
      </c>
      <c r="AG131" s="41" t="s">
        <v>138</v>
      </c>
      <c r="AH131" s="41" t="s">
        <v>169</v>
      </c>
      <c r="AI131" s="41">
        <v>1</v>
      </c>
      <c r="AJ131" s="41">
        <v>1</v>
      </c>
      <c r="AK131" s="41">
        <v>0</v>
      </c>
      <c r="AL131" s="42">
        <v>0</v>
      </c>
      <c r="AM131" s="41" t="s">
        <v>144</v>
      </c>
      <c r="AN131" s="42">
        <v>0</v>
      </c>
      <c r="AO131" s="41" t="s">
        <v>104</v>
      </c>
      <c r="AP131" s="41" t="s">
        <v>541</v>
      </c>
      <c r="AQ131" s="41" t="s">
        <v>104</v>
      </c>
      <c r="AR131" s="41" t="s">
        <v>165</v>
      </c>
      <c r="AS131" s="41" t="s">
        <v>169</v>
      </c>
      <c r="AT131" s="41" t="s">
        <v>104</v>
      </c>
      <c r="AU131" s="41" t="s">
        <v>173</v>
      </c>
      <c r="AW131" s="41" t="s">
        <v>170</v>
      </c>
      <c r="AX131" s="41" t="s">
        <v>1562</v>
      </c>
      <c r="AY131" s="41" t="s">
        <v>1998</v>
      </c>
      <c r="AZ131" s="40"/>
      <c r="BA131" s="40"/>
    </row>
    <row r="132" spans="6:53" ht="29" x14ac:dyDescent="0.35">
      <c r="F132" s="40" t="s">
        <v>1127</v>
      </c>
      <c r="G132" s="85" t="s">
        <v>694</v>
      </c>
      <c r="H132" s="40" t="s">
        <v>694</v>
      </c>
      <c r="I132" s="41" t="s">
        <v>223</v>
      </c>
      <c r="J132" s="41" t="s">
        <v>601</v>
      </c>
      <c r="K132" s="41" t="s">
        <v>602</v>
      </c>
      <c r="L132" s="40" t="s">
        <v>603</v>
      </c>
      <c r="O132" s="40" t="s">
        <v>104</v>
      </c>
      <c r="P132" s="41" t="s">
        <v>104</v>
      </c>
      <c r="Q132" s="41" t="s">
        <v>104</v>
      </c>
      <c r="R132" s="41" t="s">
        <v>104</v>
      </c>
      <c r="S132" s="40" t="s">
        <v>169</v>
      </c>
      <c r="T132" s="41" t="s">
        <v>686</v>
      </c>
      <c r="U132" s="41" t="s">
        <v>104</v>
      </c>
      <c r="V132" s="41" t="s">
        <v>104</v>
      </c>
      <c r="W132" s="41" t="s">
        <v>104</v>
      </c>
      <c r="X132" s="41" t="s">
        <v>104</v>
      </c>
      <c r="Y132" s="40" t="s">
        <v>604</v>
      </c>
      <c r="Z132" s="41" t="s">
        <v>605</v>
      </c>
      <c r="AA132" s="41" t="s">
        <v>117</v>
      </c>
      <c r="AB132" s="41" t="s">
        <v>705</v>
      </c>
      <c r="AC132" s="40" t="s">
        <v>604</v>
      </c>
      <c r="AD132" s="41" t="s">
        <v>607</v>
      </c>
      <c r="AE132" s="41" t="s">
        <v>117</v>
      </c>
      <c r="AF132" s="41" t="s">
        <v>706</v>
      </c>
      <c r="AG132" s="41" t="s">
        <v>138</v>
      </c>
      <c r="AH132" s="41" t="s">
        <v>169</v>
      </c>
      <c r="AI132" s="41">
        <v>1</v>
      </c>
      <c r="AJ132" s="41">
        <v>1</v>
      </c>
      <c r="AK132" s="41">
        <v>0</v>
      </c>
      <c r="AL132" s="42">
        <v>0</v>
      </c>
      <c r="AM132" s="41" t="s">
        <v>144</v>
      </c>
      <c r="AN132" s="42">
        <v>0</v>
      </c>
      <c r="AO132" s="41" t="s">
        <v>104</v>
      </c>
      <c r="AP132" s="41" t="s">
        <v>541</v>
      </c>
      <c r="AQ132" s="41" t="s">
        <v>104</v>
      </c>
      <c r="AR132" s="41" t="s">
        <v>165</v>
      </c>
      <c r="AS132" s="41" t="s">
        <v>169</v>
      </c>
      <c r="AT132" s="41" t="s">
        <v>104</v>
      </c>
      <c r="AU132" s="41" t="s">
        <v>173</v>
      </c>
      <c r="AW132" s="41" t="s">
        <v>170</v>
      </c>
      <c r="AX132" s="41" t="s">
        <v>1563</v>
      </c>
      <c r="AY132" s="41" t="s">
        <v>1999</v>
      </c>
      <c r="AZ132" s="40"/>
      <c r="BA132" s="40"/>
    </row>
    <row r="133" spans="6:53" ht="29" x14ac:dyDescent="0.35">
      <c r="F133" s="40" t="s">
        <v>1128</v>
      </c>
      <c r="G133" s="85" t="s">
        <v>616</v>
      </c>
      <c r="H133" s="40" t="s">
        <v>616</v>
      </c>
      <c r="I133" s="41" t="s">
        <v>223</v>
      </c>
      <c r="J133" s="41" t="s">
        <v>601</v>
      </c>
      <c r="K133" s="41" t="s">
        <v>602</v>
      </c>
      <c r="L133" s="40" t="s">
        <v>603</v>
      </c>
      <c r="O133" s="40" t="s">
        <v>104</v>
      </c>
      <c r="P133" s="41" t="s">
        <v>104</v>
      </c>
      <c r="Q133" s="41" t="s">
        <v>104</v>
      </c>
      <c r="R133" s="41" t="s">
        <v>104</v>
      </c>
      <c r="S133" s="40" t="s">
        <v>169</v>
      </c>
      <c r="U133" s="41" t="s">
        <v>104</v>
      </c>
      <c r="V133" s="41" t="s">
        <v>104</v>
      </c>
      <c r="W133" s="41" t="s">
        <v>104</v>
      </c>
      <c r="X133" s="41" t="s">
        <v>104</v>
      </c>
      <c r="Y133" s="40" t="s">
        <v>604</v>
      </c>
      <c r="Z133" s="41" t="s">
        <v>605</v>
      </c>
      <c r="AA133" s="41" t="s">
        <v>117</v>
      </c>
      <c r="AB133" s="41" t="s">
        <v>705</v>
      </c>
      <c r="AC133" s="40" t="s">
        <v>604</v>
      </c>
      <c r="AD133" s="41" t="s">
        <v>607</v>
      </c>
      <c r="AE133" s="41" t="s">
        <v>117</v>
      </c>
      <c r="AF133" s="41" t="s">
        <v>706</v>
      </c>
      <c r="AG133" s="41" t="s">
        <v>138</v>
      </c>
      <c r="AH133" s="41" t="s">
        <v>169</v>
      </c>
      <c r="AI133" s="41">
        <v>1</v>
      </c>
      <c r="AJ133" s="41">
        <v>1</v>
      </c>
      <c r="AK133" s="41">
        <v>0</v>
      </c>
      <c r="AL133" s="42">
        <v>0</v>
      </c>
      <c r="AM133" s="41" t="s">
        <v>144</v>
      </c>
      <c r="AN133" s="42">
        <v>0</v>
      </c>
      <c r="AO133" s="41" t="s">
        <v>104</v>
      </c>
      <c r="AP133" s="41" t="s">
        <v>541</v>
      </c>
      <c r="AQ133" s="41" t="s">
        <v>104</v>
      </c>
      <c r="AR133" s="41" t="s">
        <v>165</v>
      </c>
      <c r="AS133" s="41" t="s">
        <v>169</v>
      </c>
      <c r="AT133" s="41" t="s">
        <v>104</v>
      </c>
      <c r="AU133" s="41" t="s">
        <v>173</v>
      </c>
      <c r="AW133" s="41" t="s">
        <v>170</v>
      </c>
      <c r="AX133" s="41" t="s">
        <v>1564</v>
      </c>
      <c r="AY133" s="41" t="s">
        <v>2000</v>
      </c>
      <c r="AZ133" s="40"/>
      <c r="BA133" s="40"/>
    </row>
    <row r="134" spans="6:53" ht="29" x14ac:dyDescent="0.35">
      <c r="F134" s="40" t="s">
        <v>1108</v>
      </c>
      <c r="G134" s="85" t="s">
        <v>653</v>
      </c>
      <c r="H134" s="40" t="s">
        <v>653</v>
      </c>
      <c r="I134" s="41" t="s">
        <v>223</v>
      </c>
      <c r="J134" s="41" t="s">
        <v>601</v>
      </c>
      <c r="K134" s="41" t="s">
        <v>602</v>
      </c>
      <c r="L134" s="40" t="s">
        <v>603</v>
      </c>
      <c r="O134" s="40" t="s">
        <v>104</v>
      </c>
      <c r="P134" s="41" t="s">
        <v>104</v>
      </c>
      <c r="Q134" s="41" t="s">
        <v>104</v>
      </c>
      <c r="R134" s="41" t="s">
        <v>104</v>
      </c>
      <c r="S134" s="40" t="s">
        <v>169</v>
      </c>
      <c r="U134" s="41" t="s">
        <v>104</v>
      </c>
      <c r="V134" s="41" t="s">
        <v>104</v>
      </c>
      <c r="W134" s="41" t="s">
        <v>104</v>
      </c>
      <c r="X134" s="41" t="s">
        <v>104</v>
      </c>
      <c r="Y134" s="40" t="s">
        <v>604</v>
      </c>
      <c r="Z134" s="41" t="s">
        <v>605</v>
      </c>
      <c r="AA134" s="41" t="s">
        <v>117</v>
      </c>
      <c r="AB134" s="41" t="s">
        <v>697</v>
      </c>
      <c r="AC134" s="40" t="s">
        <v>604</v>
      </c>
      <c r="AD134" s="41" t="s">
        <v>605</v>
      </c>
      <c r="AE134" s="41" t="s">
        <v>117</v>
      </c>
      <c r="AF134" s="41" t="s">
        <v>698</v>
      </c>
      <c r="AG134" s="41" t="s">
        <v>138</v>
      </c>
      <c r="AH134" s="41" t="s">
        <v>169</v>
      </c>
      <c r="AI134" s="41">
        <v>1</v>
      </c>
      <c r="AJ134" s="41">
        <v>1</v>
      </c>
      <c r="AK134" s="41">
        <v>0</v>
      </c>
      <c r="AL134" s="42">
        <v>0</v>
      </c>
      <c r="AM134" s="41" t="s">
        <v>144</v>
      </c>
      <c r="AN134" s="42">
        <v>0</v>
      </c>
      <c r="AO134" s="41" t="s">
        <v>104</v>
      </c>
      <c r="AP134" s="41" t="s">
        <v>541</v>
      </c>
      <c r="AQ134" s="41" t="s">
        <v>104</v>
      </c>
      <c r="AR134" s="41" t="s">
        <v>165</v>
      </c>
      <c r="AS134" s="41" t="s">
        <v>169</v>
      </c>
      <c r="AT134" s="41" t="s">
        <v>104</v>
      </c>
      <c r="AU134" s="41" t="s">
        <v>173</v>
      </c>
      <c r="AW134" s="41" t="s">
        <v>170</v>
      </c>
      <c r="AX134" s="41" t="s">
        <v>1544</v>
      </c>
      <c r="AY134" s="41" t="s">
        <v>1980</v>
      </c>
      <c r="AZ134" s="40"/>
      <c r="BA134" s="40"/>
    </row>
    <row r="135" spans="6:53" ht="29" x14ac:dyDescent="0.35">
      <c r="F135" s="40" t="s">
        <v>1130</v>
      </c>
      <c r="G135" s="85" t="s">
        <v>654</v>
      </c>
      <c r="H135" s="40" t="s">
        <v>654</v>
      </c>
      <c r="I135" s="41" t="s">
        <v>223</v>
      </c>
      <c r="J135" s="41" t="s">
        <v>601</v>
      </c>
      <c r="K135" s="41" t="s">
        <v>602</v>
      </c>
      <c r="L135" s="40" t="s">
        <v>603</v>
      </c>
      <c r="O135" s="40" t="s">
        <v>104</v>
      </c>
      <c r="P135" s="41" t="s">
        <v>104</v>
      </c>
      <c r="Q135" s="41" t="s">
        <v>104</v>
      </c>
      <c r="R135" s="41" t="s">
        <v>104</v>
      </c>
      <c r="S135" s="40" t="s">
        <v>169</v>
      </c>
      <c r="U135" s="41" t="s">
        <v>104</v>
      </c>
      <c r="V135" s="41" t="s">
        <v>104</v>
      </c>
      <c r="W135" s="41" t="s">
        <v>104</v>
      </c>
      <c r="X135" s="41" t="s">
        <v>104</v>
      </c>
      <c r="Y135" s="40" t="s">
        <v>604</v>
      </c>
      <c r="Z135" s="41" t="s">
        <v>605</v>
      </c>
      <c r="AA135" s="41" t="s">
        <v>117</v>
      </c>
      <c r="AB135" s="41" t="s">
        <v>705</v>
      </c>
      <c r="AC135" s="40" t="s">
        <v>604</v>
      </c>
      <c r="AD135" s="41" t="s">
        <v>607</v>
      </c>
      <c r="AE135" s="41" t="s">
        <v>117</v>
      </c>
      <c r="AF135" s="41" t="s">
        <v>706</v>
      </c>
      <c r="AG135" s="41" t="s">
        <v>138</v>
      </c>
      <c r="AH135" s="41" t="s">
        <v>169</v>
      </c>
      <c r="AI135" s="41">
        <v>1</v>
      </c>
      <c r="AJ135" s="41">
        <v>1</v>
      </c>
      <c r="AK135" s="41">
        <v>0</v>
      </c>
      <c r="AL135" s="42">
        <v>0</v>
      </c>
      <c r="AM135" s="41" t="s">
        <v>144</v>
      </c>
      <c r="AN135" s="42">
        <v>0</v>
      </c>
      <c r="AO135" s="41" t="s">
        <v>104</v>
      </c>
      <c r="AP135" s="41" t="s">
        <v>541</v>
      </c>
      <c r="AQ135" s="41" t="s">
        <v>104</v>
      </c>
      <c r="AR135" s="41" t="s">
        <v>165</v>
      </c>
      <c r="AS135" s="41" t="s">
        <v>169</v>
      </c>
      <c r="AT135" s="41" t="s">
        <v>104</v>
      </c>
      <c r="AU135" s="41" t="s">
        <v>173</v>
      </c>
      <c r="AW135" s="41" t="s">
        <v>170</v>
      </c>
      <c r="AX135" s="41" t="s">
        <v>1566</v>
      </c>
      <c r="AY135" s="41" t="s">
        <v>2002</v>
      </c>
      <c r="AZ135" s="40"/>
      <c r="BA135" s="40"/>
    </row>
    <row r="136" spans="6:53" ht="29" x14ac:dyDescent="0.35">
      <c r="F136" s="40" t="s">
        <v>1131</v>
      </c>
      <c r="G136" s="85" t="s">
        <v>656</v>
      </c>
      <c r="H136" s="40" t="s">
        <v>656</v>
      </c>
      <c r="I136" s="41" t="s">
        <v>223</v>
      </c>
      <c r="J136" s="41" t="s">
        <v>601</v>
      </c>
      <c r="K136" s="41" t="s">
        <v>602</v>
      </c>
      <c r="L136" s="40" t="s">
        <v>603</v>
      </c>
      <c r="O136" s="40" t="s">
        <v>104</v>
      </c>
      <c r="P136" s="41" t="s">
        <v>104</v>
      </c>
      <c r="Q136" s="41" t="s">
        <v>104</v>
      </c>
      <c r="R136" s="41" t="s">
        <v>104</v>
      </c>
      <c r="S136" s="40" t="s">
        <v>169</v>
      </c>
      <c r="U136" s="41" t="s">
        <v>104</v>
      </c>
      <c r="V136" s="41" t="s">
        <v>104</v>
      </c>
      <c r="W136" s="41" t="s">
        <v>104</v>
      </c>
      <c r="X136" s="41" t="s">
        <v>104</v>
      </c>
      <c r="Y136" s="40" t="s">
        <v>604</v>
      </c>
      <c r="Z136" s="41" t="s">
        <v>605</v>
      </c>
      <c r="AA136" s="41" t="s">
        <v>117</v>
      </c>
      <c r="AB136" s="41" t="s">
        <v>705</v>
      </c>
      <c r="AC136" s="40" t="s">
        <v>604</v>
      </c>
      <c r="AD136" s="41" t="s">
        <v>607</v>
      </c>
      <c r="AE136" s="41" t="s">
        <v>117</v>
      </c>
      <c r="AF136" s="41" t="s">
        <v>706</v>
      </c>
      <c r="AG136" s="41" t="s">
        <v>138</v>
      </c>
      <c r="AH136" s="41" t="s">
        <v>169</v>
      </c>
      <c r="AI136" s="41">
        <v>1</v>
      </c>
      <c r="AJ136" s="41">
        <v>1</v>
      </c>
      <c r="AK136" s="41">
        <v>0</v>
      </c>
      <c r="AL136" s="42">
        <v>0</v>
      </c>
      <c r="AM136" s="41" t="s">
        <v>144</v>
      </c>
      <c r="AN136" s="42">
        <v>0</v>
      </c>
      <c r="AO136" s="41" t="s">
        <v>104</v>
      </c>
      <c r="AP136" s="41" t="s">
        <v>541</v>
      </c>
      <c r="AQ136" s="41" t="s">
        <v>104</v>
      </c>
      <c r="AR136" s="41" t="s">
        <v>165</v>
      </c>
      <c r="AS136" s="41" t="s">
        <v>169</v>
      </c>
      <c r="AT136" s="41" t="s">
        <v>104</v>
      </c>
      <c r="AU136" s="41" t="s">
        <v>173</v>
      </c>
      <c r="AW136" s="41" t="s">
        <v>170</v>
      </c>
      <c r="AX136" s="41" t="s">
        <v>1567</v>
      </c>
      <c r="AY136" s="41" t="s">
        <v>2003</v>
      </c>
      <c r="AZ136" s="40"/>
      <c r="BA136" s="40"/>
    </row>
    <row r="137" spans="6:53" ht="29" x14ac:dyDescent="0.35">
      <c r="F137" s="40" t="s">
        <v>1132</v>
      </c>
      <c r="G137" s="85" t="s">
        <v>678</v>
      </c>
      <c r="H137" s="40" t="s">
        <v>678</v>
      </c>
      <c r="I137" s="41" t="s">
        <v>223</v>
      </c>
      <c r="J137" s="41" t="s">
        <v>601</v>
      </c>
      <c r="K137" s="41" t="s">
        <v>602</v>
      </c>
      <c r="L137" s="40" t="s">
        <v>603</v>
      </c>
      <c r="O137" s="40" t="s">
        <v>104</v>
      </c>
      <c r="P137" s="41" t="s">
        <v>104</v>
      </c>
      <c r="Q137" s="41" t="s">
        <v>104</v>
      </c>
      <c r="R137" s="41" t="s">
        <v>104</v>
      </c>
      <c r="S137" s="40" t="s">
        <v>169</v>
      </c>
      <c r="U137" s="41" t="s">
        <v>104</v>
      </c>
      <c r="V137" s="41" t="s">
        <v>104</v>
      </c>
      <c r="W137" s="41" t="s">
        <v>104</v>
      </c>
      <c r="X137" s="41" t="s">
        <v>104</v>
      </c>
      <c r="Y137" s="40" t="s">
        <v>604</v>
      </c>
      <c r="Z137" s="41" t="s">
        <v>605</v>
      </c>
      <c r="AA137" s="41" t="s">
        <v>117</v>
      </c>
      <c r="AB137" s="41" t="s">
        <v>705</v>
      </c>
      <c r="AC137" s="40" t="s">
        <v>604</v>
      </c>
      <c r="AD137" s="41" t="s">
        <v>607</v>
      </c>
      <c r="AE137" s="41" t="s">
        <v>117</v>
      </c>
      <c r="AF137" s="41" t="s">
        <v>706</v>
      </c>
      <c r="AG137" s="41" t="s">
        <v>138</v>
      </c>
      <c r="AH137" s="41" t="s">
        <v>169</v>
      </c>
      <c r="AI137" s="41">
        <v>1</v>
      </c>
      <c r="AJ137" s="41">
        <v>1</v>
      </c>
      <c r="AK137" s="41">
        <v>0</v>
      </c>
      <c r="AL137" s="42">
        <v>0</v>
      </c>
      <c r="AM137" s="41" t="s">
        <v>144</v>
      </c>
      <c r="AN137" s="42">
        <v>0</v>
      </c>
      <c r="AO137" s="41" t="s">
        <v>104</v>
      </c>
      <c r="AP137" s="41" t="s">
        <v>541</v>
      </c>
      <c r="AQ137" s="41" t="s">
        <v>104</v>
      </c>
      <c r="AR137" s="41" t="s">
        <v>165</v>
      </c>
      <c r="AS137" s="41" t="s">
        <v>169</v>
      </c>
      <c r="AT137" s="41" t="s">
        <v>104</v>
      </c>
      <c r="AU137" s="41" t="s">
        <v>173</v>
      </c>
      <c r="AW137" s="41" t="s">
        <v>170</v>
      </c>
      <c r="AX137" s="41" t="s">
        <v>1568</v>
      </c>
      <c r="AY137" s="41" t="s">
        <v>2004</v>
      </c>
      <c r="AZ137" s="40"/>
      <c r="BA137" s="40"/>
    </row>
    <row r="138" spans="6:53" ht="29" x14ac:dyDescent="0.35">
      <c r="F138" s="40" t="s">
        <v>1119</v>
      </c>
      <c r="G138" s="85" t="s">
        <v>653</v>
      </c>
      <c r="H138" s="40" t="s">
        <v>653</v>
      </c>
      <c r="I138" s="41" t="s">
        <v>223</v>
      </c>
      <c r="J138" s="41" t="s">
        <v>601</v>
      </c>
      <c r="K138" s="41" t="s">
        <v>602</v>
      </c>
      <c r="L138" s="40" t="s">
        <v>603</v>
      </c>
      <c r="O138" s="40" t="s">
        <v>104</v>
      </c>
      <c r="P138" s="41" t="s">
        <v>104</v>
      </c>
      <c r="Q138" s="41" t="s">
        <v>104</v>
      </c>
      <c r="R138" s="41" t="s">
        <v>104</v>
      </c>
      <c r="S138" s="40" t="s">
        <v>169</v>
      </c>
      <c r="U138" s="41" t="s">
        <v>104</v>
      </c>
      <c r="V138" s="41" t="s">
        <v>104</v>
      </c>
      <c r="W138" s="41" t="s">
        <v>104</v>
      </c>
      <c r="X138" s="41" t="s">
        <v>104</v>
      </c>
      <c r="Y138" s="40" t="s">
        <v>604</v>
      </c>
      <c r="Z138" s="41" t="s">
        <v>605</v>
      </c>
      <c r="AA138" s="41" t="s">
        <v>117</v>
      </c>
      <c r="AB138" s="41" t="s">
        <v>699</v>
      </c>
      <c r="AC138" s="40" t="s">
        <v>604</v>
      </c>
      <c r="AD138" s="41" t="s">
        <v>605</v>
      </c>
      <c r="AE138" s="41" t="s">
        <v>117</v>
      </c>
      <c r="AF138" s="41" t="s">
        <v>700</v>
      </c>
      <c r="AG138" s="41" t="s">
        <v>138</v>
      </c>
      <c r="AH138" s="41" t="s">
        <v>169</v>
      </c>
      <c r="AI138" s="41">
        <v>1</v>
      </c>
      <c r="AJ138" s="41">
        <v>1</v>
      </c>
      <c r="AK138" s="41">
        <v>0</v>
      </c>
      <c r="AL138" s="42">
        <v>0</v>
      </c>
      <c r="AM138" s="41" t="s">
        <v>144</v>
      </c>
      <c r="AN138" s="42">
        <v>0</v>
      </c>
      <c r="AO138" s="41" t="s">
        <v>104</v>
      </c>
      <c r="AP138" s="41" t="s">
        <v>541</v>
      </c>
      <c r="AQ138" s="41" t="s">
        <v>104</v>
      </c>
      <c r="AR138" s="41" t="s">
        <v>165</v>
      </c>
      <c r="AS138" s="41" t="s">
        <v>169</v>
      </c>
      <c r="AT138" s="41" t="s">
        <v>104</v>
      </c>
      <c r="AU138" s="41" t="s">
        <v>173</v>
      </c>
      <c r="AW138" s="41" t="s">
        <v>170</v>
      </c>
      <c r="AX138" s="41" t="s">
        <v>1555</v>
      </c>
      <c r="AY138" s="41" t="s">
        <v>1991</v>
      </c>
      <c r="AZ138" s="40"/>
      <c r="BA138" s="40"/>
    </row>
    <row r="139" spans="6:53" ht="29" x14ac:dyDescent="0.35">
      <c r="F139" s="40" t="s">
        <v>1134</v>
      </c>
      <c r="G139" s="85" t="s">
        <v>655</v>
      </c>
      <c r="H139" s="40" t="s">
        <v>655</v>
      </c>
      <c r="I139" s="41" t="s">
        <v>223</v>
      </c>
      <c r="J139" s="41" t="s">
        <v>601</v>
      </c>
      <c r="K139" s="41" t="s">
        <v>602</v>
      </c>
      <c r="L139" s="40" t="s">
        <v>603</v>
      </c>
      <c r="O139" s="40" t="s">
        <v>104</v>
      </c>
      <c r="P139" s="41" t="s">
        <v>104</v>
      </c>
      <c r="Q139" s="41" t="s">
        <v>104</v>
      </c>
      <c r="R139" s="41" t="s">
        <v>104</v>
      </c>
      <c r="S139" s="40" t="s">
        <v>169</v>
      </c>
      <c r="U139" s="41" t="s">
        <v>104</v>
      </c>
      <c r="V139" s="41" t="s">
        <v>104</v>
      </c>
      <c r="W139" s="41" t="s">
        <v>104</v>
      </c>
      <c r="X139" s="41" t="s">
        <v>104</v>
      </c>
      <c r="Y139" s="40" t="s">
        <v>604</v>
      </c>
      <c r="Z139" s="41" t="s">
        <v>605</v>
      </c>
      <c r="AA139" s="41" t="s">
        <v>117</v>
      </c>
      <c r="AB139" s="41" t="s">
        <v>705</v>
      </c>
      <c r="AC139" s="40" t="s">
        <v>604</v>
      </c>
      <c r="AD139" s="41" t="s">
        <v>607</v>
      </c>
      <c r="AE139" s="41" t="s">
        <v>117</v>
      </c>
      <c r="AF139" s="41" t="s">
        <v>706</v>
      </c>
      <c r="AG139" s="41" t="s">
        <v>138</v>
      </c>
      <c r="AH139" s="41" t="s">
        <v>169</v>
      </c>
      <c r="AI139" s="41">
        <v>1</v>
      </c>
      <c r="AJ139" s="41">
        <v>1</v>
      </c>
      <c r="AK139" s="41">
        <v>0</v>
      </c>
      <c r="AL139" s="42">
        <v>0</v>
      </c>
      <c r="AM139" s="41" t="s">
        <v>144</v>
      </c>
      <c r="AN139" s="42">
        <v>0</v>
      </c>
      <c r="AO139" s="41" t="s">
        <v>104</v>
      </c>
      <c r="AP139" s="41" t="s">
        <v>541</v>
      </c>
      <c r="AQ139" s="41" t="s">
        <v>104</v>
      </c>
      <c r="AR139" s="41" t="s">
        <v>165</v>
      </c>
      <c r="AS139" s="41" t="s">
        <v>169</v>
      </c>
      <c r="AT139" s="41" t="s">
        <v>104</v>
      </c>
      <c r="AU139" s="41" t="s">
        <v>173</v>
      </c>
      <c r="AW139" s="41" t="s">
        <v>170</v>
      </c>
      <c r="AX139" s="41" t="s">
        <v>1570</v>
      </c>
      <c r="AY139" s="41" t="s">
        <v>2006</v>
      </c>
      <c r="AZ139" s="40"/>
      <c r="BA139" s="40"/>
    </row>
    <row r="140" spans="6:53" ht="29" x14ac:dyDescent="0.35">
      <c r="F140" s="40" t="s">
        <v>1135</v>
      </c>
      <c r="G140" s="85" t="s">
        <v>658</v>
      </c>
      <c r="H140" s="40" t="s">
        <v>658</v>
      </c>
      <c r="I140" s="41" t="s">
        <v>223</v>
      </c>
      <c r="J140" s="41" t="s">
        <v>601</v>
      </c>
      <c r="K140" s="41" t="s">
        <v>602</v>
      </c>
      <c r="L140" s="40" t="s">
        <v>603</v>
      </c>
      <c r="O140" s="40" t="s">
        <v>104</v>
      </c>
      <c r="P140" s="41" t="s">
        <v>104</v>
      </c>
      <c r="Q140" s="41" t="s">
        <v>104</v>
      </c>
      <c r="R140" s="41" t="s">
        <v>104</v>
      </c>
      <c r="S140" s="40" t="s">
        <v>169</v>
      </c>
      <c r="T140" s="41" t="s">
        <v>614</v>
      </c>
      <c r="U140" s="41" t="s">
        <v>104</v>
      </c>
      <c r="V140" s="41" t="s">
        <v>107</v>
      </c>
      <c r="W140" s="41" t="s">
        <v>112</v>
      </c>
      <c r="X140" s="41" t="s">
        <v>104</v>
      </c>
      <c r="Y140" s="40" t="s">
        <v>604</v>
      </c>
      <c r="Z140" s="41" t="s">
        <v>605</v>
      </c>
      <c r="AA140" s="41" t="s">
        <v>117</v>
      </c>
      <c r="AB140" s="41" t="s">
        <v>707</v>
      </c>
      <c r="AC140" s="40" t="s">
        <v>604</v>
      </c>
      <c r="AD140" s="41" t="s">
        <v>607</v>
      </c>
      <c r="AE140" s="41" t="s">
        <v>117</v>
      </c>
      <c r="AF140" s="41" t="s">
        <v>708</v>
      </c>
      <c r="AG140" s="41" t="s">
        <v>138</v>
      </c>
      <c r="AH140" s="41" t="s">
        <v>169</v>
      </c>
      <c r="AI140" s="41">
        <v>1</v>
      </c>
      <c r="AJ140" s="41">
        <v>1</v>
      </c>
      <c r="AK140" s="41">
        <v>0</v>
      </c>
      <c r="AL140" s="42">
        <v>0</v>
      </c>
      <c r="AM140" s="41" t="s">
        <v>144</v>
      </c>
      <c r="AN140" s="42">
        <v>0</v>
      </c>
      <c r="AO140" s="41" t="s">
        <v>104</v>
      </c>
      <c r="AP140" s="41" t="s">
        <v>541</v>
      </c>
      <c r="AQ140" s="41" t="s">
        <v>104</v>
      </c>
      <c r="AR140" s="41" t="s">
        <v>165</v>
      </c>
      <c r="AS140" s="41" t="s">
        <v>169</v>
      </c>
      <c r="AT140" s="41" t="s">
        <v>104</v>
      </c>
      <c r="AU140" s="41" t="s">
        <v>173</v>
      </c>
      <c r="AW140" s="41" t="s">
        <v>170</v>
      </c>
      <c r="AX140" s="41" t="s">
        <v>1571</v>
      </c>
      <c r="AY140" s="41" t="s">
        <v>2007</v>
      </c>
      <c r="AZ140" s="40"/>
      <c r="BA140" s="40"/>
    </row>
    <row r="141" spans="6:53" ht="29" x14ac:dyDescent="0.35">
      <c r="F141" s="40" t="s">
        <v>1136</v>
      </c>
      <c r="G141" s="85" t="s">
        <v>694</v>
      </c>
      <c r="H141" s="40" t="s">
        <v>694</v>
      </c>
      <c r="I141" s="41" t="s">
        <v>223</v>
      </c>
      <c r="J141" s="41" t="s">
        <v>601</v>
      </c>
      <c r="K141" s="41" t="s">
        <v>602</v>
      </c>
      <c r="L141" s="40" t="s">
        <v>603</v>
      </c>
      <c r="O141" s="40" t="s">
        <v>104</v>
      </c>
      <c r="P141" s="41" t="s">
        <v>104</v>
      </c>
      <c r="Q141" s="41" t="s">
        <v>104</v>
      </c>
      <c r="R141" s="41" t="s">
        <v>104</v>
      </c>
      <c r="S141" s="40" t="s">
        <v>169</v>
      </c>
      <c r="T141" s="41" t="s">
        <v>686</v>
      </c>
      <c r="U141" s="41" t="s">
        <v>104</v>
      </c>
      <c r="V141" s="41" t="s">
        <v>104</v>
      </c>
      <c r="W141" s="41" t="s">
        <v>104</v>
      </c>
      <c r="X141" s="41" t="s">
        <v>104</v>
      </c>
      <c r="Y141" s="40" t="s">
        <v>604</v>
      </c>
      <c r="Z141" s="41" t="s">
        <v>605</v>
      </c>
      <c r="AA141" s="41" t="s">
        <v>117</v>
      </c>
      <c r="AB141" s="41" t="s">
        <v>707</v>
      </c>
      <c r="AC141" s="40" t="s">
        <v>604</v>
      </c>
      <c r="AD141" s="41" t="s">
        <v>607</v>
      </c>
      <c r="AE141" s="41" t="s">
        <v>117</v>
      </c>
      <c r="AF141" s="41" t="s">
        <v>708</v>
      </c>
      <c r="AG141" s="41" t="s">
        <v>138</v>
      </c>
      <c r="AH141" s="41" t="s">
        <v>169</v>
      </c>
      <c r="AI141" s="41">
        <v>1</v>
      </c>
      <c r="AJ141" s="41">
        <v>1</v>
      </c>
      <c r="AK141" s="41">
        <v>0</v>
      </c>
      <c r="AL141" s="42">
        <v>0</v>
      </c>
      <c r="AM141" s="41" t="s">
        <v>144</v>
      </c>
      <c r="AN141" s="42">
        <v>0</v>
      </c>
      <c r="AO141" s="41" t="s">
        <v>104</v>
      </c>
      <c r="AP141" s="41" t="s">
        <v>541</v>
      </c>
      <c r="AQ141" s="41" t="s">
        <v>104</v>
      </c>
      <c r="AR141" s="41" t="s">
        <v>165</v>
      </c>
      <c r="AS141" s="41" t="s">
        <v>169</v>
      </c>
      <c r="AT141" s="41" t="s">
        <v>104</v>
      </c>
      <c r="AU141" s="41" t="s">
        <v>173</v>
      </c>
      <c r="AW141" s="41" t="s">
        <v>170</v>
      </c>
      <c r="AX141" s="41" t="s">
        <v>1572</v>
      </c>
      <c r="AY141" s="41" t="s">
        <v>2008</v>
      </c>
      <c r="AZ141" s="40"/>
      <c r="BA141" s="40"/>
    </row>
    <row r="142" spans="6:53" ht="29" x14ac:dyDescent="0.35">
      <c r="F142" s="40" t="s">
        <v>1137</v>
      </c>
      <c r="G142" s="85" t="s">
        <v>616</v>
      </c>
      <c r="H142" s="40" t="s">
        <v>616</v>
      </c>
      <c r="I142" s="41" t="s">
        <v>223</v>
      </c>
      <c r="J142" s="41" t="s">
        <v>601</v>
      </c>
      <c r="K142" s="41" t="s">
        <v>602</v>
      </c>
      <c r="L142" s="40" t="s">
        <v>603</v>
      </c>
      <c r="O142" s="40" t="s">
        <v>104</v>
      </c>
      <c r="P142" s="41" t="s">
        <v>104</v>
      </c>
      <c r="Q142" s="41" t="s">
        <v>104</v>
      </c>
      <c r="R142" s="41" t="s">
        <v>104</v>
      </c>
      <c r="S142" s="40" t="s">
        <v>169</v>
      </c>
      <c r="U142" s="41" t="s">
        <v>104</v>
      </c>
      <c r="V142" s="41" t="s">
        <v>104</v>
      </c>
      <c r="W142" s="41" t="s">
        <v>104</v>
      </c>
      <c r="X142" s="41" t="s">
        <v>104</v>
      </c>
      <c r="Y142" s="40" t="s">
        <v>604</v>
      </c>
      <c r="Z142" s="41" t="s">
        <v>605</v>
      </c>
      <c r="AA142" s="41" t="s">
        <v>117</v>
      </c>
      <c r="AB142" s="41" t="s">
        <v>707</v>
      </c>
      <c r="AC142" s="40" t="s">
        <v>604</v>
      </c>
      <c r="AD142" s="41" t="s">
        <v>607</v>
      </c>
      <c r="AE142" s="41" t="s">
        <v>117</v>
      </c>
      <c r="AF142" s="41" t="s">
        <v>708</v>
      </c>
      <c r="AG142" s="41" t="s">
        <v>138</v>
      </c>
      <c r="AH142" s="41" t="s">
        <v>169</v>
      </c>
      <c r="AI142" s="41">
        <v>1</v>
      </c>
      <c r="AJ142" s="41">
        <v>1</v>
      </c>
      <c r="AK142" s="41">
        <v>0</v>
      </c>
      <c r="AL142" s="42">
        <v>0</v>
      </c>
      <c r="AM142" s="41" t="s">
        <v>144</v>
      </c>
      <c r="AN142" s="42">
        <v>0</v>
      </c>
      <c r="AO142" s="41" t="s">
        <v>104</v>
      </c>
      <c r="AP142" s="41" t="s">
        <v>541</v>
      </c>
      <c r="AQ142" s="41" t="s">
        <v>104</v>
      </c>
      <c r="AR142" s="41" t="s">
        <v>165</v>
      </c>
      <c r="AS142" s="41" t="s">
        <v>169</v>
      </c>
      <c r="AT142" s="41" t="s">
        <v>104</v>
      </c>
      <c r="AU142" s="41" t="s">
        <v>173</v>
      </c>
      <c r="AW142" s="41" t="s">
        <v>170</v>
      </c>
      <c r="AX142" s="41" t="s">
        <v>1573</v>
      </c>
      <c r="AY142" s="41" t="s">
        <v>2009</v>
      </c>
      <c r="AZ142" s="40"/>
      <c r="BA142" s="40"/>
    </row>
    <row r="143" spans="6:53" ht="29" x14ac:dyDescent="0.35">
      <c r="F143" s="40" t="s">
        <v>1133</v>
      </c>
      <c r="G143" s="85" t="s">
        <v>653</v>
      </c>
      <c r="H143" s="40" t="s">
        <v>653</v>
      </c>
      <c r="I143" s="41" t="s">
        <v>223</v>
      </c>
      <c r="J143" s="41" t="s">
        <v>601</v>
      </c>
      <c r="K143" s="41" t="s">
        <v>602</v>
      </c>
      <c r="L143" s="40" t="s">
        <v>603</v>
      </c>
      <c r="O143" s="40" t="s">
        <v>104</v>
      </c>
      <c r="P143" s="41" t="s">
        <v>104</v>
      </c>
      <c r="Q143" s="41" t="s">
        <v>104</v>
      </c>
      <c r="R143" s="41" t="s">
        <v>104</v>
      </c>
      <c r="S143" s="40" t="s">
        <v>169</v>
      </c>
      <c r="U143" s="41" t="s">
        <v>104</v>
      </c>
      <c r="V143" s="41" t="s">
        <v>104</v>
      </c>
      <c r="W143" s="41" t="s">
        <v>104</v>
      </c>
      <c r="X143" s="41" t="s">
        <v>104</v>
      </c>
      <c r="Y143" s="40" t="s">
        <v>604</v>
      </c>
      <c r="Z143" s="41" t="s">
        <v>605</v>
      </c>
      <c r="AA143" s="41" t="s">
        <v>117</v>
      </c>
      <c r="AB143" s="41" t="s">
        <v>705</v>
      </c>
      <c r="AC143" s="40" t="s">
        <v>604</v>
      </c>
      <c r="AD143" s="41" t="s">
        <v>605</v>
      </c>
      <c r="AE143" s="41" t="s">
        <v>117</v>
      </c>
      <c r="AF143" s="41" t="s">
        <v>706</v>
      </c>
      <c r="AG143" s="41" t="s">
        <v>138</v>
      </c>
      <c r="AH143" s="41" t="s">
        <v>169</v>
      </c>
      <c r="AI143" s="41">
        <v>1</v>
      </c>
      <c r="AJ143" s="41">
        <v>1</v>
      </c>
      <c r="AK143" s="41">
        <v>0</v>
      </c>
      <c r="AL143" s="42">
        <v>0</v>
      </c>
      <c r="AM143" s="41" t="s">
        <v>144</v>
      </c>
      <c r="AN143" s="42">
        <v>0</v>
      </c>
      <c r="AO143" s="41" t="s">
        <v>104</v>
      </c>
      <c r="AP143" s="41" t="s">
        <v>541</v>
      </c>
      <c r="AQ143" s="41" t="s">
        <v>104</v>
      </c>
      <c r="AR143" s="41" t="s">
        <v>165</v>
      </c>
      <c r="AS143" s="41" t="s">
        <v>169</v>
      </c>
      <c r="AT143" s="41" t="s">
        <v>104</v>
      </c>
      <c r="AU143" s="41" t="s">
        <v>173</v>
      </c>
      <c r="AW143" s="41" t="s">
        <v>170</v>
      </c>
      <c r="AX143" s="41" t="s">
        <v>1569</v>
      </c>
      <c r="AY143" s="41" t="s">
        <v>2005</v>
      </c>
      <c r="AZ143" s="40"/>
      <c r="BA143" s="40"/>
    </row>
    <row r="144" spans="6:53" ht="29" x14ac:dyDescent="0.35">
      <c r="F144" s="40" t="s">
        <v>1139</v>
      </c>
      <c r="G144" s="85" t="s">
        <v>654</v>
      </c>
      <c r="H144" s="40" t="s">
        <v>654</v>
      </c>
      <c r="I144" s="41" t="s">
        <v>223</v>
      </c>
      <c r="J144" s="41" t="s">
        <v>601</v>
      </c>
      <c r="K144" s="41" t="s">
        <v>602</v>
      </c>
      <c r="L144" s="40" t="s">
        <v>603</v>
      </c>
      <c r="O144" s="40" t="s">
        <v>104</v>
      </c>
      <c r="P144" s="41" t="s">
        <v>104</v>
      </c>
      <c r="Q144" s="41" t="s">
        <v>104</v>
      </c>
      <c r="R144" s="41" t="s">
        <v>104</v>
      </c>
      <c r="S144" s="40" t="s">
        <v>169</v>
      </c>
      <c r="U144" s="41" t="s">
        <v>104</v>
      </c>
      <c r="V144" s="41" t="s">
        <v>104</v>
      </c>
      <c r="W144" s="41" t="s">
        <v>104</v>
      </c>
      <c r="X144" s="41" t="s">
        <v>104</v>
      </c>
      <c r="Y144" s="40" t="s">
        <v>604</v>
      </c>
      <c r="Z144" s="41" t="s">
        <v>605</v>
      </c>
      <c r="AA144" s="41" t="s">
        <v>117</v>
      </c>
      <c r="AB144" s="41" t="s">
        <v>707</v>
      </c>
      <c r="AC144" s="40" t="s">
        <v>604</v>
      </c>
      <c r="AD144" s="41" t="s">
        <v>607</v>
      </c>
      <c r="AE144" s="41" t="s">
        <v>117</v>
      </c>
      <c r="AF144" s="41" t="s">
        <v>708</v>
      </c>
      <c r="AG144" s="41" t="s">
        <v>138</v>
      </c>
      <c r="AH144" s="41" t="s">
        <v>169</v>
      </c>
      <c r="AI144" s="41">
        <v>2</v>
      </c>
      <c r="AJ144" s="41">
        <v>2</v>
      </c>
      <c r="AK144" s="41">
        <v>0</v>
      </c>
      <c r="AL144" s="42">
        <v>0</v>
      </c>
      <c r="AM144" s="41" t="s">
        <v>144</v>
      </c>
      <c r="AN144" s="42">
        <v>0</v>
      </c>
      <c r="AO144" s="41" t="s">
        <v>104</v>
      </c>
      <c r="AP144" s="41" t="s">
        <v>541</v>
      </c>
      <c r="AQ144" s="41" t="s">
        <v>104</v>
      </c>
      <c r="AR144" s="41" t="s">
        <v>165</v>
      </c>
      <c r="AS144" s="41" t="s">
        <v>169</v>
      </c>
      <c r="AT144" s="41" t="s">
        <v>104</v>
      </c>
      <c r="AU144" s="41" t="s">
        <v>173</v>
      </c>
      <c r="AW144" s="41" t="s">
        <v>170</v>
      </c>
      <c r="AX144" s="41" t="s">
        <v>1575</v>
      </c>
      <c r="AY144" s="41" t="s">
        <v>2011</v>
      </c>
      <c r="AZ144" s="40"/>
      <c r="BA144" s="40"/>
    </row>
    <row r="145" spans="6:53" ht="29" x14ac:dyDescent="0.35">
      <c r="F145" s="40" t="s">
        <v>1140</v>
      </c>
      <c r="G145" s="85" t="s">
        <v>656</v>
      </c>
      <c r="H145" s="40" t="s">
        <v>656</v>
      </c>
      <c r="I145" s="41" t="s">
        <v>223</v>
      </c>
      <c r="J145" s="41" t="s">
        <v>601</v>
      </c>
      <c r="K145" s="41" t="s">
        <v>602</v>
      </c>
      <c r="L145" s="40" t="s">
        <v>603</v>
      </c>
      <c r="O145" s="40" t="s">
        <v>104</v>
      </c>
      <c r="P145" s="41" t="s">
        <v>104</v>
      </c>
      <c r="Q145" s="41" t="s">
        <v>104</v>
      </c>
      <c r="R145" s="41" t="s">
        <v>104</v>
      </c>
      <c r="S145" s="40" t="s">
        <v>169</v>
      </c>
      <c r="U145" s="41" t="s">
        <v>104</v>
      </c>
      <c r="V145" s="41" t="s">
        <v>104</v>
      </c>
      <c r="W145" s="41" t="s">
        <v>104</v>
      </c>
      <c r="X145" s="41" t="s">
        <v>104</v>
      </c>
      <c r="Y145" s="40" t="s">
        <v>604</v>
      </c>
      <c r="Z145" s="41" t="s">
        <v>605</v>
      </c>
      <c r="AA145" s="41" t="s">
        <v>117</v>
      </c>
      <c r="AB145" s="41" t="s">
        <v>707</v>
      </c>
      <c r="AC145" s="40" t="s">
        <v>604</v>
      </c>
      <c r="AD145" s="41" t="s">
        <v>607</v>
      </c>
      <c r="AE145" s="41" t="s">
        <v>117</v>
      </c>
      <c r="AF145" s="41" t="s">
        <v>708</v>
      </c>
      <c r="AG145" s="41" t="s">
        <v>138</v>
      </c>
      <c r="AH145" s="41" t="s">
        <v>169</v>
      </c>
      <c r="AI145" s="41">
        <v>1</v>
      </c>
      <c r="AJ145" s="41">
        <v>1</v>
      </c>
      <c r="AK145" s="41">
        <v>0</v>
      </c>
      <c r="AL145" s="42">
        <v>0</v>
      </c>
      <c r="AM145" s="41" t="s">
        <v>144</v>
      </c>
      <c r="AN145" s="42">
        <v>0</v>
      </c>
      <c r="AO145" s="41" t="s">
        <v>104</v>
      </c>
      <c r="AP145" s="41" t="s">
        <v>541</v>
      </c>
      <c r="AQ145" s="41" t="s">
        <v>104</v>
      </c>
      <c r="AR145" s="41" t="s">
        <v>165</v>
      </c>
      <c r="AS145" s="41" t="s">
        <v>169</v>
      </c>
      <c r="AT145" s="41" t="s">
        <v>104</v>
      </c>
      <c r="AU145" s="41" t="s">
        <v>173</v>
      </c>
      <c r="AW145" s="41" t="s">
        <v>170</v>
      </c>
      <c r="AX145" s="41" t="s">
        <v>1576</v>
      </c>
      <c r="AY145" s="41" t="s">
        <v>2012</v>
      </c>
      <c r="AZ145" s="40"/>
      <c r="BA145" s="40"/>
    </row>
    <row r="146" spans="6:53" ht="29" x14ac:dyDescent="0.35">
      <c r="F146" s="40" t="s">
        <v>1141</v>
      </c>
      <c r="G146" s="85" t="s">
        <v>678</v>
      </c>
      <c r="H146" s="40" t="s">
        <v>678</v>
      </c>
      <c r="I146" s="41" t="s">
        <v>223</v>
      </c>
      <c r="J146" s="41" t="s">
        <v>601</v>
      </c>
      <c r="K146" s="41" t="s">
        <v>602</v>
      </c>
      <c r="L146" s="40" t="s">
        <v>603</v>
      </c>
      <c r="O146" s="40" t="s">
        <v>104</v>
      </c>
      <c r="P146" s="41" t="s">
        <v>104</v>
      </c>
      <c r="Q146" s="41" t="s">
        <v>104</v>
      </c>
      <c r="R146" s="41" t="s">
        <v>104</v>
      </c>
      <c r="S146" s="40" t="s">
        <v>169</v>
      </c>
      <c r="U146" s="41" t="s">
        <v>104</v>
      </c>
      <c r="V146" s="41" t="s">
        <v>104</v>
      </c>
      <c r="W146" s="41" t="s">
        <v>104</v>
      </c>
      <c r="X146" s="41" t="s">
        <v>104</v>
      </c>
      <c r="Y146" s="40" t="s">
        <v>604</v>
      </c>
      <c r="Z146" s="41" t="s">
        <v>605</v>
      </c>
      <c r="AA146" s="41" t="s">
        <v>117</v>
      </c>
      <c r="AB146" s="41" t="s">
        <v>707</v>
      </c>
      <c r="AC146" s="40" t="s">
        <v>604</v>
      </c>
      <c r="AD146" s="41" t="s">
        <v>607</v>
      </c>
      <c r="AE146" s="41" t="s">
        <v>117</v>
      </c>
      <c r="AF146" s="41" t="s">
        <v>708</v>
      </c>
      <c r="AG146" s="41" t="s">
        <v>138</v>
      </c>
      <c r="AH146" s="41" t="s">
        <v>169</v>
      </c>
      <c r="AI146" s="41">
        <v>1</v>
      </c>
      <c r="AJ146" s="41">
        <v>1</v>
      </c>
      <c r="AK146" s="41">
        <v>0</v>
      </c>
      <c r="AL146" s="42">
        <v>0</v>
      </c>
      <c r="AM146" s="41" t="s">
        <v>144</v>
      </c>
      <c r="AN146" s="42">
        <v>0</v>
      </c>
      <c r="AO146" s="41" t="s">
        <v>104</v>
      </c>
      <c r="AP146" s="41" t="s">
        <v>541</v>
      </c>
      <c r="AQ146" s="41" t="s">
        <v>104</v>
      </c>
      <c r="AR146" s="41" t="s">
        <v>165</v>
      </c>
      <c r="AS146" s="41" t="s">
        <v>169</v>
      </c>
      <c r="AT146" s="41" t="s">
        <v>104</v>
      </c>
      <c r="AU146" s="41" t="s">
        <v>173</v>
      </c>
      <c r="AW146" s="41" t="s">
        <v>170</v>
      </c>
      <c r="AX146" s="41" t="s">
        <v>1577</v>
      </c>
      <c r="AY146" s="41" t="s">
        <v>2013</v>
      </c>
      <c r="AZ146" s="40"/>
      <c r="BA146" s="40"/>
    </row>
    <row r="147" spans="6:53" ht="29" x14ac:dyDescent="0.35">
      <c r="F147" s="40" t="s">
        <v>1142</v>
      </c>
      <c r="G147" s="85" t="s">
        <v>653</v>
      </c>
      <c r="H147" s="40" t="s">
        <v>653</v>
      </c>
      <c r="I147" s="41" t="s">
        <v>223</v>
      </c>
      <c r="J147" s="41" t="s">
        <v>601</v>
      </c>
      <c r="K147" s="41" t="s">
        <v>602</v>
      </c>
      <c r="L147" s="40" t="s">
        <v>603</v>
      </c>
      <c r="O147" s="40" t="s">
        <v>104</v>
      </c>
      <c r="P147" s="41" t="s">
        <v>104</v>
      </c>
      <c r="Q147" s="41" t="s">
        <v>104</v>
      </c>
      <c r="R147" s="41" t="s">
        <v>104</v>
      </c>
      <c r="S147" s="40" t="s">
        <v>169</v>
      </c>
      <c r="U147" s="41" t="s">
        <v>104</v>
      </c>
      <c r="V147" s="41" t="s">
        <v>104</v>
      </c>
      <c r="W147" s="41" t="s">
        <v>104</v>
      </c>
      <c r="X147" s="41" t="s">
        <v>104</v>
      </c>
      <c r="Y147" s="40" t="s">
        <v>604</v>
      </c>
      <c r="Z147" s="41" t="s">
        <v>605</v>
      </c>
      <c r="AA147" s="41" t="s">
        <v>117</v>
      </c>
      <c r="AB147" s="41" t="s">
        <v>707</v>
      </c>
      <c r="AC147" s="40" t="s">
        <v>604</v>
      </c>
      <c r="AD147" s="41" t="s">
        <v>605</v>
      </c>
      <c r="AE147" s="41" t="s">
        <v>117</v>
      </c>
      <c r="AF147" s="41" t="s">
        <v>708</v>
      </c>
      <c r="AG147" s="41" t="s">
        <v>138</v>
      </c>
      <c r="AH147" s="41" t="s">
        <v>169</v>
      </c>
      <c r="AI147" s="41">
        <v>1</v>
      </c>
      <c r="AJ147" s="41">
        <v>1</v>
      </c>
      <c r="AK147" s="41">
        <v>0</v>
      </c>
      <c r="AL147" s="42">
        <v>0</v>
      </c>
      <c r="AM147" s="41" t="s">
        <v>144</v>
      </c>
      <c r="AN147" s="42">
        <v>0</v>
      </c>
      <c r="AO147" s="41" t="s">
        <v>104</v>
      </c>
      <c r="AP147" s="41" t="s">
        <v>541</v>
      </c>
      <c r="AQ147" s="41" t="s">
        <v>104</v>
      </c>
      <c r="AR147" s="41" t="s">
        <v>165</v>
      </c>
      <c r="AS147" s="41" t="s">
        <v>169</v>
      </c>
      <c r="AT147" s="41" t="s">
        <v>104</v>
      </c>
      <c r="AU147" s="41" t="s">
        <v>173</v>
      </c>
      <c r="AW147" s="41" t="s">
        <v>170</v>
      </c>
      <c r="AX147" s="41" t="s">
        <v>1578</v>
      </c>
      <c r="AY147" s="41" t="s">
        <v>2014</v>
      </c>
      <c r="AZ147" s="40"/>
      <c r="BA147" s="40"/>
    </row>
    <row r="148" spans="6:53" ht="29" x14ac:dyDescent="0.35">
      <c r="F148" s="40" t="s">
        <v>1143</v>
      </c>
      <c r="G148" s="85" t="s">
        <v>709</v>
      </c>
      <c r="H148" s="40" t="s">
        <v>709</v>
      </c>
      <c r="I148" s="41" t="s">
        <v>223</v>
      </c>
      <c r="J148" s="41" t="s">
        <v>601</v>
      </c>
      <c r="K148" s="41" t="s">
        <v>602</v>
      </c>
      <c r="L148" s="40" t="s">
        <v>603</v>
      </c>
      <c r="O148" s="40" t="s">
        <v>104</v>
      </c>
      <c r="P148" s="41" t="s">
        <v>104</v>
      </c>
      <c r="Q148" s="41" t="s">
        <v>104</v>
      </c>
      <c r="R148" s="41" t="s">
        <v>104</v>
      </c>
      <c r="S148" s="40" t="s">
        <v>169</v>
      </c>
      <c r="T148" s="41" t="s">
        <v>710</v>
      </c>
      <c r="U148" s="41" t="s">
        <v>104</v>
      </c>
      <c r="V148" s="41" t="s">
        <v>104</v>
      </c>
      <c r="W148" s="41" t="s">
        <v>104</v>
      </c>
      <c r="X148" s="41" t="s">
        <v>104</v>
      </c>
      <c r="Y148" s="40" t="s">
        <v>604</v>
      </c>
      <c r="Z148" s="41" t="s">
        <v>605</v>
      </c>
      <c r="AA148" s="41" t="s">
        <v>117</v>
      </c>
      <c r="AB148" s="41" t="s">
        <v>707</v>
      </c>
      <c r="AC148" s="40" t="s">
        <v>604</v>
      </c>
      <c r="AD148" s="41" t="s">
        <v>607</v>
      </c>
      <c r="AE148" s="41" t="s">
        <v>117</v>
      </c>
      <c r="AF148" s="41" t="s">
        <v>708</v>
      </c>
      <c r="AG148" s="41" t="s">
        <v>138</v>
      </c>
      <c r="AH148" s="41" t="s">
        <v>169</v>
      </c>
      <c r="AI148" s="41">
        <v>1</v>
      </c>
      <c r="AJ148" s="41">
        <v>1</v>
      </c>
      <c r="AK148" s="41">
        <v>0</v>
      </c>
      <c r="AL148" s="42">
        <v>0</v>
      </c>
      <c r="AM148" s="41" t="s">
        <v>144</v>
      </c>
      <c r="AN148" s="42">
        <v>0</v>
      </c>
      <c r="AO148" s="41" t="s">
        <v>104</v>
      </c>
      <c r="AP148" s="41" t="s">
        <v>541</v>
      </c>
      <c r="AQ148" s="41" t="s">
        <v>104</v>
      </c>
      <c r="AR148" s="41" t="s">
        <v>165</v>
      </c>
      <c r="AS148" s="41" t="s">
        <v>169</v>
      </c>
      <c r="AT148" s="41" t="s">
        <v>104</v>
      </c>
      <c r="AU148" s="41" t="s">
        <v>173</v>
      </c>
      <c r="AW148" s="41" t="s">
        <v>170</v>
      </c>
      <c r="AX148" s="41" t="s">
        <v>1579</v>
      </c>
      <c r="AY148" s="41" t="s">
        <v>2015</v>
      </c>
      <c r="AZ148" s="40"/>
      <c r="BA148" s="40"/>
    </row>
    <row r="149" spans="6:53" ht="29" x14ac:dyDescent="0.35">
      <c r="F149" s="40" t="s">
        <v>1144</v>
      </c>
      <c r="G149" s="85" t="s">
        <v>658</v>
      </c>
      <c r="H149" s="40" t="s">
        <v>658</v>
      </c>
      <c r="I149" s="41" t="s">
        <v>223</v>
      </c>
      <c r="J149" s="41" t="s">
        <v>601</v>
      </c>
      <c r="K149" s="41" t="s">
        <v>602</v>
      </c>
      <c r="L149" s="40" t="s">
        <v>603</v>
      </c>
      <c r="O149" s="40" t="s">
        <v>104</v>
      </c>
      <c r="P149" s="41" t="s">
        <v>104</v>
      </c>
      <c r="Q149" s="41" t="s">
        <v>104</v>
      </c>
      <c r="R149" s="41" t="s">
        <v>104</v>
      </c>
      <c r="S149" s="40" t="s">
        <v>169</v>
      </c>
      <c r="T149" s="41" t="s">
        <v>614</v>
      </c>
      <c r="U149" s="41" t="s">
        <v>104</v>
      </c>
      <c r="V149" s="41" t="s">
        <v>107</v>
      </c>
      <c r="W149" s="41" t="s">
        <v>112</v>
      </c>
      <c r="X149" s="41" t="s">
        <v>104</v>
      </c>
      <c r="Y149" s="40" t="s">
        <v>604</v>
      </c>
      <c r="Z149" s="41" t="s">
        <v>605</v>
      </c>
      <c r="AA149" s="41" t="s">
        <v>117</v>
      </c>
      <c r="AB149" s="41" t="s">
        <v>711</v>
      </c>
      <c r="AC149" s="40" t="s">
        <v>604</v>
      </c>
      <c r="AD149" s="41" t="s">
        <v>607</v>
      </c>
      <c r="AE149" s="41" t="s">
        <v>117</v>
      </c>
      <c r="AF149" s="41" t="s">
        <v>712</v>
      </c>
      <c r="AG149" s="41" t="s">
        <v>138</v>
      </c>
      <c r="AH149" s="41" t="s">
        <v>169</v>
      </c>
      <c r="AI149" s="41">
        <v>2</v>
      </c>
      <c r="AJ149" s="41">
        <v>2</v>
      </c>
      <c r="AK149" s="41">
        <v>0</v>
      </c>
      <c r="AL149" s="42">
        <v>0</v>
      </c>
      <c r="AM149" s="41" t="s">
        <v>144</v>
      </c>
      <c r="AN149" s="42">
        <v>0</v>
      </c>
      <c r="AO149" s="41" t="s">
        <v>104</v>
      </c>
      <c r="AP149" s="41" t="s">
        <v>541</v>
      </c>
      <c r="AQ149" s="41" t="s">
        <v>104</v>
      </c>
      <c r="AR149" s="41" t="s">
        <v>165</v>
      </c>
      <c r="AS149" s="41" t="s">
        <v>169</v>
      </c>
      <c r="AT149" s="41" t="s">
        <v>104</v>
      </c>
      <c r="AU149" s="41" t="s">
        <v>173</v>
      </c>
      <c r="AW149" s="41" t="s">
        <v>170</v>
      </c>
      <c r="AX149" s="41" t="s">
        <v>1580</v>
      </c>
      <c r="AY149" s="41" t="s">
        <v>2016</v>
      </c>
      <c r="AZ149" s="40"/>
      <c r="BA149" s="40"/>
    </row>
    <row r="150" spans="6:53" ht="29" x14ac:dyDescent="0.35">
      <c r="F150" s="40" t="s">
        <v>1145</v>
      </c>
      <c r="G150" s="85" t="s">
        <v>713</v>
      </c>
      <c r="H150" s="40" t="s">
        <v>713</v>
      </c>
      <c r="I150" s="41" t="s">
        <v>223</v>
      </c>
      <c r="J150" s="41" t="s">
        <v>601</v>
      </c>
      <c r="K150" s="41" t="s">
        <v>602</v>
      </c>
      <c r="L150" s="40" t="s">
        <v>603</v>
      </c>
      <c r="O150" s="40" t="s">
        <v>104</v>
      </c>
      <c r="P150" s="41" t="s">
        <v>104</v>
      </c>
      <c r="Q150" s="41" t="s">
        <v>104</v>
      </c>
      <c r="R150" s="41" t="s">
        <v>104</v>
      </c>
      <c r="S150" s="40" t="s">
        <v>169</v>
      </c>
      <c r="T150" s="41" t="s">
        <v>714</v>
      </c>
      <c r="U150" s="41" t="s">
        <v>104</v>
      </c>
      <c r="V150" s="41" t="s">
        <v>104</v>
      </c>
      <c r="W150" s="41" t="s">
        <v>104</v>
      </c>
      <c r="X150" s="41" t="s">
        <v>104</v>
      </c>
      <c r="Y150" s="40" t="s">
        <v>604</v>
      </c>
      <c r="Z150" s="41" t="s">
        <v>605</v>
      </c>
      <c r="AA150" s="41" t="s">
        <v>117</v>
      </c>
      <c r="AB150" s="41" t="s">
        <v>711</v>
      </c>
      <c r="AC150" s="40" t="s">
        <v>604</v>
      </c>
      <c r="AD150" s="41" t="s">
        <v>607</v>
      </c>
      <c r="AE150" s="41" t="s">
        <v>117</v>
      </c>
      <c r="AF150" s="41" t="s">
        <v>712</v>
      </c>
      <c r="AG150" s="41" t="s">
        <v>138</v>
      </c>
      <c r="AH150" s="41" t="s">
        <v>169</v>
      </c>
      <c r="AI150" s="41">
        <v>1</v>
      </c>
      <c r="AJ150" s="41">
        <v>1</v>
      </c>
      <c r="AK150" s="41">
        <v>0</v>
      </c>
      <c r="AL150" s="42">
        <v>0</v>
      </c>
      <c r="AM150" s="41" t="s">
        <v>144</v>
      </c>
      <c r="AN150" s="42">
        <v>0</v>
      </c>
      <c r="AO150" s="41" t="s">
        <v>104</v>
      </c>
      <c r="AP150" s="41" t="s">
        <v>541</v>
      </c>
      <c r="AQ150" s="41" t="s">
        <v>104</v>
      </c>
      <c r="AR150" s="41" t="s">
        <v>165</v>
      </c>
      <c r="AS150" s="41" t="s">
        <v>169</v>
      </c>
      <c r="AT150" s="41" t="s">
        <v>104</v>
      </c>
      <c r="AU150" s="41" t="s">
        <v>173</v>
      </c>
      <c r="AW150" s="41" t="s">
        <v>170</v>
      </c>
      <c r="AX150" s="41" t="s">
        <v>1581</v>
      </c>
      <c r="AY150" s="41" t="s">
        <v>2017</v>
      </c>
      <c r="AZ150" s="40"/>
      <c r="BA150" s="40"/>
    </row>
    <row r="151" spans="6:53" ht="29" x14ac:dyDescent="0.35">
      <c r="F151" s="40" t="s">
        <v>1146</v>
      </c>
      <c r="G151" s="85" t="s">
        <v>654</v>
      </c>
      <c r="H151" s="40" t="s">
        <v>654</v>
      </c>
      <c r="I151" s="41" t="s">
        <v>223</v>
      </c>
      <c r="J151" s="41" t="s">
        <v>601</v>
      </c>
      <c r="K151" s="41" t="s">
        <v>602</v>
      </c>
      <c r="L151" s="40" t="s">
        <v>603</v>
      </c>
      <c r="O151" s="40" t="s">
        <v>104</v>
      </c>
      <c r="P151" s="41" t="s">
        <v>104</v>
      </c>
      <c r="Q151" s="41" t="s">
        <v>104</v>
      </c>
      <c r="R151" s="41" t="s">
        <v>104</v>
      </c>
      <c r="S151" s="40" t="s">
        <v>169</v>
      </c>
      <c r="U151" s="41" t="s">
        <v>104</v>
      </c>
      <c r="V151" s="41" t="s">
        <v>104</v>
      </c>
      <c r="W151" s="41" t="s">
        <v>104</v>
      </c>
      <c r="X151" s="41" t="s">
        <v>104</v>
      </c>
      <c r="Y151" s="40" t="s">
        <v>604</v>
      </c>
      <c r="Z151" s="41" t="s">
        <v>605</v>
      </c>
      <c r="AA151" s="41" t="s">
        <v>117</v>
      </c>
      <c r="AB151" s="41" t="s">
        <v>711</v>
      </c>
      <c r="AC151" s="40" t="s">
        <v>604</v>
      </c>
      <c r="AD151" s="41" t="s">
        <v>607</v>
      </c>
      <c r="AE151" s="41" t="s">
        <v>117</v>
      </c>
      <c r="AF151" s="41" t="s">
        <v>712</v>
      </c>
      <c r="AG151" s="41" t="s">
        <v>138</v>
      </c>
      <c r="AH151" s="41" t="s">
        <v>169</v>
      </c>
      <c r="AI151" s="41">
        <v>4</v>
      </c>
      <c r="AJ151" s="41">
        <v>4</v>
      </c>
      <c r="AK151" s="41">
        <v>0</v>
      </c>
      <c r="AL151" s="42">
        <v>0</v>
      </c>
      <c r="AM151" s="41" t="s">
        <v>144</v>
      </c>
      <c r="AN151" s="42">
        <v>0</v>
      </c>
      <c r="AO151" s="41" t="s">
        <v>104</v>
      </c>
      <c r="AP151" s="41" t="s">
        <v>541</v>
      </c>
      <c r="AQ151" s="41" t="s">
        <v>104</v>
      </c>
      <c r="AR151" s="41" t="s">
        <v>165</v>
      </c>
      <c r="AS151" s="41" t="s">
        <v>169</v>
      </c>
      <c r="AT151" s="41" t="s">
        <v>104</v>
      </c>
      <c r="AU151" s="41" t="s">
        <v>173</v>
      </c>
      <c r="AW151" s="41" t="s">
        <v>170</v>
      </c>
      <c r="AX151" s="41" t="s">
        <v>1582</v>
      </c>
      <c r="AY151" s="41" t="s">
        <v>2018</v>
      </c>
      <c r="AZ151" s="40"/>
      <c r="BA151" s="40"/>
    </row>
    <row r="152" spans="6:53" ht="29" x14ac:dyDescent="0.35">
      <c r="F152" s="40" t="s">
        <v>1147</v>
      </c>
      <c r="G152" s="85" t="s">
        <v>616</v>
      </c>
      <c r="H152" s="40" t="s">
        <v>616</v>
      </c>
      <c r="I152" s="41" t="s">
        <v>223</v>
      </c>
      <c r="J152" s="41" t="s">
        <v>601</v>
      </c>
      <c r="K152" s="41" t="s">
        <v>602</v>
      </c>
      <c r="L152" s="40" t="s">
        <v>603</v>
      </c>
      <c r="O152" s="40" t="s">
        <v>104</v>
      </c>
      <c r="P152" s="41" t="s">
        <v>104</v>
      </c>
      <c r="Q152" s="41" t="s">
        <v>104</v>
      </c>
      <c r="R152" s="41" t="s">
        <v>104</v>
      </c>
      <c r="S152" s="40" t="s">
        <v>169</v>
      </c>
      <c r="U152" s="41" t="s">
        <v>104</v>
      </c>
      <c r="V152" s="41" t="s">
        <v>104</v>
      </c>
      <c r="W152" s="41" t="s">
        <v>104</v>
      </c>
      <c r="X152" s="41" t="s">
        <v>104</v>
      </c>
      <c r="Y152" s="40" t="s">
        <v>604</v>
      </c>
      <c r="Z152" s="41" t="s">
        <v>605</v>
      </c>
      <c r="AA152" s="41" t="s">
        <v>117</v>
      </c>
      <c r="AB152" s="41" t="s">
        <v>711</v>
      </c>
      <c r="AC152" s="40" t="s">
        <v>604</v>
      </c>
      <c r="AD152" s="41" t="s">
        <v>607</v>
      </c>
      <c r="AE152" s="41" t="s">
        <v>117</v>
      </c>
      <c r="AF152" s="41" t="s">
        <v>712</v>
      </c>
      <c r="AG152" s="41" t="s">
        <v>138</v>
      </c>
      <c r="AH152" s="41" t="s">
        <v>169</v>
      </c>
      <c r="AI152" s="41">
        <v>3</v>
      </c>
      <c r="AJ152" s="41">
        <v>3</v>
      </c>
      <c r="AK152" s="41">
        <v>0</v>
      </c>
      <c r="AL152" s="42">
        <v>0</v>
      </c>
      <c r="AM152" s="41" t="s">
        <v>144</v>
      </c>
      <c r="AN152" s="42">
        <v>0</v>
      </c>
      <c r="AO152" s="41" t="s">
        <v>104</v>
      </c>
      <c r="AP152" s="41" t="s">
        <v>541</v>
      </c>
      <c r="AQ152" s="41" t="s">
        <v>104</v>
      </c>
      <c r="AR152" s="41" t="s">
        <v>165</v>
      </c>
      <c r="AS152" s="41" t="s">
        <v>169</v>
      </c>
      <c r="AT152" s="41" t="s">
        <v>104</v>
      </c>
      <c r="AU152" s="41" t="s">
        <v>173</v>
      </c>
      <c r="AW152" s="41" t="s">
        <v>170</v>
      </c>
      <c r="AX152" s="41" t="s">
        <v>1583</v>
      </c>
      <c r="AY152" s="41" t="s">
        <v>2019</v>
      </c>
      <c r="AZ152" s="40"/>
      <c r="BA152" s="40"/>
    </row>
    <row r="153" spans="6:53" ht="29" x14ac:dyDescent="0.35">
      <c r="F153" s="40" t="s">
        <v>1433</v>
      </c>
      <c r="G153" s="85" t="s">
        <v>983</v>
      </c>
      <c r="H153" s="40" t="s">
        <v>984</v>
      </c>
      <c r="I153" s="41" t="s">
        <v>102</v>
      </c>
      <c r="J153" s="41" t="s">
        <v>985</v>
      </c>
      <c r="K153" s="41" t="s">
        <v>986</v>
      </c>
      <c r="L153" s="40" t="s">
        <v>603</v>
      </c>
      <c r="AC153" s="40" t="s">
        <v>987</v>
      </c>
      <c r="AG153" s="41" t="s">
        <v>139</v>
      </c>
      <c r="AH153" s="41" t="s">
        <v>141</v>
      </c>
      <c r="AI153" s="41">
        <v>6</v>
      </c>
      <c r="AK153" s="41">
        <v>6</v>
      </c>
      <c r="AL153" s="42">
        <v>0</v>
      </c>
      <c r="AN153" s="42">
        <v>0</v>
      </c>
      <c r="AP153" s="41" t="s">
        <v>154</v>
      </c>
      <c r="AQ153" s="41" t="s">
        <v>559</v>
      </c>
      <c r="AR153" s="41" t="s">
        <v>164</v>
      </c>
      <c r="AS153" s="41" t="s">
        <v>170</v>
      </c>
      <c r="AU153" s="41" t="s">
        <v>172</v>
      </c>
      <c r="AW153" s="41" t="s">
        <v>171</v>
      </c>
      <c r="AX153" s="41" t="s">
        <v>1869</v>
      </c>
      <c r="AY153" s="41"/>
      <c r="AZ153" s="40"/>
      <c r="BA153" s="40" t="s">
        <v>2173</v>
      </c>
    </row>
    <row r="154" spans="6:53" ht="29" x14ac:dyDescent="0.35">
      <c r="F154" s="40" t="s">
        <v>1149</v>
      </c>
      <c r="G154" s="85" t="s">
        <v>662</v>
      </c>
      <c r="H154" s="40" t="s">
        <v>662</v>
      </c>
      <c r="I154" s="41" t="s">
        <v>223</v>
      </c>
      <c r="J154" s="41" t="s">
        <v>601</v>
      </c>
      <c r="K154" s="41" t="s">
        <v>602</v>
      </c>
      <c r="L154" s="40" t="s">
        <v>603</v>
      </c>
      <c r="O154" s="40" t="s">
        <v>104</v>
      </c>
      <c r="P154" s="41" t="s">
        <v>104</v>
      </c>
      <c r="Q154" s="41" t="s">
        <v>104</v>
      </c>
      <c r="R154" s="41" t="s">
        <v>104</v>
      </c>
      <c r="S154" s="40" t="s">
        <v>169</v>
      </c>
      <c r="U154" s="41" t="s">
        <v>104</v>
      </c>
      <c r="V154" s="41" t="s">
        <v>104</v>
      </c>
      <c r="W154" s="41" t="s">
        <v>104</v>
      </c>
      <c r="X154" s="41" t="s">
        <v>104</v>
      </c>
      <c r="Y154" s="40" t="s">
        <v>604</v>
      </c>
      <c r="Z154" s="41" t="s">
        <v>605</v>
      </c>
      <c r="AA154" s="41" t="s">
        <v>117</v>
      </c>
      <c r="AB154" s="41" t="s">
        <v>711</v>
      </c>
      <c r="AC154" s="40" t="s">
        <v>604</v>
      </c>
      <c r="AD154" s="41" t="s">
        <v>607</v>
      </c>
      <c r="AE154" s="41" t="s">
        <v>117</v>
      </c>
      <c r="AF154" s="41" t="s">
        <v>712</v>
      </c>
      <c r="AG154" s="41" t="s">
        <v>138</v>
      </c>
      <c r="AH154" s="41" t="s">
        <v>169</v>
      </c>
      <c r="AI154" s="41">
        <v>1</v>
      </c>
      <c r="AJ154" s="41">
        <v>1</v>
      </c>
      <c r="AK154" s="41">
        <v>0</v>
      </c>
      <c r="AL154" s="42">
        <v>0</v>
      </c>
      <c r="AM154" s="41" t="s">
        <v>144</v>
      </c>
      <c r="AN154" s="42">
        <v>0</v>
      </c>
      <c r="AO154" s="41" t="s">
        <v>104</v>
      </c>
      <c r="AP154" s="41" t="s">
        <v>541</v>
      </c>
      <c r="AQ154" s="41" t="s">
        <v>104</v>
      </c>
      <c r="AR154" s="41" t="s">
        <v>165</v>
      </c>
      <c r="AS154" s="41" t="s">
        <v>169</v>
      </c>
      <c r="AT154" s="41" t="s">
        <v>104</v>
      </c>
      <c r="AU154" s="41" t="s">
        <v>173</v>
      </c>
      <c r="AW154" s="41" t="s">
        <v>170</v>
      </c>
      <c r="AX154" s="41" t="s">
        <v>1585</v>
      </c>
      <c r="AY154" s="41" t="s">
        <v>2021</v>
      </c>
      <c r="AZ154" s="40"/>
      <c r="BA154" s="40"/>
    </row>
    <row r="155" spans="6:53" ht="29" x14ac:dyDescent="0.35">
      <c r="F155" s="40" t="s">
        <v>1150</v>
      </c>
      <c r="G155" s="85" t="s">
        <v>654</v>
      </c>
      <c r="H155" s="40" t="s">
        <v>654</v>
      </c>
      <c r="I155" s="41" t="s">
        <v>223</v>
      </c>
      <c r="J155" s="41" t="s">
        <v>601</v>
      </c>
      <c r="K155" s="41" t="s">
        <v>602</v>
      </c>
      <c r="L155" s="40" t="s">
        <v>603</v>
      </c>
      <c r="O155" s="40" t="s">
        <v>104</v>
      </c>
      <c r="P155" s="41" t="s">
        <v>104</v>
      </c>
      <c r="Q155" s="41" t="s">
        <v>104</v>
      </c>
      <c r="R155" s="41" t="s">
        <v>104</v>
      </c>
      <c r="S155" s="40" t="s">
        <v>169</v>
      </c>
      <c r="U155" s="41" t="s">
        <v>104</v>
      </c>
      <c r="V155" s="41" t="s">
        <v>104</v>
      </c>
      <c r="W155" s="41" t="s">
        <v>104</v>
      </c>
      <c r="X155" s="41" t="s">
        <v>104</v>
      </c>
      <c r="Y155" s="40" t="s">
        <v>604</v>
      </c>
      <c r="Z155" s="41" t="s">
        <v>605</v>
      </c>
      <c r="AA155" s="41" t="s">
        <v>117</v>
      </c>
      <c r="AB155" s="41" t="s">
        <v>711</v>
      </c>
      <c r="AC155" s="40" t="s">
        <v>604</v>
      </c>
      <c r="AD155" s="41" t="s">
        <v>607</v>
      </c>
      <c r="AE155" s="41" t="s">
        <v>117</v>
      </c>
      <c r="AF155" s="41" t="s">
        <v>712</v>
      </c>
      <c r="AG155" s="41" t="s">
        <v>138</v>
      </c>
      <c r="AH155" s="41" t="s">
        <v>169</v>
      </c>
      <c r="AI155" s="41">
        <v>1</v>
      </c>
      <c r="AJ155" s="41">
        <v>1</v>
      </c>
      <c r="AK155" s="41">
        <v>0</v>
      </c>
      <c r="AL155" s="42">
        <v>0</v>
      </c>
      <c r="AM155" s="41" t="s">
        <v>144</v>
      </c>
      <c r="AN155" s="42">
        <v>0</v>
      </c>
      <c r="AO155" s="41" t="s">
        <v>104</v>
      </c>
      <c r="AP155" s="41" t="s">
        <v>541</v>
      </c>
      <c r="AQ155" s="41" t="s">
        <v>104</v>
      </c>
      <c r="AR155" s="41" t="s">
        <v>165</v>
      </c>
      <c r="AS155" s="41" t="s">
        <v>169</v>
      </c>
      <c r="AT155" s="41" t="s">
        <v>104</v>
      </c>
      <c r="AU155" s="41" t="s">
        <v>173</v>
      </c>
      <c r="AW155" s="41" t="s">
        <v>170</v>
      </c>
      <c r="AX155" s="41" t="s">
        <v>1586</v>
      </c>
      <c r="AY155" s="41" t="s">
        <v>2022</v>
      </c>
      <c r="AZ155" s="40"/>
      <c r="BA155" s="40"/>
    </row>
    <row r="156" spans="6:53" ht="29" x14ac:dyDescent="0.35">
      <c r="F156" s="40" t="s">
        <v>1151</v>
      </c>
      <c r="G156" s="85" t="s">
        <v>715</v>
      </c>
      <c r="H156" s="40" t="s">
        <v>715</v>
      </c>
      <c r="I156" s="41" t="s">
        <v>223</v>
      </c>
      <c r="J156" s="41" t="s">
        <v>601</v>
      </c>
      <c r="K156" s="41" t="s">
        <v>602</v>
      </c>
      <c r="L156" s="40" t="s">
        <v>603</v>
      </c>
      <c r="O156" s="40" t="s">
        <v>104</v>
      </c>
      <c r="P156" s="41" t="s">
        <v>104</v>
      </c>
      <c r="Q156" s="41" t="s">
        <v>104</v>
      </c>
      <c r="R156" s="41" t="s">
        <v>104</v>
      </c>
      <c r="S156" s="40" t="s">
        <v>169</v>
      </c>
      <c r="U156" s="41" t="s">
        <v>104</v>
      </c>
      <c r="V156" s="41" t="s">
        <v>104</v>
      </c>
      <c r="W156" s="41" t="s">
        <v>104</v>
      </c>
      <c r="X156" s="41" t="s">
        <v>104</v>
      </c>
      <c r="Y156" s="40" t="s">
        <v>604</v>
      </c>
      <c r="Z156" s="41" t="s">
        <v>605</v>
      </c>
      <c r="AA156" s="41" t="s">
        <v>117</v>
      </c>
      <c r="AB156" s="41" t="s">
        <v>711</v>
      </c>
      <c r="AC156" s="40" t="s">
        <v>604</v>
      </c>
      <c r="AD156" s="41" t="s">
        <v>607</v>
      </c>
      <c r="AE156" s="41" t="s">
        <v>117</v>
      </c>
      <c r="AF156" s="41" t="s">
        <v>712</v>
      </c>
      <c r="AG156" s="41" t="s">
        <v>138</v>
      </c>
      <c r="AH156" s="41" t="s">
        <v>169</v>
      </c>
      <c r="AI156" s="41">
        <v>1</v>
      </c>
      <c r="AJ156" s="41">
        <v>1</v>
      </c>
      <c r="AK156" s="41">
        <v>0</v>
      </c>
      <c r="AL156" s="42">
        <v>0</v>
      </c>
      <c r="AM156" s="41" t="s">
        <v>144</v>
      </c>
      <c r="AN156" s="42">
        <v>0</v>
      </c>
      <c r="AO156" s="41" t="s">
        <v>104</v>
      </c>
      <c r="AP156" s="41" t="s">
        <v>541</v>
      </c>
      <c r="AQ156" s="41" t="s">
        <v>104</v>
      </c>
      <c r="AR156" s="41" t="s">
        <v>165</v>
      </c>
      <c r="AS156" s="41" t="s">
        <v>169</v>
      </c>
      <c r="AT156" s="41" t="s">
        <v>104</v>
      </c>
      <c r="AU156" s="41" t="s">
        <v>173</v>
      </c>
      <c r="AW156" s="41" t="s">
        <v>170</v>
      </c>
      <c r="AX156" s="41" t="s">
        <v>1587</v>
      </c>
      <c r="AY156" s="41" t="s">
        <v>2023</v>
      </c>
      <c r="AZ156" s="40"/>
      <c r="BA156" s="40"/>
    </row>
    <row r="157" spans="6:53" ht="29" x14ac:dyDescent="0.35">
      <c r="F157" s="40" t="s">
        <v>1152</v>
      </c>
      <c r="G157" s="85" t="s">
        <v>716</v>
      </c>
      <c r="H157" s="40" t="s">
        <v>716</v>
      </c>
      <c r="I157" s="41" t="s">
        <v>223</v>
      </c>
      <c r="J157" s="41" t="s">
        <v>601</v>
      </c>
      <c r="K157" s="41" t="s">
        <v>602</v>
      </c>
      <c r="L157" s="40" t="s">
        <v>603</v>
      </c>
      <c r="O157" s="40" t="s">
        <v>104</v>
      </c>
      <c r="P157" s="41" t="s">
        <v>104</v>
      </c>
      <c r="Q157" s="41" t="s">
        <v>104</v>
      </c>
      <c r="R157" s="41" t="s">
        <v>104</v>
      </c>
      <c r="S157" s="40" t="s">
        <v>169</v>
      </c>
      <c r="T157" s="41" t="s">
        <v>714</v>
      </c>
      <c r="U157" s="41" t="s">
        <v>104</v>
      </c>
      <c r="V157" s="41" t="s">
        <v>104</v>
      </c>
      <c r="W157" s="41" t="s">
        <v>104</v>
      </c>
      <c r="X157" s="41" t="s">
        <v>104</v>
      </c>
      <c r="Y157" s="40" t="s">
        <v>604</v>
      </c>
      <c r="Z157" s="41" t="s">
        <v>605</v>
      </c>
      <c r="AA157" s="41" t="s">
        <v>117</v>
      </c>
      <c r="AB157" s="41" t="s">
        <v>711</v>
      </c>
      <c r="AC157" s="40" t="s">
        <v>604</v>
      </c>
      <c r="AD157" s="41" t="s">
        <v>607</v>
      </c>
      <c r="AE157" s="41" t="s">
        <v>117</v>
      </c>
      <c r="AF157" s="41" t="s">
        <v>712</v>
      </c>
      <c r="AG157" s="41" t="s">
        <v>138</v>
      </c>
      <c r="AH157" s="41" t="s">
        <v>169</v>
      </c>
      <c r="AI157" s="41">
        <v>1</v>
      </c>
      <c r="AJ157" s="41">
        <v>1</v>
      </c>
      <c r="AK157" s="41">
        <v>0</v>
      </c>
      <c r="AL157" s="42">
        <v>0</v>
      </c>
      <c r="AM157" s="41" t="s">
        <v>144</v>
      </c>
      <c r="AN157" s="42">
        <v>0</v>
      </c>
      <c r="AO157" s="41" t="s">
        <v>104</v>
      </c>
      <c r="AP157" s="41" t="s">
        <v>541</v>
      </c>
      <c r="AQ157" s="41" t="s">
        <v>104</v>
      </c>
      <c r="AR157" s="41" t="s">
        <v>165</v>
      </c>
      <c r="AS157" s="41" t="s">
        <v>169</v>
      </c>
      <c r="AT157" s="41" t="s">
        <v>104</v>
      </c>
      <c r="AU157" s="41" t="s">
        <v>173</v>
      </c>
      <c r="AW157" s="41" t="s">
        <v>170</v>
      </c>
      <c r="AX157" s="41" t="s">
        <v>1588</v>
      </c>
      <c r="AY157" s="41" t="s">
        <v>2024</v>
      </c>
      <c r="AZ157" s="40"/>
      <c r="BA157" s="40"/>
    </row>
    <row r="158" spans="6:53" ht="29" x14ac:dyDescent="0.35">
      <c r="F158" s="40" t="s">
        <v>1153</v>
      </c>
      <c r="G158" s="85" t="s">
        <v>628</v>
      </c>
      <c r="H158" s="40" t="s">
        <v>628</v>
      </c>
      <c r="I158" s="41" t="s">
        <v>223</v>
      </c>
      <c r="J158" s="41" t="s">
        <v>601</v>
      </c>
      <c r="K158" s="41" t="s">
        <v>602</v>
      </c>
      <c r="L158" s="40" t="s">
        <v>603</v>
      </c>
      <c r="O158" s="40" t="s">
        <v>104</v>
      </c>
      <c r="P158" s="41" t="s">
        <v>104</v>
      </c>
      <c r="Q158" s="41" t="s">
        <v>104</v>
      </c>
      <c r="R158" s="41" t="s">
        <v>104</v>
      </c>
      <c r="S158" s="40" t="s">
        <v>169</v>
      </c>
      <c r="T158" s="41" t="s">
        <v>657</v>
      </c>
      <c r="U158" s="41" t="s">
        <v>104</v>
      </c>
      <c r="V158" s="41" t="s">
        <v>104</v>
      </c>
      <c r="W158" s="41" t="s">
        <v>104</v>
      </c>
      <c r="X158" s="41" t="s">
        <v>115</v>
      </c>
      <c r="Y158" s="40" t="s">
        <v>604</v>
      </c>
      <c r="Z158" s="41" t="s">
        <v>605</v>
      </c>
      <c r="AA158" s="41" t="s">
        <v>117</v>
      </c>
      <c r="AB158" s="41" t="s">
        <v>711</v>
      </c>
      <c r="AC158" s="40" t="s">
        <v>604</v>
      </c>
      <c r="AD158" s="41" t="s">
        <v>607</v>
      </c>
      <c r="AE158" s="41" t="s">
        <v>117</v>
      </c>
      <c r="AF158" s="41" t="s">
        <v>712</v>
      </c>
      <c r="AG158" s="41" t="s">
        <v>138</v>
      </c>
      <c r="AH158" s="41" t="s">
        <v>169</v>
      </c>
      <c r="AI158" s="41">
        <v>1</v>
      </c>
      <c r="AJ158" s="41">
        <v>1</v>
      </c>
      <c r="AK158" s="41">
        <v>0</v>
      </c>
      <c r="AL158" s="42">
        <v>0</v>
      </c>
      <c r="AM158" s="41" t="s">
        <v>144</v>
      </c>
      <c r="AN158" s="42">
        <v>0</v>
      </c>
      <c r="AO158" s="41" t="s">
        <v>104</v>
      </c>
      <c r="AP158" s="41" t="s">
        <v>541</v>
      </c>
      <c r="AQ158" s="41" t="s">
        <v>104</v>
      </c>
      <c r="AR158" s="41" t="s">
        <v>165</v>
      </c>
      <c r="AS158" s="41" t="s">
        <v>169</v>
      </c>
      <c r="AT158" s="41" t="s">
        <v>104</v>
      </c>
      <c r="AU158" s="41" t="s">
        <v>173</v>
      </c>
      <c r="AW158" s="41" t="s">
        <v>170</v>
      </c>
      <c r="AX158" s="41" t="s">
        <v>1589</v>
      </c>
      <c r="AY158" s="41" t="s">
        <v>2025</v>
      </c>
      <c r="AZ158" s="40"/>
      <c r="BA158" s="40"/>
    </row>
    <row r="159" spans="6:53" ht="29" x14ac:dyDescent="0.35">
      <c r="F159" s="40" t="s">
        <v>1154</v>
      </c>
      <c r="G159" s="85" t="s">
        <v>713</v>
      </c>
      <c r="H159" s="40" t="s">
        <v>713</v>
      </c>
      <c r="I159" s="41" t="s">
        <v>223</v>
      </c>
      <c r="J159" s="41" t="s">
        <v>601</v>
      </c>
      <c r="K159" s="41" t="s">
        <v>602</v>
      </c>
      <c r="L159" s="40" t="s">
        <v>603</v>
      </c>
      <c r="O159" s="40" t="s">
        <v>104</v>
      </c>
      <c r="P159" s="41" t="s">
        <v>104</v>
      </c>
      <c r="Q159" s="41" t="s">
        <v>104</v>
      </c>
      <c r="R159" s="41" t="s">
        <v>104</v>
      </c>
      <c r="S159" s="40" t="s">
        <v>169</v>
      </c>
      <c r="T159" s="41" t="s">
        <v>686</v>
      </c>
      <c r="U159" s="41" t="s">
        <v>104</v>
      </c>
      <c r="V159" s="41" t="s">
        <v>104</v>
      </c>
      <c r="W159" s="41" t="s">
        <v>104</v>
      </c>
      <c r="X159" s="41" t="s">
        <v>104</v>
      </c>
      <c r="Y159" s="40" t="s">
        <v>604</v>
      </c>
      <c r="Z159" s="41" t="s">
        <v>605</v>
      </c>
      <c r="AA159" s="41" t="s">
        <v>117</v>
      </c>
      <c r="AB159" s="41" t="s">
        <v>717</v>
      </c>
      <c r="AC159" s="40" t="s">
        <v>604</v>
      </c>
      <c r="AD159" s="41" t="s">
        <v>607</v>
      </c>
      <c r="AE159" s="41" t="s">
        <v>117</v>
      </c>
      <c r="AG159" s="41" t="s">
        <v>138</v>
      </c>
      <c r="AH159" s="41" t="s">
        <v>169</v>
      </c>
      <c r="AI159" s="41">
        <v>1</v>
      </c>
      <c r="AJ159" s="41">
        <v>1</v>
      </c>
      <c r="AK159" s="41">
        <v>0</v>
      </c>
      <c r="AL159" s="42">
        <v>0</v>
      </c>
      <c r="AM159" s="41" t="s">
        <v>144</v>
      </c>
      <c r="AN159" s="42">
        <v>0</v>
      </c>
      <c r="AO159" s="41" t="s">
        <v>104</v>
      </c>
      <c r="AP159" s="41" t="s">
        <v>541</v>
      </c>
      <c r="AQ159" s="41" t="s">
        <v>104</v>
      </c>
      <c r="AR159" s="41" t="s">
        <v>165</v>
      </c>
      <c r="AS159" s="41" t="s">
        <v>169</v>
      </c>
      <c r="AT159" s="41" t="s">
        <v>104</v>
      </c>
      <c r="AU159" s="41" t="s">
        <v>173</v>
      </c>
      <c r="AW159" s="41" t="s">
        <v>170</v>
      </c>
      <c r="AX159" s="41" t="s">
        <v>1590</v>
      </c>
      <c r="AY159" s="41" t="s">
        <v>2026</v>
      </c>
      <c r="AZ159" s="40"/>
      <c r="BA159" s="40"/>
    </row>
    <row r="160" spans="6:53" ht="29" x14ac:dyDescent="0.35">
      <c r="F160" s="40" t="s">
        <v>1155</v>
      </c>
      <c r="G160" s="85" t="s">
        <v>616</v>
      </c>
      <c r="H160" s="40" t="s">
        <v>616</v>
      </c>
      <c r="I160" s="41" t="s">
        <v>223</v>
      </c>
      <c r="J160" s="41" t="s">
        <v>601</v>
      </c>
      <c r="K160" s="41" t="s">
        <v>602</v>
      </c>
      <c r="L160" s="40" t="s">
        <v>603</v>
      </c>
      <c r="O160" s="40" t="s">
        <v>104</v>
      </c>
      <c r="P160" s="41" t="s">
        <v>104</v>
      </c>
      <c r="Q160" s="41" t="s">
        <v>104</v>
      </c>
      <c r="R160" s="41" t="s">
        <v>104</v>
      </c>
      <c r="S160" s="40" t="s">
        <v>169</v>
      </c>
      <c r="U160" s="41" t="s">
        <v>104</v>
      </c>
      <c r="V160" s="41" t="s">
        <v>104</v>
      </c>
      <c r="W160" s="41" t="s">
        <v>104</v>
      </c>
      <c r="X160" s="41" t="s">
        <v>104</v>
      </c>
      <c r="Y160" s="40" t="s">
        <v>604</v>
      </c>
      <c r="Z160" s="41" t="s">
        <v>605</v>
      </c>
      <c r="AA160" s="41" t="s">
        <v>117</v>
      </c>
      <c r="AB160" s="41" t="s">
        <v>717</v>
      </c>
      <c r="AC160" s="40" t="s">
        <v>604</v>
      </c>
      <c r="AD160" s="41" t="s">
        <v>607</v>
      </c>
      <c r="AE160" s="41" t="s">
        <v>117</v>
      </c>
      <c r="AG160" s="41" t="s">
        <v>138</v>
      </c>
      <c r="AH160" s="41" t="s">
        <v>169</v>
      </c>
      <c r="AI160" s="41">
        <v>1</v>
      </c>
      <c r="AJ160" s="41">
        <v>1</v>
      </c>
      <c r="AK160" s="41">
        <v>0</v>
      </c>
      <c r="AL160" s="42">
        <v>0</v>
      </c>
      <c r="AM160" s="41" t="s">
        <v>144</v>
      </c>
      <c r="AN160" s="42">
        <v>0</v>
      </c>
      <c r="AO160" s="41" t="s">
        <v>104</v>
      </c>
      <c r="AP160" s="41" t="s">
        <v>541</v>
      </c>
      <c r="AQ160" s="41" t="s">
        <v>104</v>
      </c>
      <c r="AR160" s="41" t="s">
        <v>165</v>
      </c>
      <c r="AS160" s="41" t="s">
        <v>169</v>
      </c>
      <c r="AT160" s="41" t="s">
        <v>104</v>
      </c>
      <c r="AU160" s="41" t="s">
        <v>173</v>
      </c>
      <c r="AW160" s="41" t="s">
        <v>170</v>
      </c>
      <c r="AX160" s="41" t="s">
        <v>1591</v>
      </c>
      <c r="AY160" s="41" t="s">
        <v>2027</v>
      </c>
      <c r="AZ160" s="40"/>
      <c r="BA160" s="40"/>
    </row>
    <row r="161" spans="6:53" ht="29" x14ac:dyDescent="0.35">
      <c r="F161" s="40" t="s">
        <v>1156</v>
      </c>
      <c r="G161" s="85" t="s">
        <v>654</v>
      </c>
      <c r="H161" s="40" t="s">
        <v>654</v>
      </c>
      <c r="I161" s="41" t="s">
        <v>223</v>
      </c>
      <c r="J161" s="41" t="s">
        <v>601</v>
      </c>
      <c r="K161" s="41" t="s">
        <v>602</v>
      </c>
      <c r="L161" s="40" t="s">
        <v>603</v>
      </c>
      <c r="O161" s="40" t="s">
        <v>104</v>
      </c>
      <c r="P161" s="41" t="s">
        <v>104</v>
      </c>
      <c r="Q161" s="41" t="s">
        <v>104</v>
      </c>
      <c r="R161" s="41" t="s">
        <v>104</v>
      </c>
      <c r="S161" s="40" t="s">
        <v>169</v>
      </c>
      <c r="U161" s="41" t="s">
        <v>104</v>
      </c>
      <c r="V161" s="41" t="s">
        <v>104</v>
      </c>
      <c r="W161" s="41" t="s">
        <v>104</v>
      </c>
      <c r="X161" s="41" t="s">
        <v>104</v>
      </c>
      <c r="Y161" s="40" t="s">
        <v>604</v>
      </c>
      <c r="Z161" s="41" t="s">
        <v>605</v>
      </c>
      <c r="AA161" s="41" t="s">
        <v>117</v>
      </c>
      <c r="AB161" s="41" t="s">
        <v>717</v>
      </c>
      <c r="AC161" s="40" t="s">
        <v>604</v>
      </c>
      <c r="AD161" s="41" t="s">
        <v>607</v>
      </c>
      <c r="AE161" s="41" t="s">
        <v>117</v>
      </c>
      <c r="AG161" s="41" t="s">
        <v>138</v>
      </c>
      <c r="AH161" s="41" t="s">
        <v>169</v>
      </c>
      <c r="AI161" s="41">
        <v>1</v>
      </c>
      <c r="AJ161" s="41">
        <v>1</v>
      </c>
      <c r="AK161" s="41">
        <v>0</v>
      </c>
      <c r="AL161" s="42">
        <v>0</v>
      </c>
      <c r="AM161" s="41" t="s">
        <v>144</v>
      </c>
      <c r="AN161" s="42">
        <v>0</v>
      </c>
      <c r="AO161" s="41" t="s">
        <v>104</v>
      </c>
      <c r="AP161" s="41" t="s">
        <v>541</v>
      </c>
      <c r="AQ161" s="41" t="s">
        <v>104</v>
      </c>
      <c r="AR161" s="41" t="s">
        <v>165</v>
      </c>
      <c r="AS161" s="41" t="s">
        <v>169</v>
      </c>
      <c r="AT161" s="41" t="s">
        <v>104</v>
      </c>
      <c r="AU161" s="41" t="s">
        <v>173</v>
      </c>
      <c r="AW161" s="41" t="s">
        <v>170</v>
      </c>
      <c r="AX161" s="41" t="s">
        <v>1592</v>
      </c>
      <c r="AY161" s="41" t="s">
        <v>2028</v>
      </c>
      <c r="AZ161" s="40"/>
      <c r="BA161" s="40"/>
    </row>
    <row r="162" spans="6:53" ht="29" x14ac:dyDescent="0.35">
      <c r="F162" s="40" t="s">
        <v>1157</v>
      </c>
      <c r="G162" s="85" t="s">
        <v>718</v>
      </c>
      <c r="H162" s="40" t="s">
        <v>718</v>
      </c>
      <c r="I162" s="41" t="s">
        <v>223</v>
      </c>
      <c r="J162" s="41" t="s">
        <v>601</v>
      </c>
      <c r="K162" s="41" t="s">
        <v>602</v>
      </c>
      <c r="L162" s="40" t="s">
        <v>603</v>
      </c>
      <c r="O162" s="40" t="s">
        <v>104</v>
      </c>
      <c r="P162" s="41" t="s">
        <v>104</v>
      </c>
      <c r="Q162" s="41" t="s">
        <v>104</v>
      </c>
      <c r="R162" s="41" t="s">
        <v>104</v>
      </c>
      <c r="S162" s="40" t="s">
        <v>169</v>
      </c>
      <c r="T162" s="41" t="s">
        <v>719</v>
      </c>
      <c r="U162" s="41" t="s">
        <v>104</v>
      </c>
      <c r="V162" s="41" t="s">
        <v>104</v>
      </c>
      <c r="W162" s="41" t="s">
        <v>104</v>
      </c>
      <c r="X162" s="41" t="s">
        <v>104</v>
      </c>
      <c r="Y162" s="40" t="s">
        <v>604</v>
      </c>
      <c r="Z162" s="41" t="s">
        <v>605</v>
      </c>
      <c r="AA162" s="41" t="s">
        <v>121</v>
      </c>
      <c r="AB162" s="41" t="s">
        <v>720</v>
      </c>
      <c r="AC162" s="40" t="s">
        <v>604</v>
      </c>
      <c r="AD162" s="41" t="s">
        <v>607</v>
      </c>
      <c r="AE162" s="41" t="s">
        <v>121</v>
      </c>
      <c r="AF162" s="41" t="s">
        <v>721</v>
      </c>
      <c r="AG162" s="41" t="s">
        <v>138</v>
      </c>
      <c r="AH162" s="41" t="s">
        <v>169</v>
      </c>
      <c r="AI162" s="41">
        <v>1</v>
      </c>
      <c r="AJ162" s="41">
        <v>1</v>
      </c>
      <c r="AK162" s="41">
        <v>0</v>
      </c>
      <c r="AL162" s="42">
        <v>0</v>
      </c>
      <c r="AM162" s="41" t="s">
        <v>144</v>
      </c>
      <c r="AN162" s="42">
        <v>0</v>
      </c>
      <c r="AO162" s="41" t="s">
        <v>104</v>
      </c>
      <c r="AP162" s="41" t="s">
        <v>541</v>
      </c>
      <c r="AQ162" s="41" t="s">
        <v>104</v>
      </c>
      <c r="AR162" s="41" t="s">
        <v>165</v>
      </c>
      <c r="AS162" s="41" t="s">
        <v>169</v>
      </c>
      <c r="AT162" s="41" t="s">
        <v>104</v>
      </c>
      <c r="AU162" s="41" t="s">
        <v>173</v>
      </c>
      <c r="AW162" s="41" t="s">
        <v>170</v>
      </c>
      <c r="AX162" s="41" t="s">
        <v>1593</v>
      </c>
      <c r="AY162" s="41" t="s">
        <v>2029</v>
      </c>
      <c r="AZ162" s="40"/>
      <c r="BA162" s="40"/>
    </row>
    <row r="163" spans="6:53" ht="29" x14ac:dyDescent="0.35">
      <c r="F163" s="40" t="s">
        <v>1158</v>
      </c>
      <c r="G163" s="85" t="s">
        <v>616</v>
      </c>
      <c r="H163" s="40" t="s">
        <v>616</v>
      </c>
      <c r="I163" s="41" t="s">
        <v>223</v>
      </c>
      <c r="J163" s="41" t="s">
        <v>601</v>
      </c>
      <c r="K163" s="41" t="s">
        <v>602</v>
      </c>
      <c r="L163" s="40" t="s">
        <v>603</v>
      </c>
      <c r="O163" s="40" t="s">
        <v>104</v>
      </c>
      <c r="P163" s="41" t="s">
        <v>104</v>
      </c>
      <c r="Q163" s="41" t="s">
        <v>104</v>
      </c>
      <c r="R163" s="41" t="s">
        <v>104</v>
      </c>
      <c r="S163" s="40" t="s">
        <v>169</v>
      </c>
      <c r="U163" s="41" t="s">
        <v>104</v>
      </c>
      <c r="V163" s="41" t="s">
        <v>104</v>
      </c>
      <c r="W163" s="41" t="s">
        <v>104</v>
      </c>
      <c r="X163" s="41" t="s">
        <v>104</v>
      </c>
      <c r="Y163" s="40" t="s">
        <v>604</v>
      </c>
      <c r="Z163" s="41" t="s">
        <v>605</v>
      </c>
      <c r="AA163" s="41" t="s">
        <v>121</v>
      </c>
      <c r="AB163" s="41" t="s">
        <v>720</v>
      </c>
      <c r="AC163" s="40" t="s">
        <v>604</v>
      </c>
      <c r="AD163" s="41" t="s">
        <v>607</v>
      </c>
      <c r="AE163" s="41" t="s">
        <v>121</v>
      </c>
      <c r="AF163" s="41" t="s">
        <v>721</v>
      </c>
      <c r="AG163" s="41" t="s">
        <v>138</v>
      </c>
      <c r="AH163" s="41" t="s">
        <v>169</v>
      </c>
      <c r="AI163" s="41">
        <v>2</v>
      </c>
      <c r="AJ163" s="41">
        <v>2</v>
      </c>
      <c r="AK163" s="41">
        <v>0</v>
      </c>
      <c r="AL163" s="42">
        <v>0</v>
      </c>
      <c r="AM163" s="41" t="s">
        <v>144</v>
      </c>
      <c r="AN163" s="42">
        <v>0</v>
      </c>
      <c r="AO163" s="41" t="s">
        <v>104</v>
      </c>
      <c r="AP163" s="41" t="s">
        <v>541</v>
      </c>
      <c r="AQ163" s="41" t="s">
        <v>104</v>
      </c>
      <c r="AR163" s="41" t="s">
        <v>165</v>
      </c>
      <c r="AS163" s="41" t="s">
        <v>169</v>
      </c>
      <c r="AT163" s="41" t="s">
        <v>104</v>
      </c>
      <c r="AU163" s="41" t="s">
        <v>173</v>
      </c>
      <c r="AW163" s="41" t="s">
        <v>170</v>
      </c>
      <c r="AX163" s="41" t="s">
        <v>1594</v>
      </c>
      <c r="AY163" s="41" t="s">
        <v>2030</v>
      </c>
      <c r="AZ163" s="40"/>
      <c r="BA163" s="40"/>
    </row>
    <row r="164" spans="6:53" ht="29" x14ac:dyDescent="0.35">
      <c r="F164" s="40" t="s">
        <v>1159</v>
      </c>
      <c r="G164" s="85" t="s">
        <v>722</v>
      </c>
      <c r="H164" s="40" t="s">
        <v>722</v>
      </c>
      <c r="I164" s="41" t="s">
        <v>223</v>
      </c>
      <c r="J164" s="41" t="s">
        <v>601</v>
      </c>
      <c r="K164" s="41" t="s">
        <v>602</v>
      </c>
      <c r="L164" s="40" t="s">
        <v>603</v>
      </c>
      <c r="O164" s="40" t="s">
        <v>104</v>
      </c>
      <c r="P164" s="41" t="s">
        <v>104</v>
      </c>
      <c r="Q164" s="41" t="s">
        <v>104</v>
      </c>
      <c r="R164" s="41" t="s">
        <v>104</v>
      </c>
      <c r="S164" s="40" t="s">
        <v>169</v>
      </c>
      <c r="T164" s="41" t="s">
        <v>723</v>
      </c>
      <c r="U164" s="41" t="s">
        <v>104</v>
      </c>
      <c r="V164" s="41" t="s">
        <v>104</v>
      </c>
      <c r="W164" s="41" t="s">
        <v>104</v>
      </c>
      <c r="X164" s="41" t="s">
        <v>104</v>
      </c>
      <c r="Y164" s="40" t="s">
        <v>604</v>
      </c>
      <c r="Z164" s="41" t="s">
        <v>605</v>
      </c>
      <c r="AA164" s="41" t="s">
        <v>121</v>
      </c>
      <c r="AB164" s="41" t="s">
        <v>720</v>
      </c>
      <c r="AC164" s="40" t="s">
        <v>604</v>
      </c>
      <c r="AD164" s="41" t="s">
        <v>607</v>
      </c>
      <c r="AE164" s="41" t="s">
        <v>121</v>
      </c>
      <c r="AF164" s="41" t="s">
        <v>721</v>
      </c>
      <c r="AG164" s="41" t="s">
        <v>138</v>
      </c>
      <c r="AH164" s="41" t="s">
        <v>169</v>
      </c>
      <c r="AI164" s="41">
        <v>1</v>
      </c>
      <c r="AJ164" s="41">
        <v>1</v>
      </c>
      <c r="AK164" s="41">
        <v>0</v>
      </c>
      <c r="AL164" s="42">
        <v>0</v>
      </c>
      <c r="AM164" s="41" t="s">
        <v>144</v>
      </c>
      <c r="AN164" s="42">
        <v>0</v>
      </c>
      <c r="AO164" s="41" t="s">
        <v>104</v>
      </c>
      <c r="AP164" s="41" t="s">
        <v>541</v>
      </c>
      <c r="AQ164" s="41" t="s">
        <v>104</v>
      </c>
      <c r="AR164" s="41" t="s">
        <v>165</v>
      </c>
      <c r="AS164" s="41" t="s">
        <v>169</v>
      </c>
      <c r="AT164" s="41" t="s">
        <v>104</v>
      </c>
      <c r="AU164" s="41" t="s">
        <v>173</v>
      </c>
      <c r="AW164" s="41" t="s">
        <v>170</v>
      </c>
      <c r="AX164" s="41" t="s">
        <v>1595</v>
      </c>
      <c r="AY164" s="41" t="s">
        <v>2031</v>
      </c>
      <c r="AZ164" s="40"/>
      <c r="BA164" s="40"/>
    </row>
    <row r="165" spans="6:53" ht="29" x14ac:dyDescent="0.35">
      <c r="F165" s="40" t="s">
        <v>1160</v>
      </c>
      <c r="G165" s="85" t="s">
        <v>724</v>
      </c>
      <c r="H165" s="40" t="s">
        <v>724</v>
      </c>
      <c r="I165" s="41" t="s">
        <v>223</v>
      </c>
      <c r="J165" s="41" t="s">
        <v>601</v>
      </c>
      <c r="K165" s="41" t="s">
        <v>602</v>
      </c>
      <c r="L165" s="40" t="s">
        <v>603</v>
      </c>
      <c r="O165" s="40" t="s">
        <v>104</v>
      </c>
      <c r="P165" s="41" t="s">
        <v>104</v>
      </c>
      <c r="Q165" s="41" t="s">
        <v>104</v>
      </c>
      <c r="R165" s="41" t="s">
        <v>104</v>
      </c>
      <c r="S165" s="40" t="s">
        <v>169</v>
      </c>
      <c r="T165" s="41" t="s">
        <v>723</v>
      </c>
      <c r="U165" s="41" t="s">
        <v>104</v>
      </c>
      <c r="V165" s="41" t="s">
        <v>104</v>
      </c>
      <c r="W165" s="41" t="s">
        <v>104</v>
      </c>
      <c r="X165" s="41" t="s">
        <v>104</v>
      </c>
      <c r="Y165" s="40" t="s">
        <v>604</v>
      </c>
      <c r="Z165" s="41" t="s">
        <v>605</v>
      </c>
      <c r="AA165" s="41" t="s">
        <v>121</v>
      </c>
      <c r="AB165" s="41" t="s">
        <v>720</v>
      </c>
      <c r="AC165" s="40" t="s">
        <v>604</v>
      </c>
      <c r="AD165" s="41" t="s">
        <v>607</v>
      </c>
      <c r="AE165" s="41" t="s">
        <v>121</v>
      </c>
      <c r="AF165" s="41" t="s">
        <v>721</v>
      </c>
      <c r="AG165" s="41" t="s">
        <v>138</v>
      </c>
      <c r="AH165" s="41" t="s">
        <v>169</v>
      </c>
      <c r="AI165" s="41">
        <v>1</v>
      </c>
      <c r="AJ165" s="41">
        <v>1</v>
      </c>
      <c r="AK165" s="41">
        <v>0</v>
      </c>
      <c r="AL165" s="42">
        <v>0</v>
      </c>
      <c r="AM165" s="41" t="s">
        <v>144</v>
      </c>
      <c r="AN165" s="42">
        <v>0</v>
      </c>
      <c r="AO165" s="41" t="s">
        <v>104</v>
      </c>
      <c r="AP165" s="41" t="s">
        <v>541</v>
      </c>
      <c r="AQ165" s="41" t="s">
        <v>104</v>
      </c>
      <c r="AR165" s="41" t="s">
        <v>165</v>
      </c>
      <c r="AS165" s="41" t="s">
        <v>169</v>
      </c>
      <c r="AT165" s="41" t="s">
        <v>104</v>
      </c>
      <c r="AU165" s="41" t="s">
        <v>173</v>
      </c>
      <c r="AW165" s="41" t="s">
        <v>170</v>
      </c>
      <c r="AX165" s="41" t="s">
        <v>1596</v>
      </c>
      <c r="AY165" s="41" t="s">
        <v>2032</v>
      </c>
      <c r="AZ165" s="40"/>
      <c r="BA165" s="40"/>
    </row>
    <row r="166" spans="6:53" ht="29" x14ac:dyDescent="0.35">
      <c r="F166" s="40" t="s">
        <v>1161</v>
      </c>
      <c r="G166" s="85" t="s">
        <v>725</v>
      </c>
      <c r="H166" s="40" t="s">
        <v>725</v>
      </c>
      <c r="I166" s="41" t="s">
        <v>223</v>
      </c>
      <c r="J166" s="41" t="s">
        <v>601</v>
      </c>
      <c r="K166" s="41" t="s">
        <v>602</v>
      </c>
      <c r="L166" s="40" t="s">
        <v>603</v>
      </c>
      <c r="O166" s="40" t="s">
        <v>104</v>
      </c>
      <c r="P166" s="41" t="s">
        <v>104</v>
      </c>
      <c r="Q166" s="41" t="s">
        <v>104</v>
      </c>
      <c r="R166" s="41" t="s">
        <v>104</v>
      </c>
      <c r="S166" s="40" t="s">
        <v>169</v>
      </c>
      <c r="T166" s="41" t="s">
        <v>726</v>
      </c>
      <c r="U166" s="41" t="s">
        <v>104</v>
      </c>
      <c r="V166" s="41" t="s">
        <v>104</v>
      </c>
      <c r="W166" s="41" t="s">
        <v>104</v>
      </c>
      <c r="X166" s="41" t="s">
        <v>104</v>
      </c>
      <c r="Y166" s="40" t="s">
        <v>604</v>
      </c>
      <c r="Z166" s="41" t="s">
        <v>605</v>
      </c>
      <c r="AA166" s="41" t="s">
        <v>121</v>
      </c>
      <c r="AB166" s="41" t="s">
        <v>720</v>
      </c>
      <c r="AC166" s="40" t="s">
        <v>604</v>
      </c>
      <c r="AD166" s="41" t="s">
        <v>607</v>
      </c>
      <c r="AE166" s="41" t="s">
        <v>121</v>
      </c>
      <c r="AF166" s="41" t="s">
        <v>721</v>
      </c>
      <c r="AG166" s="41" t="s">
        <v>138</v>
      </c>
      <c r="AH166" s="41" t="s">
        <v>169</v>
      </c>
      <c r="AI166" s="41">
        <v>5</v>
      </c>
      <c r="AJ166" s="41">
        <v>5</v>
      </c>
      <c r="AK166" s="41">
        <v>0</v>
      </c>
      <c r="AL166" s="42">
        <v>0</v>
      </c>
      <c r="AM166" s="41" t="s">
        <v>144</v>
      </c>
      <c r="AN166" s="42">
        <v>0</v>
      </c>
      <c r="AO166" s="41" t="s">
        <v>104</v>
      </c>
      <c r="AP166" s="41" t="s">
        <v>541</v>
      </c>
      <c r="AQ166" s="41" t="s">
        <v>104</v>
      </c>
      <c r="AR166" s="41" t="s">
        <v>165</v>
      </c>
      <c r="AS166" s="41" t="s">
        <v>169</v>
      </c>
      <c r="AT166" s="41" t="s">
        <v>104</v>
      </c>
      <c r="AU166" s="41" t="s">
        <v>173</v>
      </c>
      <c r="AW166" s="41" t="s">
        <v>170</v>
      </c>
      <c r="AX166" s="41" t="s">
        <v>1597</v>
      </c>
      <c r="AY166" s="41" t="s">
        <v>2033</v>
      </c>
      <c r="AZ166" s="40"/>
      <c r="BA166" s="40"/>
    </row>
    <row r="167" spans="6:53" ht="29" x14ac:dyDescent="0.35">
      <c r="F167" s="40" t="s">
        <v>1162</v>
      </c>
      <c r="G167" s="85" t="s">
        <v>727</v>
      </c>
      <c r="H167" s="40" t="s">
        <v>727</v>
      </c>
      <c r="I167" s="41" t="s">
        <v>223</v>
      </c>
      <c r="J167" s="41" t="s">
        <v>601</v>
      </c>
      <c r="K167" s="41" t="s">
        <v>602</v>
      </c>
      <c r="L167" s="40" t="s">
        <v>603</v>
      </c>
      <c r="O167" s="40" t="s">
        <v>104</v>
      </c>
      <c r="P167" s="41" t="s">
        <v>104</v>
      </c>
      <c r="Q167" s="41" t="s">
        <v>104</v>
      </c>
      <c r="R167" s="41" t="s">
        <v>104</v>
      </c>
      <c r="S167" s="40" t="s">
        <v>169</v>
      </c>
      <c r="T167" s="41" t="s">
        <v>728</v>
      </c>
      <c r="U167" s="41" t="s">
        <v>104</v>
      </c>
      <c r="V167" s="41" t="s">
        <v>104</v>
      </c>
      <c r="W167" s="41" t="s">
        <v>104</v>
      </c>
      <c r="X167" s="41" t="s">
        <v>104</v>
      </c>
      <c r="Y167" s="40" t="s">
        <v>604</v>
      </c>
      <c r="Z167" s="41" t="s">
        <v>605</v>
      </c>
      <c r="AA167" s="41" t="s">
        <v>121</v>
      </c>
      <c r="AB167" s="41" t="s">
        <v>720</v>
      </c>
      <c r="AC167" s="40" t="s">
        <v>604</v>
      </c>
      <c r="AD167" s="41" t="s">
        <v>607</v>
      </c>
      <c r="AE167" s="41" t="s">
        <v>121</v>
      </c>
      <c r="AF167" s="41" t="s">
        <v>721</v>
      </c>
      <c r="AG167" s="41" t="s">
        <v>138</v>
      </c>
      <c r="AH167" s="41" t="s">
        <v>169</v>
      </c>
      <c r="AI167" s="41">
        <v>3</v>
      </c>
      <c r="AJ167" s="41">
        <v>3</v>
      </c>
      <c r="AK167" s="41">
        <v>0</v>
      </c>
      <c r="AL167" s="42">
        <v>0</v>
      </c>
      <c r="AM167" s="41" t="s">
        <v>144</v>
      </c>
      <c r="AN167" s="42">
        <v>0</v>
      </c>
      <c r="AO167" s="41" t="s">
        <v>104</v>
      </c>
      <c r="AP167" s="41" t="s">
        <v>541</v>
      </c>
      <c r="AQ167" s="41" t="s">
        <v>104</v>
      </c>
      <c r="AR167" s="41" t="s">
        <v>165</v>
      </c>
      <c r="AS167" s="41" t="s">
        <v>169</v>
      </c>
      <c r="AT167" s="41" t="s">
        <v>104</v>
      </c>
      <c r="AU167" s="41" t="s">
        <v>173</v>
      </c>
      <c r="AW167" s="41" t="s">
        <v>170</v>
      </c>
      <c r="AX167" s="41" t="s">
        <v>1598</v>
      </c>
      <c r="AY167" s="41" t="s">
        <v>2034</v>
      </c>
      <c r="AZ167" s="40"/>
      <c r="BA167" s="40"/>
    </row>
    <row r="168" spans="6:53" ht="29" x14ac:dyDescent="0.35">
      <c r="F168" s="40" t="s">
        <v>1163</v>
      </c>
      <c r="G168" s="85" t="s">
        <v>729</v>
      </c>
      <c r="H168" s="40" t="s">
        <v>729</v>
      </c>
      <c r="I168" s="41" t="s">
        <v>223</v>
      </c>
      <c r="J168" s="41" t="s">
        <v>601</v>
      </c>
      <c r="K168" s="41" t="s">
        <v>602</v>
      </c>
      <c r="L168" s="40" t="s">
        <v>603</v>
      </c>
      <c r="O168" s="40" t="s">
        <v>104</v>
      </c>
      <c r="P168" s="41" t="s">
        <v>104</v>
      </c>
      <c r="Q168" s="41" t="s">
        <v>104</v>
      </c>
      <c r="R168" s="41" t="s">
        <v>104</v>
      </c>
      <c r="S168" s="40" t="s">
        <v>169</v>
      </c>
      <c r="U168" s="41" t="s">
        <v>104</v>
      </c>
      <c r="V168" s="41" t="s">
        <v>104</v>
      </c>
      <c r="W168" s="41" t="s">
        <v>104</v>
      </c>
      <c r="X168" s="41" t="s">
        <v>104</v>
      </c>
      <c r="Y168" s="40" t="s">
        <v>604</v>
      </c>
      <c r="Z168" s="41" t="s">
        <v>605</v>
      </c>
      <c r="AA168" s="41" t="s">
        <v>121</v>
      </c>
      <c r="AB168" s="41" t="s">
        <v>720</v>
      </c>
      <c r="AC168" s="40" t="s">
        <v>604</v>
      </c>
      <c r="AD168" s="41" t="s">
        <v>607</v>
      </c>
      <c r="AE168" s="41" t="s">
        <v>121</v>
      </c>
      <c r="AF168" s="41" t="s">
        <v>721</v>
      </c>
      <c r="AG168" s="41" t="s">
        <v>138</v>
      </c>
      <c r="AH168" s="41" t="s">
        <v>169</v>
      </c>
      <c r="AI168" s="41">
        <v>4</v>
      </c>
      <c r="AJ168" s="41">
        <v>4</v>
      </c>
      <c r="AK168" s="41">
        <v>0</v>
      </c>
      <c r="AL168" s="42">
        <v>0</v>
      </c>
      <c r="AM168" s="41" t="s">
        <v>144</v>
      </c>
      <c r="AN168" s="42">
        <v>0</v>
      </c>
      <c r="AO168" s="41" t="s">
        <v>104</v>
      </c>
      <c r="AP168" s="41" t="s">
        <v>541</v>
      </c>
      <c r="AQ168" s="41" t="s">
        <v>104</v>
      </c>
      <c r="AR168" s="41" t="s">
        <v>165</v>
      </c>
      <c r="AS168" s="41" t="s">
        <v>169</v>
      </c>
      <c r="AT168" s="41" t="s">
        <v>104</v>
      </c>
      <c r="AU168" s="41" t="s">
        <v>173</v>
      </c>
      <c r="AW168" s="41" t="s">
        <v>170</v>
      </c>
      <c r="AX168" s="41" t="s">
        <v>1599</v>
      </c>
      <c r="AY168" s="41" t="s">
        <v>2035</v>
      </c>
      <c r="AZ168" s="40"/>
      <c r="BA168" s="40"/>
    </row>
    <row r="169" spans="6:53" ht="29" x14ac:dyDescent="0.35">
      <c r="F169" s="40" t="s">
        <v>1164</v>
      </c>
      <c r="G169" s="85" t="s">
        <v>730</v>
      </c>
      <c r="H169" s="40" t="s">
        <v>730</v>
      </c>
      <c r="I169" s="41" t="s">
        <v>223</v>
      </c>
      <c r="J169" s="41" t="s">
        <v>601</v>
      </c>
      <c r="K169" s="41" t="s">
        <v>602</v>
      </c>
      <c r="L169" s="40" t="s">
        <v>603</v>
      </c>
      <c r="O169" s="40" t="s">
        <v>104</v>
      </c>
      <c r="P169" s="41" t="s">
        <v>104</v>
      </c>
      <c r="Q169" s="41" t="s">
        <v>104</v>
      </c>
      <c r="R169" s="41" t="s">
        <v>104</v>
      </c>
      <c r="S169" s="40" t="s">
        <v>169</v>
      </c>
      <c r="U169" s="41" t="s">
        <v>104</v>
      </c>
      <c r="V169" s="41" t="s">
        <v>104</v>
      </c>
      <c r="W169" s="41" t="s">
        <v>104</v>
      </c>
      <c r="X169" s="41" t="s">
        <v>104</v>
      </c>
      <c r="Y169" s="40" t="s">
        <v>604</v>
      </c>
      <c r="Z169" s="41" t="s">
        <v>605</v>
      </c>
      <c r="AA169" s="41" t="s">
        <v>121</v>
      </c>
      <c r="AB169" s="41" t="s">
        <v>720</v>
      </c>
      <c r="AC169" s="40" t="s">
        <v>604</v>
      </c>
      <c r="AD169" s="41" t="s">
        <v>607</v>
      </c>
      <c r="AE169" s="41" t="s">
        <v>121</v>
      </c>
      <c r="AF169" s="41" t="s">
        <v>721</v>
      </c>
      <c r="AG169" s="41" t="s">
        <v>138</v>
      </c>
      <c r="AH169" s="41" t="s">
        <v>169</v>
      </c>
      <c r="AI169" s="41">
        <v>1</v>
      </c>
      <c r="AJ169" s="41">
        <v>1</v>
      </c>
      <c r="AK169" s="41">
        <v>0</v>
      </c>
      <c r="AL169" s="42">
        <v>0</v>
      </c>
      <c r="AM169" s="41" t="s">
        <v>144</v>
      </c>
      <c r="AN169" s="42">
        <v>0</v>
      </c>
      <c r="AO169" s="41" t="s">
        <v>104</v>
      </c>
      <c r="AP169" s="41" t="s">
        <v>541</v>
      </c>
      <c r="AQ169" s="41" t="s">
        <v>104</v>
      </c>
      <c r="AR169" s="41" t="s">
        <v>165</v>
      </c>
      <c r="AS169" s="41" t="s">
        <v>169</v>
      </c>
      <c r="AT169" s="41" t="s">
        <v>104</v>
      </c>
      <c r="AU169" s="41" t="s">
        <v>173</v>
      </c>
      <c r="AW169" s="41" t="s">
        <v>170</v>
      </c>
      <c r="AX169" s="41" t="s">
        <v>1600</v>
      </c>
      <c r="AY169" s="41" t="s">
        <v>2036</v>
      </c>
      <c r="AZ169" s="40"/>
      <c r="BA169" s="40"/>
    </row>
    <row r="170" spans="6:53" ht="29" x14ac:dyDescent="0.35">
      <c r="F170" s="40" t="s">
        <v>1165</v>
      </c>
      <c r="G170" s="85" t="s">
        <v>666</v>
      </c>
      <c r="H170" s="40" t="s">
        <v>666</v>
      </c>
      <c r="I170" s="41" t="s">
        <v>223</v>
      </c>
      <c r="J170" s="41" t="s">
        <v>601</v>
      </c>
      <c r="K170" s="41" t="s">
        <v>602</v>
      </c>
      <c r="L170" s="40" t="s">
        <v>603</v>
      </c>
      <c r="O170" s="40" t="s">
        <v>104</v>
      </c>
      <c r="P170" s="41" t="s">
        <v>104</v>
      </c>
      <c r="Q170" s="41" t="s">
        <v>104</v>
      </c>
      <c r="R170" s="41" t="s">
        <v>104</v>
      </c>
      <c r="S170" s="40" t="s">
        <v>169</v>
      </c>
      <c r="U170" s="41" t="s">
        <v>104</v>
      </c>
      <c r="V170" s="41" t="s">
        <v>104</v>
      </c>
      <c r="W170" s="41" t="s">
        <v>104</v>
      </c>
      <c r="X170" s="41" t="s">
        <v>104</v>
      </c>
      <c r="Y170" s="40" t="s">
        <v>604</v>
      </c>
      <c r="Z170" s="41" t="s">
        <v>605</v>
      </c>
      <c r="AA170" s="41" t="s">
        <v>121</v>
      </c>
      <c r="AB170" s="41" t="s">
        <v>720</v>
      </c>
      <c r="AC170" s="40" t="s">
        <v>604</v>
      </c>
      <c r="AD170" s="41" t="s">
        <v>607</v>
      </c>
      <c r="AE170" s="41" t="s">
        <v>121</v>
      </c>
      <c r="AF170" s="41" t="s">
        <v>721</v>
      </c>
      <c r="AG170" s="41" t="s">
        <v>138</v>
      </c>
      <c r="AH170" s="41" t="s">
        <v>169</v>
      </c>
      <c r="AI170" s="41">
        <v>2</v>
      </c>
      <c r="AJ170" s="41">
        <v>2</v>
      </c>
      <c r="AK170" s="41">
        <v>0</v>
      </c>
      <c r="AL170" s="42">
        <v>0</v>
      </c>
      <c r="AM170" s="41" t="s">
        <v>144</v>
      </c>
      <c r="AN170" s="42">
        <v>0</v>
      </c>
      <c r="AO170" s="41" t="s">
        <v>104</v>
      </c>
      <c r="AP170" s="41" t="s">
        <v>541</v>
      </c>
      <c r="AQ170" s="41" t="s">
        <v>104</v>
      </c>
      <c r="AR170" s="41" t="s">
        <v>165</v>
      </c>
      <c r="AS170" s="41" t="s">
        <v>169</v>
      </c>
      <c r="AT170" s="41" t="s">
        <v>104</v>
      </c>
      <c r="AU170" s="41" t="s">
        <v>173</v>
      </c>
      <c r="AW170" s="41" t="s">
        <v>170</v>
      </c>
      <c r="AX170" s="41" t="s">
        <v>1601</v>
      </c>
      <c r="AY170" s="41" t="s">
        <v>2037</v>
      </c>
      <c r="AZ170" s="40"/>
      <c r="BA170" s="40"/>
    </row>
    <row r="171" spans="6:53" ht="29" x14ac:dyDescent="0.35">
      <c r="F171" s="40" t="s">
        <v>1166</v>
      </c>
      <c r="G171" s="85" t="s">
        <v>731</v>
      </c>
      <c r="H171" s="40" t="s">
        <v>731</v>
      </c>
      <c r="I171" s="41" t="s">
        <v>223</v>
      </c>
      <c r="J171" s="41" t="s">
        <v>601</v>
      </c>
      <c r="K171" s="41" t="s">
        <v>602</v>
      </c>
      <c r="L171" s="40" t="s">
        <v>603</v>
      </c>
      <c r="O171" s="40" t="s">
        <v>104</v>
      </c>
      <c r="P171" s="41" t="s">
        <v>104</v>
      </c>
      <c r="Q171" s="41" t="s">
        <v>104</v>
      </c>
      <c r="R171" s="41" t="s">
        <v>104</v>
      </c>
      <c r="S171" s="40" t="s">
        <v>169</v>
      </c>
      <c r="U171" s="41" t="s">
        <v>104</v>
      </c>
      <c r="V171" s="41" t="s">
        <v>104</v>
      </c>
      <c r="W171" s="41" t="s">
        <v>104</v>
      </c>
      <c r="X171" s="41" t="s">
        <v>104</v>
      </c>
      <c r="Y171" s="40" t="s">
        <v>604</v>
      </c>
      <c r="Z171" s="41" t="s">
        <v>605</v>
      </c>
      <c r="AA171" s="41" t="s">
        <v>121</v>
      </c>
      <c r="AB171" s="41" t="s">
        <v>720</v>
      </c>
      <c r="AC171" s="40" t="s">
        <v>604</v>
      </c>
      <c r="AD171" s="41" t="s">
        <v>607</v>
      </c>
      <c r="AE171" s="41" t="s">
        <v>121</v>
      </c>
      <c r="AF171" s="41" t="s">
        <v>721</v>
      </c>
      <c r="AG171" s="41" t="s">
        <v>138</v>
      </c>
      <c r="AH171" s="41" t="s">
        <v>169</v>
      </c>
      <c r="AI171" s="41">
        <v>3</v>
      </c>
      <c r="AJ171" s="41">
        <v>3</v>
      </c>
      <c r="AK171" s="41">
        <v>0</v>
      </c>
      <c r="AL171" s="42">
        <v>0</v>
      </c>
      <c r="AM171" s="41" t="s">
        <v>144</v>
      </c>
      <c r="AN171" s="42">
        <v>0</v>
      </c>
      <c r="AO171" s="41" t="s">
        <v>104</v>
      </c>
      <c r="AP171" s="41" t="s">
        <v>541</v>
      </c>
      <c r="AQ171" s="41" t="s">
        <v>104</v>
      </c>
      <c r="AR171" s="41" t="s">
        <v>165</v>
      </c>
      <c r="AS171" s="41" t="s">
        <v>169</v>
      </c>
      <c r="AT171" s="41" t="s">
        <v>104</v>
      </c>
      <c r="AU171" s="41" t="s">
        <v>173</v>
      </c>
      <c r="AW171" s="41" t="s">
        <v>170</v>
      </c>
      <c r="AX171" s="41" t="s">
        <v>1602</v>
      </c>
      <c r="AY171" s="41" t="s">
        <v>2038</v>
      </c>
      <c r="AZ171" s="40"/>
      <c r="BA171" s="40"/>
    </row>
    <row r="172" spans="6:53" ht="29" x14ac:dyDescent="0.35">
      <c r="F172" s="40" t="s">
        <v>1167</v>
      </c>
      <c r="G172" s="85" t="s">
        <v>732</v>
      </c>
      <c r="H172" s="40" t="s">
        <v>732</v>
      </c>
      <c r="I172" s="41" t="s">
        <v>223</v>
      </c>
      <c r="J172" s="41" t="s">
        <v>601</v>
      </c>
      <c r="K172" s="41" t="s">
        <v>602</v>
      </c>
      <c r="L172" s="40" t="s">
        <v>603</v>
      </c>
      <c r="O172" s="40" t="s">
        <v>104</v>
      </c>
      <c r="P172" s="41" t="s">
        <v>104</v>
      </c>
      <c r="Q172" s="41" t="s">
        <v>104</v>
      </c>
      <c r="R172" s="41" t="s">
        <v>104</v>
      </c>
      <c r="S172" s="40" t="s">
        <v>169</v>
      </c>
      <c r="U172" s="41" t="s">
        <v>104</v>
      </c>
      <c r="V172" s="41" t="s">
        <v>104</v>
      </c>
      <c r="W172" s="41" t="s">
        <v>104</v>
      </c>
      <c r="X172" s="41" t="s">
        <v>104</v>
      </c>
      <c r="Y172" s="40" t="s">
        <v>604</v>
      </c>
      <c r="Z172" s="41" t="s">
        <v>605</v>
      </c>
      <c r="AA172" s="41" t="s">
        <v>121</v>
      </c>
      <c r="AB172" s="41" t="s">
        <v>720</v>
      </c>
      <c r="AC172" s="40" t="s">
        <v>604</v>
      </c>
      <c r="AD172" s="41" t="s">
        <v>607</v>
      </c>
      <c r="AE172" s="41" t="s">
        <v>121</v>
      </c>
      <c r="AF172" s="41" t="s">
        <v>721</v>
      </c>
      <c r="AG172" s="41" t="s">
        <v>138</v>
      </c>
      <c r="AH172" s="41" t="s">
        <v>169</v>
      </c>
      <c r="AI172" s="41">
        <v>2</v>
      </c>
      <c r="AJ172" s="41">
        <v>2</v>
      </c>
      <c r="AK172" s="41">
        <v>0</v>
      </c>
      <c r="AL172" s="42">
        <v>0</v>
      </c>
      <c r="AM172" s="41" t="s">
        <v>144</v>
      </c>
      <c r="AN172" s="42">
        <v>0</v>
      </c>
      <c r="AO172" s="41" t="s">
        <v>104</v>
      </c>
      <c r="AP172" s="41" t="s">
        <v>541</v>
      </c>
      <c r="AQ172" s="41" t="s">
        <v>104</v>
      </c>
      <c r="AR172" s="41" t="s">
        <v>165</v>
      </c>
      <c r="AS172" s="41" t="s">
        <v>169</v>
      </c>
      <c r="AT172" s="41" t="s">
        <v>104</v>
      </c>
      <c r="AU172" s="41" t="s">
        <v>173</v>
      </c>
      <c r="AW172" s="41" t="s">
        <v>170</v>
      </c>
      <c r="AX172" s="41" t="s">
        <v>1603</v>
      </c>
      <c r="AY172" s="41" t="s">
        <v>2039</v>
      </c>
      <c r="AZ172" s="40"/>
      <c r="BA172" s="40"/>
    </row>
    <row r="173" spans="6:53" ht="29" x14ac:dyDescent="0.35">
      <c r="F173" s="40" t="s">
        <v>1168</v>
      </c>
      <c r="G173" s="85" t="s">
        <v>733</v>
      </c>
      <c r="H173" s="40" t="s">
        <v>733</v>
      </c>
      <c r="I173" s="41" t="s">
        <v>223</v>
      </c>
      <c r="J173" s="41" t="s">
        <v>601</v>
      </c>
      <c r="K173" s="41" t="s">
        <v>602</v>
      </c>
      <c r="L173" s="40" t="s">
        <v>603</v>
      </c>
      <c r="O173" s="40" t="s">
        <v>104</v>
      </c>
      <c r="P173" s="41" t="s">
        <v>104</v>
      </c>
      <c r="Q173" s="41" t="s">
        <v>104</v>
      </c>
      <c r="R173" s="41" t="s">
        <v>104</v>
      </c>
      <c r="S173" s="40" t="s">
        <v>169</v>
      </c>
      <c r="U173" s="41" t="s">
        <v>104</v>
      </c>
      <c r="V173" s="41" t="s">
        <v>104</v>
      </c>
      <c r="W173" s="41" t="s">
        <v>104</v>
      </c>
      <c r="X173" s="41" t="s">
        <v>104</v>
      </c>
      <c r="Y173" s="40" t="s">
        <v>604</v>
      </c>
      <c r="Z173" s="41" t="s">
        <v>605</v>
      </c>
      <c r="AA173" s="41" t="s">
        <v>121</v>
      </c>
      <c r="AB173" s="41" t="s">
        <v>720</v>
      </c>
      <c r="AC173" s="40" t="s">
        <v>604</v>
      </c>
      <c r="AD173" s="41" t="s">
        <v>607</v>
      </c>
      <c r="AE173" s="41" t="s">
        <v>121</v>
      </c>
      <c r="AF173" s="41" t="s">
        <v>721</v>
      </c>
      <c r="AG173" s="41" t="s">
        <v>138</v>
      </c>
      <c r="AH173" s="41" t="s">
        <v>169</v>
      </c>
      <c r="AI173" s="41">
        <v>1</v>
      </c>
      <c r="AJ173" s="41">
        <v>1</v>
      </c>
      <c r="AK173" s="41">
        <v>0</v>
      </c>
      <c r="AL173" s="42">
        <v>0</v>
      </c>
      <c r="AM173" s="41" t="s">
        <v>144</v>
      </c>
      <c r="AN173" s="42">
        <v>0</v>
      </c>
      <c r="AO173" s="41" t="s">
        <v>104</v>
      </c>
      <c r="AP173" s="41" t="s">
        <v>541</v>
      </c>
      <c r="AQ173" s="41" t="s">
        <v>104</v>
      </c>
      <c r="AR173" s="41" t="s">
        <v>165</v>
      </c>
      <c r="AS173" s="41" t="s">
        <v>169</v>
      </c>
      <c r="AT173" s="41" t="s">
        <v>104</v>
      </c>
      <c r="AU173" s="41" t="s">
        <v>173</v>
      </c>
      <c r="AW173" s="41" t="s">
        <v>170</v>
      </c>
      <c r="AX173" s="41" t="s">
        <v>1604</v>
      </c>
      <c r="AY173" s="41" t="s">
        <v>2040</v>
      </c>
      <c r="AZ173" s="40"/>
      <c r="BA173" s="40"/>
    </row>
    <row r="174" spans="6:53" ht="29" x14ac:dyDescent="0.35">
      <c r="F174" s="40" t="s">
        <v>1169</v>
      </c>
      <c r="G174" s="85" t="s">
        <v>734</v>
      </c>
      <c r="H174" s="40" t="s">
        <v>734</v>
      </c>
      <c r="I174" s="41" t="s">
        <v>223</v>
      </c>
      <c r="J174" s="41" t="s">
        <v>601</v>
      </c>
      <c r="K174" s="41" t="s">
        <v>602</v>
      </c>
      <c r="L174" s="40" t="s">
        <v>603</v>
      </c>
      <c r="O174" s="40" t="s">
        <v>104</v>
      </c>
      <c r="P174" s="41" t="s">
        <v>104</v>
      </c>
      <c r="Q174" s="41" t="s">
        <v>104</v>
      </c>
      <c r="R174" s="41" t="s">
        <v>104</v>
      </c>
      <c r="S174" s="40" t="s">
        <v>169</v>
      </c>
      <c r="U174" s="41" t="s">
        <v>104</v>
      </c>
      <c r="V174" s="41" t="s">
        <v>104</v>
      </c>
      <c r="W174" s="41" t="s">
        <v>104</v>
      </c>
      <c r="X174" s="41" t="s">
        <v>104</v>
      </c>
      <c r="Y174" s="40" t="s">
        <v>604</v>
      </c>
      <c r="Z174" s="41" t="s">
        <v>605</v>
      </c>
      <c r="AA174" s="41" t="s">
        <v>121</v>
      </c>
      <c r="AB174" s="41" t="s">
        <v>720</v>
      </c>
      <c r="AC174" s="40" t="s">
        <v>604</v>
      </c>
      <c r="AD174" s="41" t="s">
        <v>607</v>
      </c>
      <c r="AE174" s="41" t="s">
        <v>121</v>
      </c>
      <c r="AF174" s="41" t="s">
        <v>721</v>
      </c>
      <c r="AG174" s="41" t="s">
        <v>138</v>
      </c>
      <c r="AH174" s="41" t="s">
        <v>169</v>
      </c>
      <c r="AI174" s="41">
        <v>2</v>
      </c>
      <c r="AJ174" s="41">
        <v>2</v>
      </c>
      <c r="AK174" s="41">
        <v>0</v>
      </c>
      <c r="AL174" s="42">
        <v>0</v>
      </c>
      <c r="AM174" s="41" t="s">
        <v>144</v>
      </c>
      <c r="AN174" s="42">
        <v>0</v>
      </c>
      <c r="AO174" s="41" t="s">
        <v>104</v>
      </c>
      <c r="AP174" s="41" t="s">
        <v>541</v>
      </c>
      <c r="AQ174" s="41" t="s">
        <v>104</v>
      </c>
      <c r="AR174" s="41" t="s">
        <v>165</v>
      </c>
      <c r="AS174" s="41" t="s">
        <v>169</v>
      </c>
      <c r="AT174" s="41" t="s">
        <v>104</v>
      </c>
      <c r="AU174" s="41" t="s">
        <v>173</v>
      </c>
      <c r="AW174" s="41" t="s">
        <v>170</v>
      </c>
      <c r="AX174" s="41" t="s">
        <v>1605</v>
      </c>
      <c r="AY174" s="41" t="s">
        <v>2041</v>
      </c>
      <c r="AZ174" s="40"/>
      <c r="BA174" s="40"/>
    </row>
    <row r="175" spans="6:53" ht="29" x14ac:dyDescent="0.35">
      <c r="F175" s="40" t="s">
        <v>1170</v>
      </c>
      <c r="G175" s="85" t="s">
        <v>735</v>
      </c>
      <c r="H175" s="40" t="s">
        <v>735</v>
      </c>
      <c r="I175" s="41" t="s">
        <v>223</v>
      </c>
      <c r="J175" s="41" t="s">
        <v>601</v>
      </c>
      <c r="K175" s="41" t="s">
        <v>602</v>
      </c>
      <c r="L175" s="40" t="s">
        <v>603</v>
      </c>
      <c r="O175" s="40" t="s">
        <v>104</v>
      </c>
      <c r="P175" s="41" t="s">
        <v>104</v>
      </c>
      <c r="Q175" s="41" t="s">
        <v>104</v>
      </c>
      <c r="R175" s="41" t="s">
        <v>104</v>
      </c>
      <c r="S175" s="40" t="s">
        <v>169</v>
      </c>
      <c r="U175" s="41" t="s">
        <v>104</v>
      </c>
      <c r="V175" s="41" t="s">
        <v>104</v>
      </c>
      <c r="W175" s="41" t="s">
        <v>104</v>
      </c>
      <c r="X175" s="41" t="s">
        <v>104</v>
      </c>
      <c r="Y175" s="40" t="s">
        <v>604</v>
      </c>
      <c r="Z175" s="41" t="s">
        <v>605</v>
      </c>
      <c r="AA175" s="41" t="s">
        <v>121</v>
      </c>
      <c r="AB175" s="41" t="s">
        <v>720</v>
      </c>
      <c r="AC175" s="40" t="s">
        <v>604</v>
      </c>
      <c r="AD175" s="41" t="s">
        <v>607</v>
      </c>
      <c r="AE175" s="41" t="s">
        <v>121</v>
      </c>
      <c r="AF175" s="41" t="s">
        <v>721</v>
      </c>
      <c r="AG175" s="41" t="s">
        <v>138</v>
      </c>
      <c r="AH175" s="41" t="s">
        <v>169</v>
      </c>
      <c r="AI175" s="41">
        <v>2</v>
      </c>
      <c r="AJ175" s="41">
        <v>2</v>
      </c>
      <c r="AK175" s="41">
        <v>0</v>
      </c>
      <c r="AL175" s="42">
        <v>0</v>
      </c>
      <c r="AM175" s="41" t="s">
        <v>144</v>
      </c>
      <c r="AN175" s="42">
        <v>0</v>
      </c>
      <c r="AO175" s="41" t="s">
        <v>104</v>
      </c>
      <c r="AP175" s="41" t="s">
        <v>541</v>
      </c>
      <c r="AQ175" s="41" t="s">
        <v>104</v>
      </c>
      <c r="AR175" s="41" t="s">
        <v>165</v>
      </c>
      <c r="AS175" s="41" t="s">
        <v>169</v>
      </c>
      <c r="AT175" s="41" t="s">
        <v>104</v>
      </c>
      <c r="AU175" s="41" t="s">
        <v>173</v>
      </c>
      <c r="AW175" s="41" t="s">
        <v>170</v>
      </c>
      <c r="AX175" s="41" t="s">
        <v>1606</v>
      </c>
      <c r="AY175" s="41" t="s">
        <v>2042</v>
      </c>
      <c r="AZ175" s="40"/>
      <c r="BA175" s="40"/>
    </row>
    <row r="176" spans="6:53" ht="29" x14ac:dyDescent="0.35">
      <c r="F176" s="40" t="s">
        <v>1171</v>
      </c>
      <c r="G176" s="85" t="s">
        <v>690</v>
      </c>
      <c r="H176" s="40" t="s">
        <v>690</v>
      </c>
      <c r="I176" s="41" t="s">
        <v>223</v>
      </c>
      <c r="J176" s="41" t="s">
        <v>601</v>
      </c>
      <c r="K176" s="41" t="s">
        <v>602</v>
      </c>
      <c r="L176" s="40" t="s">
        <v>603</v>
      </c>
      <c r="O176" s="40" t="s">
        <v>104</v>
      </c>
      <c r="P176" s="41" t="s">
        <v>104</v>
      </c>
      <c r="Q176" s="41" t="s">
        <v>104</v>
      </c>
      <c r="R176" s="41" t="s">
        <v>104</v>
      </c>
      <c r="S176" s="40" t="s">
        <v>169</v>
      </c>
      <c r="U176" s="41" t="s">
        <v>104</v>
      </c>
      <c r="V176" s="41" t="s">
        <v>104</v>
      </c>
      <c r="W176" s="41" t="s">
        <v>104</v>
      </c>
      <c r="X176" s="41" t="s">
        <v>104</v>
      </c>
      <c r="Y176" s="40" t="s">
        <v>604</v>
      </c>
      <c r="Z176" s="41" t="s">
        <v>607</v>
      </c>
      <c r="AA176" s="41" t="s">
        <v>121</v>
      </c>
      <c r="AB176" s="41" t="s">
        <v>721</v>
      </c>
      <c r="AC176" s="40" t="s">
        <v>604</v>
      </c>
      <c r="AD176" s="41" t="s">
        <v>607</v>
      </c>
      <c r="AE176" s="41" t="s">
        <v>121</v>
      </c>
      <c r="AF176" s="41" t="s">
        <v>721</v>
      </c>
      <c r="AG176" s="41" t="s">
        <v>138</v>
      </c>
      <c r="AH176" s="41" t="s">
        <v>169</v>
      </c>
      <c r="AI176" s="41">
        <v>1</v>
      </c>
      <c r="AJ176" s="41">
        <v>1</v>
      </c>
      <c r="AK176" s="41">
        <v>0</v>
      </c>
      <c r="AL176" s="42">
        <v>0</v>
      </c>
      <c r="AM176" s="41" t="s">
        <v>144</v>
      </c>
      <c r="AN176" s="42">
        <v>0</v>
      </c>
      <c r="AO176" s="41" t="s">
        <v>104</v>
      </c>
      <c r="AP176" s="41" t="s">
        <v>541</v>
      </c>
      <c r="AQ176" s="41" t="s">
        <v>104</v>
      </c>
      <c r="AR176" s="41" t="s">
        <v>165</v>
      </c>
      <c r="AS176" s="41" t="s">
        <v>169</v>
      </c>
      <c r="AT176" s="41" t="s">
        <v>104</v>
      </c>
      <c r="AU176" s="41" t="s">
        <v>173</v>
      </c>
      <c r="AW176" s="41" t="s">
        <v>170</v>
      </c>
      <c r="AX176" s="41" t="s">
        <v>1607</v>
      </c>
      <c r="AY176" s="41" t="s">
        <v>2043</v>
      </c>
      <c r="AZ176" s="40"/>
      <c r="BA176" s="40"/>
    </row>
    <row r="177" spans="6:53" ht="29" x14ac:dyDescent="0.35">
      <c r="F177" s="40" t="s">
        <v>1172</v>
      </c>
      <c r="G177" s="85" t="s">
        <v>736</v>
      </c>
      <c r="H177" s="40" t="s">
        <v>736</v>
      </c>
      <c r="I177" s="41" t="s">
        <v>223</v>
      </c>
      <c r="J177" s="41" t="s">
        <v>601</v>
      </c>
      <c r="K177" s="41" t="s">
        <v>602</v>
      </c>
      <c r="L177" s="40" t="s">
        <v>603</v>
      </c>
      <c r="O177" s="40" t="s">
        <v>104</v>
      </c>
      <c r="P177" s="41" t="s">
        <v>104</v>
      </c>
      <c r="Q177" s="41" t="s">
        <v>104</v>
      </c>
      <c r="R177" s="41" t="s">
        <v>104</v>
      </c>
      <c r="S177" s="40" t="s">
        <v>169</v>
      </c>
      <c r="U177" s="41" t="s">
        <v>104</v>
      </c>
      <c r="V177" s="41" t="s">
        <v>104</v>
      </c>
      <c r="W177" s="41" t="s">
        <v>104</v>
      </c>
      <c r="X177" s="41" t="s">
        <v>104</v>
      </c>
      <c r="Y177" s="40" t="s">
        <v>604</v>
      </c>
      <c r="Z177" s="41" t="s">
        <v>605</v>
      </c>
      <c r="AA177" s="41" t="s">
        <v>121</v>
      </c>
      <c r="AB177" s="41" t="s">
        <v>720</v>
      </c>
      <c r="AC177" s="40" t="s">
        <v>604</v>
      </c>
      <c r="AD177" s="41" t="s">
        <v>607</v>
      </c>
      <c r="AE177" s="41" t="s">
        <v>121</v>
      </c>
      <c r="AF177" s="41" t="s">
        <v>721</v>
      </c>
      <c r="AG177" s="41" t="s">
        <v>138</v>
      </c>
      <c r="AH177" s="41" t="s">
        <v>169</v>
      </c>
      <c r="AI177" s="41">
        <v>5</v>
      </c>
      <c r="AJ177" s="41">
        <v>5</v>
      </c>
      <c r="AK177" s="41">
        <v>0</v>
      </c>
      <c r="AL177" s="42">
        <v>0</v>
      </c>
      <c r="AM177" s="41" t="s">
        <v>144</v>
      </c>
      <c r="AN177" s="42">
        <v>0</v>
      </c>
      <c r="AO177" s="41" t="s">
        <v>104</v>
      </c>
      <c r="AP177" s="41" t="s">
        <v>541</v>
      </c>
      <c r="AQ177" s="41" t="s">
        <v>104</v>
      </c>
      <c r="AR177" s="41" t="s">
        <v>165</v>
      </c>
      <c r="AS177" s="41" t="s">
        <v>169</v>
      </c>
      <c r="AT177" s="41" t="s">
        <v>104</v>
      </c>
      <c r="AU177" s="41" t="s">
        <v>173</v>
      </c>
      <c r="AW177" s="41" t="s">
        <v>170</v>
      </c>
      <c r="AX177" s="41" t="s">
        <v>1608</v>
      </c>
      <c r="AY177" s="41" t="s">
        <v>2044</v>
      </c>
      <c r="AZ177" s="40"/>
      <c r="BA177" s="40"/>
    </row>
    <row r="178" spans="6:53" ht="29" x14ac:dyDescent="0.35">
      <c r="F178" s="40" t="s">
        <v>1173</v>
      </c>
      <c r="G178" s="85" t="s">
        <v>737</v>
      </c>
      <c r="H178" s="40" t="s">
        <v>737</v>
      </c>
      <c r="I178" s="41" t="s">
        <v>223</v>
      </c>
      <c r="J178" s="41" t="s">
        <v>601</v>
      </c>
      <c r="K178" s="41" t="s">
        <v>602</v>
      </c>
      <c r="L178" s="40" t="s">
        <v>603</v>
      </c>
      <c r="O178" s="40" t="s">
        <v>104</v>
      </c>
      <c r="P178" s="41" t="s">
        <v>104</v>
      </c>
      <c r="Q178" s="41" t="s">
        <v>104</v>
      </c>
      <c r="R178" s="41" t="s">
        <v>104</v>
      </c>
      <c r="S178" s="40" t="s">
        <v>169</v>
      </c>
      <c r="U178" s="41" t="s">
        <v>104</v>
      </c>
      <c r="V178" s="41" t="s">
        <v>104</v>
      </c>
      <c r="W178" s="41" t="s">
        <v>104</v>
      </c>
      <c r="X178" s="41" t="s">
        <v>104</v>
      </c>
      <c r="Y178" s="40" t="s">
        <v>604</v>
      </c>
      <c r="Z178" s="41" t="s">
        <v>605</v>
      </c>
      <c r="AA178" s="41" t="s">
        <v>121</v>
      </c>
      <c r="AB178" s="41" t="s">
        <v>720</v>
      </c>
      <c r="AC178" s="40" t="s">
        <v>604</v>
      </c>
      <c r="AD178" s="41" t="s">
        <v>607</v>
      </c>
      <c r="AE178" s="41" t="s">
        <v>121</v>
      </c>
      <c r="AF178" s="41" t="s">
        <v>721</v>
      </c>
      <c r="AG178" s="41" t="s">
        <v>138</v>
      </c>
      <c r="AH178" s="41" t="s">
        <v>169</v>
      </c>
      <c r="AI178" s="41">
        <v>2</v>
      </c>
      <c r="AJ178" s="41">
        <v>2</v>
      </c>
      <c r="AK178" s="41">
        <v>0</v>
      </c>
      <c r="AL178" s="42">
        <v>0</v>
      </c>
      <c r="AM178" s="41" t="s">
        <v>144</v>
      </c>
      <c r="AN178" s="42">
        <v>0</v>
      </c>
      <c r="AO178" s="41" t="s">
        <v>104</v>
      </c>
      <c r="AP178" s="41" t="s">
        <v>541</v>
      </c>
      <c r="AQ178" s="41" t="s">
        <v>104</v>
      </c>
      <c r="AR178" s="41" t="s">
        <v>165</v>
      </c>
      <c r="AS178" s="41" t="s">
        <v>169</v>
      </c>
      <c r="AT178" s="41" t="s">
        <v>104</v>
      </c>
      <c r="AU178" s="41" t="s">
        <v>173</v>
      </c>
      <c r="AW178" s="41" t="s">
        <v>170</v>
      </c>
      <c r="AX178" s="41" t="s">
        <v>1609</v>
      </c>
      <c r="AY178" s="41" t="s">
        <v>2045</v>
      </c>
      <c r="AZ178" s="40"/>
      <c r="BA178" s="40"/>
    </row>
    <row r="179" spans="6:53" ht="29" x14ac:dyDescent="0.35">
      <c r="F179" s="40" t="s">
        <v>1174</v>
      </c>
      <c r="G179" s="85" t="s">
        <v>738</v>
      </c>
      <c r="H179" s="40" t="s">
        <v>738</v>
      </c>
      <c r="I179" s="41" t="s">
        <v>223</v>
      </c>
      <c r="J179" s="41" t="s">
        <v>601</v>
      </c>
      <c r="K179" s="41" t="s">
        <v>602</v>
      </c>
      <c r="L179" s="40" t="s">
        <v>603</v>
      </c>
      <c r="O179" s="40" t="s">
        <v>104</v>
      </c>
      <c r="P179" s="41" t="s">
        <v>104</v>
      </c>
      <c r="Q179" s="41" t="s">
        <v>104</v>
      </c>
      <c r="R179" s="41" t="s">
        <v>104</v>
      </c>
      <c r="S179" s="40" t="s">
        <v>169</v>
      </c>
      <c r="U179" s="41" t="s">
        <v>104</v>
      </c>
      <c r="V179" s="41" t="s">
        <v>104</v>
      </c>
      <c r="W179" s="41" t="s">
        <v>104</v>
      </c>
      <c r="X179" s="41" t="s">
        <v>104</v>
      </c>
      <c r="Y179" s="40" t="s">
        <v>604</v>
      </c>
      <c r="Z179" s="41" t="s">
        <v>605</v>
      </c>
      <c r="AA179" s="41" t="s">
        <v>121</v>
      </c>
      <c r="AB179" s="41" t="s">
        <v>720</v>
      </c>
      <c r="AC179" s="40" t="s">
        <v>604</v>
      </c>
      <c r="AD179" s="41" t="s">
        <v>607</v>
      </c>
      <c r="AE179" s="41" t="s">
        <v>121</v>
      </c>
      <c r="AF179" s="41" t="s">
        <v>721</v>
      </c>
      <c r="AG179" s="41" t="s">
        <v>138</v>
      </c>
      <c r="AH179" s="41" t="s">
        <v>169</v>
      </c>
      <c r="AI179" s="41">
        <v>2</v>
      </c>
      <c r="AJ179" s="41">
        <v>2</v>
      </c>
      <c r="AK179" s="41">
        <v>0</v>
      </c>
      <c r="AL179" s="42">
        <v>0</v>
      </c>
      <c r="AM179" s="41" t="s">
        <v>144</v>
      </c>
      <c r="AN179" s="42">
        <v>0</v>
      </c>
      <c r="AO179" s="41" t="s">
        <v>104</v>
      </c>
      <c r="AP179" s="41" t="s">
        <v>541</v>
      </c>
      <c r="AQ179" s="41" t="s">
        <v>104</v>
      </c>
      <c r="AR179" s="41" t="s">
        <v>165</v>
      </c>
      <c r="AS179" s="41" t="s">
        <v>169</v>
      </c>
      <c r="AT179" s="41" t="s">
        <v>104</v>
      </c>
      <c r="AU179" s="41" t="s">
        <v>173</v>
      </c>
      <c r="AW179" s="41" t="s">
        <v>170</v>
      </c>
      <c r="AX179" s="41" t="s">
        <v>1610</v>
      </c>
      <c r="AY179" s="41" t="s">
        <v>2046</v>
      </c>
      <c r="AZ179" s="40"/>
      <c r="BA179" s="40"/>
    </row>
    <row r="180" spans="6:53" ht="29" x14ac:dyDescent="0.35">
      <c r="F180" s="40" t="s">
        <v>1175</v>
      </c>
      <c r="G180" s="85" t="s">
        <v>739</v>
      </c>
      <c r="H180" s="40" t="s">
        <v>739</v>
      </c>
      <c r="I180" s="41" t="s">
        <v>223</v>
      </c>
      <c r="J180" s="41" t="s">
        <v>601</v>
      </c>
      <c r="K180" s="41" t="s">
        <v>602</v>
      </c>
      <c r="L180" s="40" t="s">
        <v>603</v>
      </c>
      <c r="O180" s="40" t="s">
        <v>104</v>
      </c>
      <c r="P180" s="41" t="s">
        <v>104</v>
      </c>
      <c r="Q180" s="41" t="s">
        <v>104</v>
      </c>
      <c r="R180" s="41" t="s">
        <v>104</v>
      </c>
      <c r="S180" s="40" t="s">
        <v>169</v>
      </c>
      <c r="U180" s="41" t="s">
        <v>104</v>
      </c>
      <c r="V180" s="41" t="s">
        <v>104</v>
      </c>
      <c r="W180" s="41" t="s">
        <v>104</v>
      </c>
      <c r="X180" s="41" t="s">
        <v>104</v>
      </c>
      <c r="Y180" s="40" t="s">
        <v>604</v>
      </c>
      <c r="Z180" s="41" t="s">
        <v>605</v>
      </c>
      <c r="AA180" s="41" t="s">
        <v>121</v>
      </c>
      <c r="AB180" s="41" t="s">
        <v>720</v>
      </c>
      <c r="AC180" s="40" t="s">
        <v>604</v>
      </c>
      <c r="AD180" s="41" t="s">
        <v>607</v>
      </c>
      <c r="AE180" s="41" t="s">
        <v>121</v>
      </c>
      <c r="AF180" s="41" t="s">
        <v>721</v>
      </c>
      <c r="AG180" s="41" t="s">
        <v>138</v>
      </c>
      <c r="AH180" s="41" t="s">
        <v>169</v>
      </c>
      <c r="AI180" s="41">
        <v>3</v>
      </c>
      <c r="AJ180" s="41">
        <v>3</v>
      </c>
      <c r="AK180" s="41">
        <v>0</v>
      </c>
      <c r="AL180" s="42">
        <v>0</v>
      </c>
      <c r="AM180" s="41" t="s">
        <v>144</v>
      </c>
      <c r="AN180" s="42">
        <v>0</v>
      </c>
      <c r="AO180" s="41" t="s">
        <v>104</v>
      </c>
      <c r="AP180" s="41" t="s">
        <v>541</v>
      </c>
      <c r="AQ180" s="41" t="s">
        <v>104</v>
      </c>
      <c r="AR180" s="41" t="s">
        <v>165</v>
      </c>
      <c r="AS180" s="41" t="s">
        <v>169</v>
      </c>
      <c r="AT180" s="41" t="s">
        <v>104</v>
      </c>
      <c r="AU180" s="41" t="s">
        <v>173</v>
      </c>
      <c r="AW180" s="41" t="s">
        <v>170</v>
      </c>
      <c r="AX180" s="41" t="s">
        <v>1611</v>
      </c>
      <c r="AY180" s="41" t="s">
        <v>2047</v>
      </c>
      <c r="AZ180" s="40"/>
      <c r="BA180" s="40"/>
    </row>
    <row r="181" spans="6:53" ht="29" x14ac:dyDescent="0.35">
      <c r="F181" s="40" t="s">
        <v>1176</v>
      </c>
      <c r="G181" s="85" t="s">
        <v>740</v>
      </c>
      <c r="H181" s="40" t="s">
        <v>740</v>
      </c>
      <c r="I181" s="41" t="s">
        <v>223</v>
      </c>
      <c r="J181" s="41" t="s">
        <v>601</v>
      </c>
      <c r="K181" s="41" t="s">
        <v>602</v>
      </c>
      <c r="L181" s="40" t="s">
        <v>603</v>
      </c>
      <c r="O181" s="40" t="s">
        <v>104</v>
      </c>
      <c r="P181" s="41" t="s">
        <v>104</v>
      </c>
      <c r="Q181" s="41" t="s">
        <v>104</v>
      </c>
      <c r="R181" s="41" t="s">
        <v>104</v>
      </c>
      <c r="S181" s="40" t="s">
        <v>169</v>
      </c>
      <c r="U181" s="41" t="s">
        <v>104</v>
      </c>
      <c r="V181" s="41" t="s">
        <v>104</v>
      </c>
      <c r="W181" s="41" t="s">
        <v>104</v>
      </c>
      <c r="X181" s="41" t="s">
        <v>104</v>
      </c>
      <c r="Y181" s="40" t="s">
        <v>604</v>
      </c>
      <c r="Z181" s="41" t="s">
        <v>605</v>
      </c>
      <c r="AA181" s="41" t="s">
        <v>121</v>
      </c>
      <c r="AB181" s="41" t="s">
        <v>720</v>
      </c>
      <c r="AC181" s="40" t="s">
        <v>604</v>
      </c>
      <c r="AD181" s="41" t="s">
        <v>607</v>
      </c>
      <c r="AE181" s="41" t="s">
        <v>121</v>
      </c>
      <c r="AF181" s="41" t="s">
        <v>721</v>
      </c>
      <c r="AG181" s="41" t="s">
        <v>138</v>
      </c>
      <c r="AH181" s="41" t="s">
        <v>169</v>
      </c>
      <c r="AI181" s="41">
        <v>1</v>
      </c>
      <c r="AJ181" s="41">
        <v>1</v>
      </c>
      <c r="AK181" s="41">
        <v>0</v>
      </c>
      <c r="AL181" s="42">
        <v>0</v>
      </c>
      <c r="AM181" s="41" t="s">
        <v>144</v>
      </c>
      <c r="AN181" s="42">
        <v>0</v>
      </c>
      <c r="AO181" s="41" t="s">
        <v>104</v>
      </c>
      <c r="AP181" s="41" t="s">
        <v>541</v>
      </c>
      <c r="AQ181" s="41" t="s">
        <v>104</v>
      </c>
      <c r="AR181" s="41" t="s">
        <v>165</v>
      </c>
      <c r="AS181" s="41" t="s">
        <v>169</v>
      </c>
      <c r="AT181" s="41" t="s">
        <v>104</v>
      </c>
      <c r="AU181" s="41" t="s">
        <v>173</v>
      </c>
      <c r="AW181" s="41" t="s">
        <v>170</v>
      </c>
      <c r="AX181" s="41" t="s">
        <v>1612</v>
      </c>
      <c r="AY181" s="41" t="s">
        <v>2048</v>
      </c>
      <c r="AZ181" s="40"/>
      <c r="BA181" s="40"/>
    </row>
    <row r="182" spans="6:53" ht="43.5" x14ac:dyDescent="0.35">
      <c r="F182" s="40" t="s">
        <v>1177</v>
      </c>
      <c r="G182" s="85" t="s">
        <v>741</v>
      </c>
      <c r="H182" s="40" t="s">
        <v>741</v>
      </c>
      <c r="I182" s="41" t="s">
        <v>223</v>
      </c>
      <c r="J182" s="41" t="s">
        <v>601</v>
      </c>
      <c r="K182" s="41" t="s">
        <v>602</v>
      </c>
      <c r="L182" s="40" t="s">
        <v>603</v>
      </c>
      <c r="O182" s="40" t="s">
        <v>104</v>
      </c>
      <c r="P182" s="41" t="s">
        <v>104</v>
      </c>
      <c r="Q182" s="41" t="s">
        <v>104</v>
      </c>
      <c r="R182" s="41" t="s">
        <v>104</v>
      </c>
      <c r="S182" s="40" t="s">
        <v>169</v>
      </c>
      <c r="U182" s="41" t="s">
        <v>104</v>
      </c>
      <c r="V182" s="41" t="s">
        <v>104</v>
      </c>
      <c r="W182" s="41" t="s">
        <v>104</v>
      </c>
      <c r="X182" s="41" t="s">
        <v>104</v>
      </c>
      <c r="Y182" s="40" t="s">
        <v>604</v>
      </c>
      <c r="Z182" s="41" t="s">
        <v>605</v>
      </c>
      <c r="AA182" s="41" t="s">
        <v>133</v>
      </c>
      <c r="AB182" s="41" t="s">
        <v>742</v>
      </c>
      <c r="AC182" s="40" t="s">
        <v>604</v>
      </c>
      <c r="AD182" s="41" t="s">
        <v>607</v>
      </c>
      <c r="AE182" s="41" t="s">
        <v>133</v>
      </c>
      <c r="AF182" s="41" t="s">
        <v>743</v>
      </c>
      <c r="AG182" s="41" t="s">
        <v>138</v>
      </c>
      <c r="AH182" s="41" t="s">
        <v>169</v>
      </c>
      <c r="AI182" s="41">
        <v>1</v>
      </c>
      <c r="AJ182" s="41">
        <v>1</v>
      </c>
      <c r="AK182" s="41">
        <v>0</v>
      </c>
      <c r="AL182" s="42">
        <v>0</v>
      </c>
      <c r="AM182" s="41" t="s">
        <v>144</v>
      </c>
      <c r="AN182" s="42">
        <v>0</v>
      </c>
      <c r="AO182" s="41" t="s">
        <v>104</v>
      </c>
      <c r="AP182" s="41" t="s">
        <v>541</v>
      </c>
      <c r="AQ182" s="41" t="s">
        <v>104</v>
      </c>
      <c r="AR182" s="41" t="s">
        <v>165</v>
      </c>
      <c r="AS182" s="41" t="s">
        <v>169</v>
      </c>
      <c r="AT182" s="41" t="s">
        <v>104</v>
      </c>
      <c r="AU182" s="41" t="s">
        <v>173</v>
      </c>
      <c r="AW182" s="41" t="s">
        <v>170</v>
      </c>
      <c r="AX182" s="41" t="s">
        <v>1613</v>
      </c>
      <c r="AY182" s="41" t="s">
        <v>2049</v>
      </c>
      <c r="AZ182" s="40"/>
      <c r="BA182" s="40"/>
    </row>
    <row r="183" spans="6:53" ht="43.5" x14ac:dyDescent="0.35">
      <c r="F183" s="40" t="s">
        <v>1178</v>
      </c>
      <c r="G183" s="85" t="s">
        <v>744</v>
      </c>
      <c r="H183" s="40" t="s">
        <v>744</v>
      </c>
      <c r="I183" s="41" t="s">
        <v>223</v>
      </c>
      <c r="J183" s="41" t="s">
        <v>601</v>
      </c>
      <c r="K183" s="41" t="s">
        <v>602</v>
      </c>
      <c r="L183" s="40" t="s">
        <v>603</v>
      </c>
      <c r="O183" s="40" t="s">
        <v>104</v>
      </c>
      <c r="P183" s="41" t="s">
        <v>745</v>
      </c>
      <c r="Q183" s="41" t="s">
        <v>104</v>
      </c>
      <c r="R183" s="41" t="s">
        <v>104</v>
      </c>
      <c r="S183" s="40" t="s">
        <v>169</v>
      </c>
      <c r="U183" s="41" t="s">
        <v>104</v>
      </c>
      <c r="V183" s="41" t="s">
        <v>104</v>
      </c>
      <c r="W183" s="41" t="s">
        <v>104</v>
      </c>
      <c r="X183" s="41" t="s">
        <v>104</v>
      </c>
      <c r="Y183" s="40" t="s">
        <v>604</v>
      </c>
      <c r="Z183" s="41" t="s">
        <v>605</v>
      </c>
      <c r="AA183" s="41" t="s">
        <v>133</v>
      </c>
      <c r="AB183" s="41" t="s">
        <v>742</v>
      </c>
      <c r="AC183" s="40" t="s">
        <v>604</v>
      </c>
      <c r="AD183" s="41" t="s">
        <v>607</v>
      </c>
      <c r="AE183" s="41" t="s">
        <v>133</v>
      </c>
      <c r="AF183" s="41" t="s">
        <v>743</v>
      </c>
      <c r="AG183" s="41" t="s">
        <v>138</v>
      </c>
      <c r="AH183" s="41" t="s">
        <v>169</v>
      </c>
      <c r="AI183" s="41">
        <v>1</v>
      </c>
      <c r="AJ183" s="41">
        <v>1</v>
      </c>
      <c r="AK183" s="41">
        <v>0</v>
      </c>
      <c r="AL183" s="42">
        <v>0</v>
      </c>
      <c r="AM183" s="41" t="s">
        <v>144</v>
      </c>
      <c r="AN183" s="42">
        <v>0</v>
      </c>
      <c r="AO183" s="41" t="s">
        <v>104</v>
      </c>
      <c r="AP183" s="41" t="s">
        <v>541</v>
      </c>
      <c r="AQ183" s="41" t="s">
        <v>104</v>
      </c>
      <c r="AR183" s="41" t="s">
        <v>165</v>
      </c>
      <c r="AS183" s="41" t="s">
        <v>169</v>
      </c>
      <c r="AT183" s="41" t="s">
        <v>104</v>
      </c>
      <c r="AU183" s="41" t="s">
        <v>173</v>
      </c>
      <c r="AW183" s="41" t="s">
        <v>170</v>
      </c>
      <c r="AX183" s="41" t="s">
        <v>1614</v>
      </c>
      <c r="AY183" s="41" t="s">
        <v>2050</v>
      </c>
      <c r="AZ183" s="40"/>
      <c r="BA183" s="40"/>
    </row>
    <row r="184" spans="6:53" ht="43.5" x14ac:dyDescent="0.35">
      <c r="F184" s="40" t="s">
        <v>1179</v>
      </c>
      <c r="G184" s="85" t="s">
        <v>746</v>
      </c>
      <c r="H184" s="40" t="s">
        <v>746</v>
      </c>
      <c r="I184" s="41" t="s">
        <v>223</v>
      </c>
      <c r="J184" s="41" t="s">
        <v>601</v>
      </c>
      <c r="K184" s="41" t="s">
        <v>602</v>
      </c>
      <c r="L184" s="40" t="s">
        <v>603</v>
      </c>
      <c r="O184" s="40" t="s">
        <v>104</v>
      </c>
      <c r="P184" s="41" t="s">
        <v>747</v>
      </c>
      <c r="Q184" s="41" t="s">
        <v>104</v>
      </c>
      <c r="R184" s="41" t="s">
        <v>104</v>
      </c>
      <c r="S184" s="40" t="s">
        <v>169</v>
      </c>
      <c r="U184" s="41" t="s">
        <v>104</v>
      </c>
      <c r="V184" s="41" t="s">
        <v>104</v>
      </c>
      <c r="W184" s="41" t="s">
        <v>104</v>
      </c>
      <c r="X184" s="41" t="s">
        <v>104</v>
      </c>
      <c r="Y184" s="40" t="s">
        <v>604</v>
      </c>
      <c r="Z184" s="41" t="s">
        <v>605</v>
      </c>
      <c r="AA184" s="41" t="s">
        <v>133</v>
      </c>
      <c r="AB184" s="41" t="s">
        <v>742</v>
      </c>
      <c r="AC184" s="40" t="s">
        <v>604</v>
      </c>
      <c r="AD184" s="41" t="s">
        <v>607</v>
      </c>
      <c r="AE184" s="41" t="s">
        <v>133</v>
      </c>
      <c r="AF184" s="41" t="s">
        <v>743</v>
      </c>
      <c r="AG184" s="41" t="s">
        <v>138</v>
      </c>
      <c r="AH184" s="41" t="s">
        <v>169</v>
      </c>
      <c r="AI184" s="41">
        <v>1</v>
      </c>
      <c r="AJ184" s="41">
        <v>1</v>
      </c>
      <c r="AK184" s="41">
        <v>0</v>
      </c>
      <c r="AL184" s="42">
        <v>0</v>
      </c>
      <c r="AM184" s="41" t="s">
        <v>144</v>
      </c>
      <c r="AN184" s="42">
        <v>0</v>
      </c>
      <c r="AO184" s="41" t="s">
        <v>104</v>
      </c>
      <c r="AP184" s="41" t="s">
        <v>541</v>
      </c>
      <c r="AQ184" s="41" t="s">
        <v>104</v>
      </c>
      <c r="AR184" s="41" t="s">
        <v>165</v>
      </c>
      <c r="AS184" s="41" t="s">
        <v>169</v>
      </c>
      <c r="AT184" s="41" t="s">
        <v>104</v>
      </c>
      <c r="AU184" s="41" t="s">
        <v>173</v>
      </c>
      <c r="AW184" s="41" t="s">
        <v>170</v>
      </c>
      <c r="AX184" s="41" t="s">
        <v>1615</v>
      </c>
      <c r="AY184" s="41" t="s">
        <v>2051</v>
      </c>
      <c r="AZ184" s="40"/>
      <c r="BA184" s="40"/>
    </row>
    <row r="185" spans="6:53" ht="43.5" x14ac:dyDescent="0.35">
      <c r="F185" s="40" t="s">
        <v>1180</v>
      </c>
      <c r="G185" s="85" t="s">
        <v>748</v>
      </c>
      <c r="H185" s="40" t="s">
        <v>748</v>
      </c>
      <c r="I185" s="41" t="s">
        <v>223</v>
      </c>
      <c r="J185" s="41" t="s">
        <v>601</v>
      </c>
      <c r="K185" s="41" t="s">
        <v>602</v>
      </c>
      <c r="L185" s="40" t="s">
        <v>603</v>
      </c>
      <c r="O185" s="40" t="s">
        <v>104</v>
      </c>
      <c r="P185" s="41" t="s">
        <v>749</v>
      </c>
      <c r="Q185" s="41" t="s">
        <v>104</v>
      </c>
      <c r="R185" s="41" t="s">
        <v>104</v>
      </c>
      <c r="S185" s="40" t="s">
        <v>169</v>
      </c>
      <c r="U185" s="41" t="s">
        <v>104</v>
      </c>
      <c r="V185" s="41" t="s">
        <v>104</v>
      </c>
      <c r="W185" s="41" t="s">
        <v>104</v>
      </c>
      <c r="X185" s="41" t="s">
        <v>104</v>
      </c>
      <c r="Y185" s="40" t="s">
        <v>604</v>
      </c>
      <c r="Z185" s="41" t="s">
        <v>605</v>
      </c>
      <c r="AA185" s="41" t="s">
        <v>133</v>
      </c>
      <c r="AB185" s="41" t="s">
        <v>742</v>
      </c>
      <c r="AC185" s="40" t="s">
        <v>604</v>
      </c>
      <c r="AD185" s="41" t="s">
        <v>607</v>
      </c>
      <c r="AE185" s="41" t="s">
        <v>133</v>
      </c>
      <c r="AF185" s="41" t="s">
        <v>743</v>
      </c>
      <c r="AG185" s="41" t="s">
        <v>138</v>
      </c>
      <c r="AH185" s="41" t="s">
        <v>169</v>
      </c>
      <c r="AI185" s="41">
        <v>1</v>
      </c>
      <c r="AJ185" s="41">
        <v>1</v>
      </c>
      <c r="AK185" s="41">
        <v>0</v>
      </c>
      <c r="AL185" s="42">
        <v>0</v>
      </c>
      <c r="AM185" s="41" t="s">
        <v>144</v>
      </c>
      <c r="AN185" s="42">
        <v>0</v>
      </c>
      <c r="AO185" s="41" t="s">
        <v>104</v>
      </c>
      <c r="AP185" s="41" t="s">
        <v>541</v>
      </c>
      <c r="AQ185" s="41" t="s">
        <v>104</v>
      </c>
      <c r="AR185" s="41" t="s">
        <v>165</v>
      </c>
      <c r="AS185" s="41" t="s">
        <v>169</v>
      </c>
      <c r="AT185" s="41" t="s">
        <v>104</v>
      </c>
      <c r="AU185" s="41" t="s">
        <v>173</v>
      </c>
      <c r="AW185" s="41" t="s">
        <v>170</v>
      </c>
      <c r="AX185" s="41" t="s">
        <v>1616</v>
      </c>
      <c r="AY185" s="41" t="s">
        <v>2052</v>
      </c>
      <c r="AZ185" s="40"/>
      <c r="BA185" s="40"/>
    </row>
    <row r="186" spans="6:53" ht="43.5" x14ac:dyDescent="0.35">
      <c r="F186" s="40" t="s">
        <v>1181</v>
      </c>
      <c r="G186" s="85" t="s">
        <v>750</v>
      </c>
      <c r="H186" s="40" t="s">
        <v>750</v>
      </c>
      <c r="I186" s="41" t="s">
        <v>223</v>
      </c>
      <c r="J186" s="41" t="s">
        <v>601</v>
      </c>
      <c r="K186" s="41" t="s">
        <v>602</v>
      </c>
      <c r="L186" s="40" t="s">
        <v>603</v>
      </c>
      <c r="O186" s="40" t="s">
        <v>104</v>
      </c>
      <c r="P186" s="41" t="s">
        <v>751</v>
      </c>
      <c r="Q186" s="41" t="s">
        <v>104</v>
      </c>
      <c r="R186" s="41" t="s">
        <v>104</v>
      </c>
      <c r="S186" s="40" t="s">
        <v>169</v>
      </c>
      <c r="U186" s="41" t="s">
        <v>104</v>
      </c>
      <c r="V186" s="41" t="s">
        <v>104</v>
      </c>
      <c r="W186" s="41" t="s">
        <v>104</v>
      </c>
      <c r="X186" s="41" t="s">
        <v>104</v>
      </c>
      <c r="Y186" s="40" t="s">
        <v>604</v>
      </c>
      <c r="Z186" s="41" t="s">
        <v>605</v>
      </c>
      <c r="AA186" s="41" t="s">
        <v>133</v>
      </c>
      <c r="AB186" s="41" t="s">
        <v>742</v>
      </c>
      <c r="AC186" s="40" t="s">
        <v>604</v>
      </c>
      <c r="AD186" s="41" t="s">
        <v>607</v>
      </c>
      <c r="AE186" s="41" t="s">
        <v>133</v>
      </c>
      <c r="AF186" s="41" t="s">
        <v>743</v>
      </c>
      <c r="AG186" s="41" t="s">
        <v>138</v>
      </c>
      <c r="AH186" s="41" t="s">
        <v>169</v>
      </c>
      <c r="AI186" s="41">
        <v>0</v>
      </c>
      <c r="AJ186" s="41">
        <v>1</v>
      </c>
      <c r="AK186" s="41">
        <v>-1</v>
      </c>
      <c r="AL186" s="42">
        <v>0</v>
      </c>
      <c r="AM186" s="41" t="s">
        <v>144</v>
      </c>
      <c r="AN186" s="42">
        <v>0</v>
      </c>
      <c r="AO186" s="41" t="s">
        <v>104</v>
      </c>
      <c r="AP186" s="41" t="s">
        <v>541</v>
      </c>
      <c r="AQ186" s="41" t="s">
        <v>104</v>
      </c>
      <c r="AR186" s="41" t="s">
        <v>165</v>
      </c>
      <c r="AS186" s="41" t="s">
        <v>169</v>
      </c>
      <c r="AT186" s="41" t="s">
        <v>104</v>
      </c>
      <c r="AU186" s="41" t="s">
        <v>173</v>
      </c>
      <c r="AW186" s="41" t="s">
        <v>170</v>
      </c>
      <c r="AX186" s="41" t="s">
        <v>1617</v>
      </c>
      <c r="AY186" s="41" t="s">
        <v>2053</v>
      </c>
      <c r="AZ186" s="40"/>
      <c r="BA186" s="40"/>
    </row>
    <row r="187" spans="6:53" ht="43.5" x14ac:dyDescent="0.35">
      <c r="F187" s="40" t="s">
        <v>1182</v>
      </c>
      <c r="G187" s="85" t="s">
        <v>752</v>
      </c>
      <c r="H187" s="40" t="s">
        <v>752</v>
      </c>
      <c r="I187" s="41" t="s">
        <v>223</v>
      </c>
      <c r="J187" s="41" t="s">
        <v>601</v>
      </c>
      <c r="K187" s="41" t="s">
        <v>602</v>
      </c>
      <c r="L187" s="40" t="s">
        <v>603</v>
      </c>
      <c r="O187" s="40" t="s">
        <v>104</v>
      </c>
      <c r="P187" s="41" t="s">
        <v>104</v>
      </c>
      <c r="Q187" s="41" t="s">
        <v>104</v>
      </c>
      <c r="R187" s="41" t="s">
        <v>104</v>
      </c>
      <c r="S187" s="40" t="s">
        <v>169</v>
      </c>
      <c r="U187" s="41" t="s">
        <v>104</v>
      </c>
      <c r="V187" s="41" t="s">
        <v>104</v>
      </c>
      <c r="W187" s="41" t="s">
        <v>104</v>
      </c>
      <c r="X187" s="41" t="s">
        <v>104</v>
      </c>
      <c r="Y187" s="40" t="s">
        <v>604</v>
      </c>
      <c r="Z187" s="41" t="s">
        <v>605</v>
      </c>
      <c r="AA187" s="41" t="s">
        <v>133</v>
      </c>
      <c r="AB187" s="41" t="s">
        <v>742</v>
      </c>
      <c r="AC187" s="40" t="s">
        <v>604</v>
      </c>
      <c r="AD187" s="41" t="s">
        <v>607</v>
      </c>
      <c r="AE187" s="41" t="s">
        <v>133</v>
      </c>
      <c r="AF187" s="41" t="s">
        <v>743</v>
      </c>
      <c r="AG187" s="41" t="s">
        <v>138</v>
      </c>
      <c r="AH187" s="41" t="s">
        <v>169</v>
      </c>
      <c r="AI187" s="41">
        <v>1</v>
      </c>
      <c r="AJ187" s="41">
        <v>1</v>
      </c>
      <c r="AK187" s="41">
        <v>0</v>
      </c>
      <c r="AL187" s="42">
        <v>0</v>
      </c>
      <c r="AM187" s="41" t="s">
        <v>144</v>
      </c>
      <c r="AN187" s="42">
        <v>0</v>
      </c>
      <c r="AO187" s="41" t="s">
        <v>104</v>
      </c>
      <c r="AP187" s="41" t="s">
        <v>541</v>
      </c>
      <c r="AQ187" s="41" t="s">
        <v>104</v>
      </c>
      <c r="AR187" s="41" t="s">
        <v>165</v>
      </c>
      <c r="AS187" s="41" t="s">
        <v>169</v>
      </c>
      <c r="AT187" s="41" t="s">
        <v>104</v>
      </c>
      <c r="AU187" s="41" t="s">
        <v>173</v>
      </c>
      <c r="AW187" s="41" t="s">
        <v>170</v>
      </c>
      <c r="AX187" s="41" t="s">
        <v>1618</v>
      </c>
      <c r="AY187" s="41" t="s">
        <v>2054</v>
      </c>
      <c r="AZ187" s="40"/>
      <c r="BA187" s="40"/>
    </row>
    <row r="188" spans="6:53" ht="29" x14ac:dyDescent="0.35">
      <c r="F188" s="40" t="s">
        <v>1183</v>
      </c>
      <c r="G188" s="85" t="s">
        <v>753</v>
      </c>
      <c r="H188" s="40" t="s">
        <v>753</v>
      </c>
      <c r="I188" s="41" t="s">
        <v>223</v>
      </c>
      <c r="J188" s="41" t="s">
        <v>601</v>
      </c>
      <c r="K188" s="41" t="s">
        <v>602</v>
      </c>
      <c r="L188" s="40" t="s">
        <v>603</v>
      </c>
      <c r="O188" s="40" t="s">
        <v>104</v>
      </c>
      <c r="P188" s="41" t="s">
        <v>104</v>
      </c>
      <c r="Q188" s="41" t="s">
        <v>104</v>
      </c>
      <c r="R188" s="41" t="s">
        <v>104</v>
      </c>
      <c r="S188" s="40" t="s">
        <v>169</v>
      </c>
      <c r="T188" s="41" t="s">
        <v>754</v>
      </c>
      <c r="U188" s="41" t="s">
        <v>104</v>
      </c>
      <c r="V188" s="41" t="s">
        <v>104</v>
      </c>
      <c r="W188" s="41" t="s">
        <v>104</v>
      </c>
      <c r="X188" s="41" t="s">
        <v>104</v>
      </c>
      <c r="Y188" s="40" t="s">
        <v>604</v>
      </c>
      <c r="Z188" s="41" t="s">
        <v>605</v>
      </c>
      <c r="AA188" s="41" t="s">
        <v>119</v>
      </c>
      <c r="AB188" s="41" t="s">
        <v>755</v>
      </c>
      <c r="AC188" s="40" t="s">
        <v>604</v>
      </c>
      <c r="AD188" s="41" t="s">
        <v>607</v>
      </c>
      <c r="AE188" s="41" t="s">
        <v>119</v>
      </c>
      <c r="AF188" s="41" t="s">
        <v>756</v>
      </c>
      <c r="AG188" s="41" t="s">
        <v>138</v>
      </c>
      <c r="AH188" s="41" t="s">
        <v>169</v>
      </c>
      <c r="AI188" s="41">
        <v>1</v>
      </c>
      <c r="AJ188" s="41">
        <v>1</v>
      </c>
      <c r="AK188" s="41">
        <v>0</v>
      </c>
      <c r="AL188" s="42">
        <v>0</v>
      </c>
      <c r="AM188" s="41" t="s">
        <v>144</v>
      </c>
      <c r="AN188" s="42">
        <v>0</v>
      </c>
      <c r="AO188" s="41" t="s">
        <v>104</v>
      </c>
      <c r="AP188" s="41" t="s">
        <v>541</v>
      </c>
      <c r="AQ188" s="41" t="s">
        <v>104</v>
      </c>
      <c r="AR188" s="41" t="s">
        <v>165</v>
      </c>
      <c r="AS188" s="41" t="s">
        <v>169</v>
      </c>
      <c r="AT188" s="41" t="s">
        <v>104</v>
      </c>
      <c r="AU188" s="41" t="s">
        <v>173</v>
      </c>
      <c r="AW188" s="41" t="s">
        <v>170</v>
      </c>
      <c r="AX188" s="41" t="s">
        <v>1619</v>
      </c>
      <c r="AY188" s="41" t="s">
        <v>2055</v>
      </c>
      <c r="AZ188" s="40"/>
      <c r="BA188" s="40"/>
    </row>
    <row r="189" spans="6:53" ht="29" x14ac:dyDescent="0.35">
      <c r="F189" s="40" t="s">
        <v>1184</v>
      </c>
      <c r="G189" s="85" t="s">
        <v>757</v>
      </c>
      <c r="H189" s="40" t="s">
        <v>757</v>
      </c>
      <c r="I189" s="41" t="s">
        <v>223</v>
      </c>
      <c r="J189" s="41" t="s">
        <v>601</v>
      </c>
      <c r="K189" s="41" t="s">
        <v>602</v>
      </c>
      <c r="L189" s="40" t="s">
        <v>603</v>
      </c>
      <c r="O189" s="40" t="s">
        <v>104</v>
      </c>
      <c r="P189" s="41" t="s">
        <v>104</v>
      </c>
      <c r="Q189" s="41" t="s">
        <v>104</v>
      </c>
      <c r="R189" s="41" t="s">
        <v>104</v>
      </c>
      <c r="S189" s="40" t="s">
        <v>169</v>
      </c>
      <c r="T189" s="41" t="s">
        <v>758</v>
      </c>
      <c r="U189" s="41" t="s">
        <v>104</v>
      </c>
      <c r="V189" s="41" t="s">
        <v>104</v>
      </c>
      <c r="W189" s="41" t="s">
        <v>104</v>
      </c>
      <c r="X189" s="41" t="s">
        <v>104</v>
      </c>
      <c r="Y189" s="40" t="s">
        <v>604</v>
      </c>
      <c r="Z189" s="41" t="s">
        <v>605</v>
      </c>
      <c r="AA189" s="41" t="s">
        <v>119</v>
      </c>
      <c r="AB189" s="41" t="s">
        <v>755</v>
      </c>
      <c r="AC189" s="40" t="s">
        <v>604</v>
      </c>
      <c r="AD189" s="41" t="s">
        <v>607</v>
      </c>
      <c r="AE189" s="41" t="s">
        <v>119</v>
      </c>
      <c r="AF189" s="41" t="s">
        <v>756</v>
      </c>
      <c r="AG189" s="41" t="s">
        <v>138</v>
      </c>
      <c r="AH189" s="41" t="s">
        <v>169</v>
      </c>
      <c r="AI189" s="41">
        <v>1</v>
      </c>
      <c r="AJ189" s="41">
        <v>1</v>
      </c>
      <c r="AK189" s="41">
        <v>0</v>
      </c>
      <c r="AL189" s="42">
        <v>0</v>
      </c>
      <c r="AM189" s="41" t="s">
        <v>144</v>
      </c>
      <c r="AN189" s="42">
        <v>0</v>
      </c>
      <c r="AO189" s="41" t="s">
        <v>104</v>
      </c>
      <c r="AP189" s="41" t="s">
        <v>541</v>
      </c>
      <c r="AQ189" s="41" t="s">
        <v>104</v>
      </c>
      <c r="AR189" s="41" t="s">
        <v>165</v>
      </c>
      <c r="AS189" s="41" t="s">
        <v>169</v>
      </c>
      <c r="AT189" s="41" t="s">
        <v>104</v>
      </c>
      <c r="AU189" s="41" t="s">
        <v>173</v>
      </c>
      <c r="AW189" s="41" t="s">
        <v>170</v>
      </c>
      <c r="AX189" s="41" t="s">
        <v>1620</v>
      </c>
      <c r="AY189" s="41" t="s">
        <v>2056</v>
      </c>
      <c r="AZ189" s="40"/>
      <c r="BA189" s="40"/>
    </row>
    <row r="190" spans="6:53" ht="29" x14ac:dyDescent="0.35">
      <c r="F190" s="40" t="s">
        <v>1185</v>
      </c>
      <c r="G190" s="85" t="s">
        <v>616</v>
      </c>
      <c r="H190" s="40" t="s">
        <v>616</v>
      </c>
      <c r="I190" s="41" t="s">
        <v>223</v>
      </c>
      <c r="J190" s="41" t="s">
        <v>601</v>
      </c>
      <c r="K190" s="41" t="s">
        <v>602</v>
      </c>
      <c r="L190" s="40" t="s">
        <v>603</v>
      </c>
      <c r="O190" s="40" t="s">
        <v>104</v>
      </c>
      <c r="P190" s="41" t="s">
        <v>104</v>
      </c>
      <c r="Q190" s="41" t="s">
        <v>104</v>
      </c>
      <c r="R190" s="41" t="s">
        <v>104</v>
      </c>
      <c r="S190" s="40" t="s">
        <v>169</v>
      </c>
      <c r="U190" s="41" t="s">
        <v>104</v>
      </c>
      <c r="V190" s="41" t="s">
        <v>104</v>
      </c>
      <c r="W190" s="41" t="s">
        <v>104</v>
      </c>
      <c r="X190" s="41" t="s">
        <v>104</v>
      </c>
      <c r="Y190" s="40" t="s">
        <v>604</v>
      </c>
      <c r="Z190" s="41" t="s">
        <v>605</v>
      </c>
      <c r="AA190" s="41" t="s">
        <v>119</v>
      </c>
      <c r="AB190" s="41" t="s">
        <v>755</v>
      </c>
      <c r="AC190" s="40" t="s">
        <v>604</v>
      </c>
      <c r="AD190" s="41" t="s">
        <v>607</v>
      </c>
      <c r="AE190" s="41" t="s">
        <v>119</v>
      </c>
      <c r="AF190" s="41" t="s">
        <v>756</v>
      </c>
      <c r="AG190" s="41" t="s">
        <v>138</v>
      </c>
      <c r="AH190" s="41" t="s">
        <v>169</v>
      </c>
      <c r="AI190" s="41">
        <v>1</v>
      </c>
      <c r="AJ190" s="41">
        <v>1</v>
      </c>
      <c r="AK190" s="41">
        <v>0</v>
      </c>
      <c r="AL190" s="42">
        <v>0</v>
      </c>
      <c r="AM190" s="41" t="s">
        <v>144</v>
      </c>
      <c r="AN190" s="42">
        <v>0</v>
      </c>
      <c r="AO190" s="41" t="s">
        <v>104</v>
      </c>
      <c r="AP190" s="41" t="s">
        <v>541</v>
      </c>
      <c r="AQ190" s="41" t="s">
        <v>104</v>
      </c>
      <c r="AR190" s="41" t="s">
        <v>165</v>
      </c>
      <c r="AS190" s="41" t="s">
        <v>169</v>
      </c>
      <c r="AT190" s="41" t="s">
        <v>104</v>
      </c>
      <c r="AU190" s="41" t="s">
        <v>173</v>
      </c>
      <c r="AW190" s="41" t="s">
        <v>170</v>
      </c>
      <c r="AX190" s="41" t="s">
        <v>1621</v>
      </c>
      <c r="AY190" s="41" t="s">
        <v>2057</v>
      </c>
      <c r="AZ190" s="40"/>
      <c r="BA190" s="40"/>
    </row>
    <row r="191" spans="6:53" ht="29" x14ac:dyDescent="0.35">
      <c r="F191" s="40" t="s">
        <v>1186</v>
      </c>
      <c r="G191" s="85" t="s">
        <v>759</v>
      </c>
      <c r="H191" s="40" t="s">
        <v>759</v>
      </c>
      <c r="I191" s="41" t="s">
        <v>223</v>
      </c>
      <c r="J191" s="41" t="s">
        <v>601</v>
      </c>
      <c r="K191" s="41" t="s">
        <v>602</v>
      </c>
      <c r="L191" s="40" t="s">
        <v>603</v>
      </c>
      <c r="O191" s="40" t="s">
        <v>104</v>
      </c>
      <c r="P191" s="41" t="s">
        <v>104</v>
      </c>
      <c r="Q191" s="41" t="s">
        <v>104</v>
      </c>
      <c r="R191" s="41" t="s">
        <v>104</v>
      </c>
      <c r="S191" s="40" t="s">
        <v>169</v>
      </c>
      <c r="U191" s="41" t="s">
        <v>104</v>
      </c>
      <c r="V191" s="41" t="s">
        <v>104</v>
      </c>
      <c r="W191" s="41" t="s">
        <v>104</v>
      </c>
      <c r="X191" s="41" t="s">
        <v>104</v>
      </c>
      <c r="Y191" s="40" t="s">
        <v>604</v>
      </c>
      <c r="Z191" s="41" t="s">
        <v>605</v>
      </c>
      <c r="AA191" s="41" t="s">
        <v>119</v>
      </c>
      <c r="AB191" s="41" t="s">
        <v>755</v>
      </c>
      <c r="AC191" s="40" t="s">
        <v>604</v>
      </c>
      <c r="AD191" s="41" t="s">
        <v>607</v>
      </c>
      <c r="AE191" s="41" t="s">
        <v>119</v>
      </c>
      <c r="AF191" s="41" t="s">
        <v>756</v>
      </c>
      <c r="AG191" s="41" t="s">
        <v>138</v>
      </c>
      <c r="AH191" s="41" t="s">
        <v>169</v>
      </c>
      <c r="AI191" s="41">
        <v>0</v>
      </c>
      <c r="AJ191" s="41">
        <v>0</v>
      </c>
      <c r="AK191" s="41">
        <v>0</v>
      </c>
      <c r="AL191" s="42">
        <v>0</v>
      </c>
      <c r="AM191" s="41" t="s">
        <v>144</v>
      </c>
      <c r="AN191" s="42">
        <v>0</v>
      </c>
      <c r="AO191" s="41" t="s">
        <v>104</v>
      </c>
      <c r="AP191" s="41" t="s">
        <v>541</v>
      </c>
      <c r="AQ191" s="41" t="s">
        <v>104</v>
      </c>
      <c r="AR191" s="41" t="s">
        <v>165</v>
      </c>
      <c r="AS191" s="41" t="s">
        <v>169</v>
      </c>
      <c r="AT191" s="41" t="s">
        <v>104</v>
      </c>
      <c r="AU191" s="41" t="s">
        <v>173</v>
      </c>
      <c r="AW191" s="41" t="s">
        <v>170</v>
      </c>
      <c r="AX191" s="41" t="s">
        <v>1622</v>
      </c>
      <c r="AY191" s="41" t="s">
        <v>2058</v>
      </c>
      <c r="AZ191" s="40"/>
      <c r="BA191" s="40"/>
    </row>
    <row r="192" spans="6:53" ht="29" x14ac:dyDescent="0.35">
      <c r="F192" s="40" t="s">
        <v>1187</v>
      </c>
      <c r="G192" s="85" t="s">
        <v>760</v>
      </c>
      <c r="H192" s="40" t="s">
        <v>760</v>
      </c>
      <c r="I192" s="41" t="s">
        <v>223</v>
      </c>
      <c r="J192" s="41" t="s">
        <v>601</v>
      </c>
      <c r="K192" s="41" t="s">
        <v>602</v>
      </c>
      <c r="L192" s="40" t="s">
        <v>603</v>
      </c>
      <c r="O192" s="40" t="s">
        <v>104</v>
      </c>
      <c r="P192" s="41" t="s">
        <v>104</v>
      </c>
      <c r="Q192" s="41" t="s">
        <v>104</v>
      </c>
      <c r="R192" s="41" t="s">
        <v>104</v>
      </c>
      <c r="S192" s="40" t="s">
        <v>169</v>
      </c>
      <c r="U192" s="41" t="s">
        <v>104</v>
      </c>
      <c r="V192" s="41" t="s">
        <v>104</v>
      </c>
      <c r="W192" s="41" t="s">
        <v>112</v>
      </c>
      <c r="X192" s="41" t="s">
        <v>104</v>
      </c>
      <c r="Y192" s="40" t="s">
        <v>604</v>
      </c>
      <c r="Z192" s="41" t="s">
        <v>605</v>
      </c>
      <c r="AA192" s="41" t="s">
        <v>119</v>
      </c>
      <c r="AB192" s="41" t="s">
        <v>755</v>
      </c>
      <c r="AC192" s="40" t="s">
        <v>604</v>
      </c>
      <c r="AD192" s="41" t="s">
        <v>607</v>
      </c>
      <c r="AE192" s="41" t="s">
        <v>119</v>
      </c>
      <c r="AF192" s="41" t="s">
        <v>756</v>
      </c>
      <c r="AG192" s="41" t="s">
        <v>138</v>
      </c>
      <c r="AH192" s="41" t="s">
        <v>169</v>
      </c>
      <c r="AI192" s="41">
        <v>2</v>
      </c>
      <c r="AJ192" s="41">
        <v>2</v>
      </c>
      <c r="AK192" s="41">
        <v>0</v>
      </c>
      <c r="AL192" s="42">
        <v>0</v>
      </c>
      <c r="AM192" s="41" t="s">
        <v>144</v>
      </c>
      <c r="AN192" s="42">
        <v>0</v>
      </c>
      <c r="AO192" s="41" t="s">
        <v>104</v>
      </c>
      <c r="AP192" s="41" t="s">
        <v>541</v>
      </c>
      <c r="AQ192" s="41" t="s">
        <v>104</v>
      </c>
      <c r="AR192" s="41" t="s">
        <v>165</v>
      </c>
      <c r="AS192" s="41" t="s">
        <v>169</v>
      </c>
      <c r="AT192" s="41" t="s">
        <v>104</v>
      </c>
      <c r="AU192" s="41" t="s">
        <v>173</v>
      </c>
      <c r="AW192" s="41" t="s">
        <v>170</v>
      </c>
      <c r="AX192" s="41" t="s">
        <v>1623</v>
      </c>
      <c r="AY192" s="41" t="s">
        <v>2059</v>
      </c>
      <c r="AZ192" s="40"/>
      <c r="BA192" s="40"/>
    </row>
    <row r="193" spans="6:53" ht="29" x14ac:dyDescent="0.35">
      <c r="F193" s="40" t="s">
        <v>1188</v>
      </c>
      <c r="G193" s="85" t="s">
        <v>656</v>
      </c>
      <c r="H193" s="40" t="s">
        <v>656</v>
      </c>
      <c r="I193" s="41" t="s">
        <v>223</v>
      </c>
      <c r="J193" s="41" t="s">
        <v>601</v>
      </c>
      <c r="K193" s="41" t="s">
        <v>602</v>
      </c>
      <c r="L193" s="40" t="s">
        <v>603</v>
      </c>
      <c r="O193" s="40" t="s">
        <v>104</v>
      </c>
      <c r="P193" s="41" t="s">
        <v>104</v>
      </c>
      <c r="Q193" s="41" t="s">
        <v>104</v>
      </c>
      <c r="R193" s="41" t="s">
        <v>104</v>
      </c>
      <c r="S193" s="40" t="s">
        <v>169</v>
      </c>
      <c r="U193" s="41" t="s">
        <v>104</v>
      </c>
      <c r="V193" s="41" t="s">
        <v>104</v>
      </c>
      <c r="W193" s="41" t="s">
        <v>104</v>
      </c>
      <c r="X193" s="41" t="s">
        <v>104</v>
      </c>
      <c r="Y193" s="40" t="s">
        <v>604</v>
      </c>
      <c r="Z193" s="41" t="s">
        <v>605</v>
      </c>
      <c r="AA193" s="41" t="s">
        <v>119</v>
      </c>
      <c r="AB193" s="41" t="s">
        <v>755</v>
      </c>
      <c r="AC193" s="40" t="s">
        <v>604</v>
      </c>
      <c r="AD193" s="41" t="s">
        <v>607</v>
      </c>
      <c r="AE193" s="41" t="s">
        <v>119</v>
      </c>
      <c r="AF193" s="41" t="s">
        <v>756</v>
      </c>
      <c r="AG193" s="41" t="s">
        <v>138</v>
      </c>
      <c r="AH193" s="41" t="s">
        <v>169</v>
      </c>
      <c r="AI193" s="41">
        <v>1</v>
      </c>
      <c r="AJ193" s="41">
        <v>1</v>
      </c>
      <c r="AK193" s="41">
        <v>0</v>
      </c>
      <c r="AL193" s="42">
        <v>0</v>
      </c>
      <c r="AM193" s="41" t="s">
        <v>144</v>
      </c>
      <c r="AN193" s="42">
        <v>0</v>
      </c>
      <c r="AO193" s="41" t="s">
        <v>104</v>
      </c>
      <c r="AP193" s="41" t="s">
        <v>541</v>
      </c>
      <c r="AQ193" s="41" t="s">
        <v>104</v>
      </c>
      <c r="AR193" s="41" t="s">
        <v>165</v>
      </c>
      <c r="AS193" s="41" t="s">
        <v>169</v>
      </c>
      <c r="AT193" s="41" t="s">
        <v>104</v>
      </c>
      <c r="AU193" s="41" t="s">
        <v>173</v>
      </c>
      <c r="AW193" s="41" t="s">
        <v>170</v>
      </c>
      <c r="AX193" s="41" t="s">
        <v>1624</v>
      </c>
      <c r="AY193" s="41" t="s">
        <v>2060</v>
      </c>
      <c r="AZ193" s="40"/>
      <c r="BA193" s="40"/>
    </row>
    <row r="194" spans="6:53" ht="29" x14ac:dyDescent="0.35">
      <c r="F194" s="40" t="s">
        <v>1189</v>
      </c>
      <c r="G194" s="85" t="s">
        <v>678</v>
      </c>
      <c r="H194" s="40" t="s">
        <v>678</v>
      </c>
      <c r="I194" s="41" t="s">
        <v>223</v>
      </c>
      <c r="J194" s="41" t="s">
        <v>601</v>
      </c>
      <c r="K194" s="41" t="s">
        <v>602</v>
      </c>
      <c r="L194" s="40" t="s">
        <v>603</v>
      </c>
      <c r="O194" s="40" t="s">
        <v>104</v>
      </c>
      <c r="P194" s="41" t="s">
        <v>104</v>
      </c>
      <c r="Q194" s="41" t="s">
        <v>104</v>
      </c>
      <c r="R194" s="41" t="s">
        <v>104</v>
      </c>
      <c r="S194" s="40" t="s">
        <v>169</v>
      </c>
      <c r="U194" s="41" t="s">
        <v>104</v>
      </c>
      <c r="V194" s="41" t="s">
        <v>104</v>
      </c>
      <c r="W194" s="41" t="s">
        <v>104</v>
      </c>
      <c r="X194" s="41" t="s">
        <v>104</v>
      </c>
      <c r="Y194" s="40" t="s">
        <v>604</v>
      </c>
      <c r="Z194" s="41" t="s">
        <v>605</v>
      </c>
      <c r="AA194" s="41" t="s">
        <v>119</v>
      </c>
      <c r="AB194" s="41" t="s">
        <v>755</v>
      </c>
      <c r="AC194" s="40" t="s">
        <v>604</v>
      </c>
      <c r="AD194" s="41" t="s">
        <v>607</v>
      </c>
      <c r="AE194" s="41" t="s">
        <v>119</v>
      </c>
      <c r="AF194" s="41" t="s">
        <v>756</v>
      </c>
      <c r="AG194" s="41" t="s">
        <v>138</v>
      </c>
      <c r="AH194" s="41" t="s">
        <v>169</v>
      </c>
      <c r="AI194" s="41">
        <v>1</v>
      </c>
      <c r="AJ194" s="41">
        <v>1</v>
      </c>
      <c r="AK194" s="41">
        <v>0</v>
      </c>
      <c r="AL194" s="42">
        <v>0</v>
      </c>
      <c r="AM194" s="41" t="s">
        <v>144</v>
      </c>
      <c r="AN194" s="42">
        <v>0</v>
      </c>
      <c r="AO194" s="41" t="s">
        <v>104</v>
      </c>
      <c r="AP194" s="41" t="s">
        <v>541</v>
      </c>
      <c r="AQ194" s="41" t="s">
        <v>104</v>
      </c>
      <c r="AR194" s="41" t="s">
        <v>165</v>
      </c>
      <c r="AS194" s="41" t="s">
        <v>169</v>
      </c>
      <c r="AT194" s="41" t="s">
        <v>104</v>
      </c>
      <c r="AU194" s="41" t="s">
        <v>173</v>
      </c>
      <c r="AW194" s="41" t="s">
        <v>170</v>
      </c>
      <c r="AX194" s="41" t="s">
        <v>1625</v>
      </c>
      <c r="AY194" s="41" t="s">
        <v>2061</v>
      </c>
      <c r="AZ194" s="40"/>
      <c r="BA194" s="40"/>
    </row>
    <row r="195" spans="6:53" ht="29" x14ac:dyDescent="0.35">
      <c r="F195" s="40" t="s">
        <v>1190</v>
      </c>
      <c r="G195" s="85" t="s">
        <v>690</v>
      </c>
      <c r="H195" s="40" t="s">
        <v>690</v>
      </c>
      <c r="I195" s="41" t="s">
        <v>223</v>
      </c>
      <c r="J195" s="41" t="s">
        <v>601</v>
      </c>
      <c r="K195" s="41" t="s">
        <v>602</v>
      </c>
      <c r="L195" s="40" t="s">
        <v>603</v>
      </c>
      <c r="O195" s="40" t="s">
        <v>104</v>
      </c>
      <c r="P195" s="41" t="s">
        <v>104</v>
      </c>
      <c r="Q195" s="41" t="s">
        <v>104</v>
      </c>
      <c r="R195" s="41" t="s">
        <v>104</v>
      </c>
      <c r="S195" s="40" t="s">
        <v>169</v>
      </c>
      <c r="U195" s="41" t="s">
        <v>104</v>
      </c>
      <c r="V195" s="41" t="s">
        <v>104</v>
      </c>
      <c r="W195" s="41" t="s">
        <v>104</v>
      </c>
      <c r="X195" s="41" t="s">
        <v>104</v>
      </c>
      <c r="Y195" s="40" t="s">
        <v>604</v>
      </c>
      <c r="Z195" s="41" t="s">
        <v>607</v>
      </c>
      <c r="AA195" s="41" t="s">
        <v>121</v>
      </c>
      <c r="AB195" s="41" t="s">
        <v>721</v>
      </c>
      <c r="AC195" s="40" t="s">
        <v>604</v>
      </c>
      <c r="AD195" s="41" t="s">
        <v>607</v>
      </c>
      <c r="AE195" s="41" t="s">
        <v>121</v>
      </c>
      <c r="AF195" s="41" t="s">
        <v>721</v>
      </c>
      <c r="AG195" s="41" t="s">
        <v>138</v>
      </c>
      <c r="AH195" s="41" t="s">
        <v>169</v>
      </c>
      <c r="AI195" s="41">
        <v>1</v>
      </c>
      <c r="AJ195" s="41">
        <v>1</v>
      </c>
      <c r="AK195" s="41">
        <v>0</v>
      </c>
      <c r="AL195" s="42">
        <v>0</v>
      </c>
      <c r="AM195" s="41" t="s">
        <v>144</v>
      </c>
      <c r="AN195" s="42">
        <v>0</v>
      </c>
      <c r="AO195" s="41" t="s">
        <v>104</v>
      </c>
      <c r="AP195" s="41" t="s">
        <v>541</v>
      </c>
      <c r="AQ195" s="41" t="s">
        <v>104</v>
      </c>
      <c r="AR195" s="41" t="s">
        <v>165</v>
      </c>
      <c r="AS195" s="41" t="s">
        <v>169</v>
      </c>
      <c r="AT195" s="41" t="s">
        <v>104</v>
      </c>
      <c r="AU195" s="41" t="s">
        <v>173</v>
      </c>
      <c r="AW195" s="41" t="s">
        <v>170</v>
      </c>
      <c r="AX195" s="41" t="s">
        <v>1626</v>
      </c>
      <c r="AY195" s="41" t="s">
        <v>2062</v>
      </c>
      <c r="AZ195" s="40"/>
      <c r="BA195" s="40"/>
    </row>
    <row r="196" spans="6:53" ht="29" x14ac:dyDescent="0.35">
      <c r="F196" s="40" t="s">
        <v>1191</v>
      </c>
      <c r="G196" s="85" t="s">
        <v>761</v>
      </c>
      <c r="H196" s="40" t="s">
        <v>761</v>
      </c>
      <c r="I196" s="41" t="s">
        <v>223</v>
      </c>
      <c r="J196" s="41" t="s">
        <v>601</v>
      </c>
      <c r="K196" s="41" t="s">
        <v>602</v>
      </c>
      <c r="L196" s="40" t="s">
        <v>603</v>
      </c>
      <c r="O196" s="40" t="s">
        <v>104</v>
      </c>
      <c r="P196" s="41" t="s">
        <v>104</v>
      </c>
      <c r="Q196" s="41" t="s">
        <v>104</v>
      </c>
      <c r="R196" s="41" t="s">
        <v>104</v>
      </c>
      <c r="S196" s="40" t="s">
        <v>169</v>
      </c>
      <c r="T196" s="41" t="s">
        <v>754</v>
      </c>
      <c r="U196" s="41" t="s">
        <v>104</v>
      </c>
      <c r="V196" s="41" t="s">
        <v>104</v>
      </c>
      <c r="W196" s="41" t="s">
        <v>104</v>
      </c>
      <c r="X196" s="41" t="s">
        <v>104</v>
      </c>
      <c r="Y196" s="40" t="s">
        <v>604</v>
      </c>
      <c r="Z196" s="41" t="s">
        <v>605</v>
      </c>
      <c r="AA196" s="41" t="s">
        <v>119</v>
      </c>
      <c r="AB196" s="41" t="s">
        <v>762</v>
      </c>
      <c r="AC196" s="40" t="s">
        <v>604</v>
      </c>
      <c r="AD196" s="41" t="s">
        <v>607</v>
      </c>
      <c r="AE196" s="41" t="s">
        <v>119</v>
      </c>
      <c r="AF196" s="41" t="s">
        <v>763</v>
      </c>
      <c r="AG196" s="41" t="s">
        <v>138</v>
      </c>
      <c r="AH196" s="41" t="s">
        <v>169</v>
      </c>
      <c r="AI196" s="41">
        <v>1</v>
      </c>
      <c r="AJ196" s="41">
        <v>1</v>
      </c>
      <c r="AK196" s="41">
        <v>0</v>
      </c>
      <c r="AL196" s="42">
        <v>0</v>
      </c>
      <c r="AM196" s="41" t="s">
        <v>144</v>
      </c>
      <c r="AN196" s="42">
        <v>0</v>
      </c>
      <c r="AO196" s="41" t="s">
        <v>104</v>
      </c>
      <c r="AP196" s="41" t="s">
        <v>541</v>
      </c>
      <c r="AQ196" s="41" t="s">
        <v>104</v>
      </c>
      <c r="AR196" s="41" t="s">
        <v>165</v>
      </c>
      <c r="AS196" s="41" t="s">
        <v>169</v>
      </c>
      <c r="AT196" s="41" t="s">
        <v>104</v>
      </c>
      <c r="AU196" s="41" t="s">
        <v>173</v>
      </c>
      <c r="AW196" s="41" t="s">
        <v>170</v>
      </c>
      <c r="AX196" s="41" t="s">
        <v>1627</v>
      </c>
      <c r="AY196" s="41" t="s">
        <v>2063</v>
      </c>
      <c r="AZ196" s="40"/>
      <c r="BA196" s="40"/>
    </row>
    <row r="197" spans="6:53" ht="29" x14ac:dyDescent="0.35">
      <c r="F197" s="40" t="s">
        <v>1192</v>
      </c>
      <c r="G197" s="85" t="s">
        <v>764</v>
      </c>
      <c r="H197" s="40" t="s">
        <v>764</v>
      </c>
      <c r="I197" s="41" t="s">
        <v>223</v>
      </c>
      <c r="J197" s="41" t="s">
        <v>601</v>
      </c>
      <c r="K197" s="41" t="s">
        <v>602</v>
      </c>
      <c r="L197" s="40" t="s">
        <v>603</v>
      </c>
      <c r="O197" s="40" t="s">
        <v>104</v>
      </c>
      <c r="P197" s="41" t="s">
        <v>104</v>
      </c>
      <c r="Q197" s="41" t="s">
        <v>104</v>
      </c>
      <c r="R197" s="41" t="s">
        <v>104</v>
      </c>
      <c r="S197" s="40" t="s">
        <v>169</v>
      </c>
      <c r="T197" s="41" t="s">
        <v>758</v>
      </c>
      <c r="U197" s="41" t="s">
        <v>104</v>
      </c>
      <c r="V197" s="41" t="s">
        <v>104</v>
      </c>
      <c r="W197" s="41" t="s">
        <v>104</v>
      </c>
      <c r="X197" s="41" t="s">
        <v>104</v>
      </c>
      <c r="Y197" s="40" t="s">
        <v>604</v>
      </c>
      <c r="Z197" s="41" t="s">
        <v>605</v>
      </c>
      <c r="AA197" s="41" t="s">
        <v>119</v>
      </c>
      <c r="AB197" s="41" t="s">
        <v>762</v>
      </c>
      <c r="AC197" s="40" t="s">
        <v>604</v>
      </c>
      <c r="AD197" s="41" t="s">
        <v>607</v>
      </c>
      <c r="AE197" s="41" t="s">
        <v>119</v>
      </c>
      <c r="AF197" s="41" t="s">
        <v>763</v>
      </c>
      <c r="AG197" s="41" t="s">
        <v>138</v>
      </c>
      <c r="AH197" s="41" t="s">
        <v>169</v>
      </c>
      <c r="AI197" s="41">
        <v>1</v>
      </c>
      <c r="AJ197" s="41">
        <v>1</v>
      </c>
      <c r="AK197" s="41">
        <v>0</v>
      </c>
      <c r="AL197" s="42">
        <v>0</v>
      </c>
      <c r="AM197" s="41" t="s">
        <v>144</v>
      </c>
      <c r="AN197" s="42">
        <v>0</v>
      </c>
      <c r="AO197" s="41" t="s">
        <v>104</v>
      </c>
      <c r="AP197" s="41" t="s">
        <v>541</v>
      </c>
      <c r="AQ197" s="41" t="s">
        <v>104</v>
      </c>
      <c r="AR197" s="41" t="s">
        <v>165</v>
      </c>
      <c r="AS197" s="41" t="s">
        <v>169</v>
      </c>
      <c r="AT197" s="41" t="s">
        <v>104</v>
      </c>
      <c r="AU197" s="41" t="s">
        <v>173</v>
      </c>
      <c r="AW197" s="41" t="s">
        <v>170</v>
      </c>
      <c r="AX197" s="41" t="s">
        <v>1628</v>
      </c>
      <c r="AY197" s="41" t="s">
        <v>2064</v>
      </c>
      <c r="AZ197" s="40"/>
      <c r="BA197" s="40"/>
    </row>
    <row r="198" spans="6:53" ht="29" x14ac:dyDescent="0.35">
      <c r="F198" s="40" t="s">
        <v>1193</v>
      </c>
      <c r="G198" s="85" t="s">
        <v>616</v>
      </c>
      <c r="H198" s="40" t="s">
        <v>616</v>
      </c>
      <c r="I198" s="41" t="s">
        <v>223</v>
      </c>
      <c r="J198" s="41" t="s">
        <v>601</v>
      </c>
      <c r="K198" s="41" t="s">
        <v>602</v>
      </c>
      <c r="L198" s="40" t="s">
        <v>603</v>
      </c>
      <c r="O198" s="40" t="s">
        <v>104</v>
      </c>
      <c r="P198" s="41" t="s">
        <v>104</v>
      </c>
      <c r="Q198" s="41" t="s">
        <v>104</v>
      </c>
      <c r="R198" s="41" t="s">
        <v>104</v>
      </c>
      <c r="S198" s="40" t="s">
        <v>169</v>
      </c>
      <c r="U198" s="41" t="s">
        <v>104</v>
      </c>
      <c r="V198" s="41" t="s">
        <v>104</v>
      </c>
      <c r="W198" s="41" t="s">
        <v>104</v>
      </c>
      <c r="X198" s="41" t="s">
        <v>104</v>
      </c>
      <c r="Y198" s="40" t="s">
        <v>604</v>
      </c>
      <c r="Z198" s="41" t="s">
        <v>605</v>
      </c>
      <c r="AA198" s="41" t="s">
        <v>119</v>
      </c>
      <c r="AB198" s="41" t="s">
        <v>762</v>
      </c>
      <c r="AC198" s="40" t="s">
        <v>604</v>
      </c>
      <c r="AD198" s="41" t="s">
        <v>607</v>
      </c>
      <c r="AE198" s="41" t="s">
        <v>119</v>
      </c>
      <c r="AF198" s="41" t="s">
        <v>763</v>
      </c>
      <c r="AG198" s="41" t="s">
        <v>138</v>
      </c>
      <c r="AH198" s="41" t="s">
        <v>169</v>
      </c>
      <c r="AI198" s="41">
        <v>1</v>
      </c>
      <c r="AJ198" s="41">
        <v>1</v>
      </c>
      <c r="AK198" s="41">
        <v>0</v>
      </c>
      <c r="AL198" s="42">
        <v>0</v>
      </c>
      <c r="AM198" s="41" t="s">
        <v>144</v>
      </c>
      <c r="AN198" s="42">
        <v>0</v>
      </c>
      <c r="AO198" s="41" t="s">
        <v>104</v>
      </c>
      <c r="AP198" s="41" t="s">
        <v>541</v>
      </c>
      <c r="AQ198" s="41" t="s">
        <v>104</v>
      </c>
      <c r="AR198" s="41" t="s">
        <v>165</v>
      </c>
      <c r="AS198" s="41" t="s">
        <v>169</v>
      </c>
      <c r="AT198" s="41" t="s">
        <v>104</v>
      </c>
      <c r="AU198" s="41" t="s">
        <v>173</v>
      </c>
      <c r="AW198" s="41" t="s">
        <v>170</v>
      </c>
      <c r="AX198" s="41" t="s">
        <v>1629</v>
      </c>
      <c r="AY198" s="41" t="s">
        <v>2065</v>
      </c>
      <c r="AZ198" s="40"/>
      <c r="BA198" s="40"/>
    </row>
    <row r="199" spans="6:53" ht="29" x14ac:dyDescent="0.35">
      <c r="F199" s="40" t="s">
        <v>1194</v>
      </c>
      <c r="G199" s="85" t="s">
        <v>759</v>
      </c>
      <c r="H199" s="40" t="s">
        <v>759</v>
      </c>
      <c r="I199" s="41" t="s">
        <v>223</v>
      </c>
      <c r="J199" s="41" t="s">
        <v>601</v>
      </c>
      <c r="K199" s="41" t="s">
        <v>602</v>
      </c>
      <c r="L199" s="40" t="s">
        <v>603</v>
      </c>
      <c r="O199" s="40" t="s">
        <v>104</v>
      </c>
      <c r="P199" s="41" t="s">
        <v>104</v>
      </c>
      <c r="Q199" s="41" t="s">
        <v>104</v>
      </c>
      <c r="R199" s="41" t="s">
        <v>104</v>
      </c>
      <c r="S199" s="40" t="s">
        <v>169</v>
      </c>
      <c r="U199" s="41" t="s">
        <v>104</v>
      </c>
      <c r="V199" s="41" t="s">
        <v>104</v>
      </c>
      <c r="W199" s="41" t="s">
        <v>104</v>
      </c>
      <c r="X199" s="41" t="s">
        <v>104</v>
      </c>
      <c r="Y199" s="40" t="s">
        <v>604</v>
      </c>
      <c r="Z199" s="41" t="s">
        <v>605</v>
      </c>
      <c r="AA199" s="41" t="s">
        <v>119</v>
      </c>
      <c r="AB199" s="41" t="s">
        <v>762</v>
      </c>
      <c r="AC199" s="40" t="s">
        <v>604</v>
      </c>
      <c r="AD199" s="41" t="s">
        <v>607</v>
      </c>
      <c r="AE199" s="41" t="s">
        <v>119</v>
      </c>
      <c r="AF199" s="41" t="s">
        <v>763</v>
      </c>
      <c r="AG199" s="41" t="s">
        <v>138</v>
      </c>
      <c r="AH199" s="41" t="s">
        <v>169</v>
      </c>
      <c r="AI199" s="41">
        <v>0</v>
      </c>
      <c r="AJ199" s="41">
        <v>0</v>
      </c>
      <c r="AK199" s="41">
        <v>0</v>
      </c>
      <c r="AL199" s="42">
        <v>0</v>
      </c>
      <c r="AM199" s="41" t="s">
        <v>144</v>
      </c>
      <c r="AN199" s="42">
        <v>0</v>
      </c>
      <c r="AO199" s="41" t="s">
        <v>104</v>
      </c>
      <c r="AP199" s="41" t="s">
        <v>541</v>
      </c>
      <c r="AQ199" s="41" t="s">
        <v>104</v>
      </c>
      <c r="AR199" s="41" t="s">
        <v>165</v>
      </c>
      <c r="AS199" s="41" t="s">
        <v>169</v>
      </c>
      <c r="AT199" s="41" t="s">
        <v>104</v>
      </c>
      <c r="AU199" s="41" t="s">
        <v>173</v>
      </c>
      <c r="AW199" s="41" t="s">
        <v>170</v>
      </c>
      <c r="AX199" s="41" t="s">
        <v>1630</v>
      </c>
      <c r="AY199" s="41" t="s">
        <v>2066</v>
      </c>
      <c r="AZ199" s="40"/>
      <c r="BA199" s="40"/>
    </row>
    <row r="200" spans="6:53" ht="29" x14ac:dyDescent="0.35">
      <c r="F200" s="40" t="s">
        <v>1195</v>
      </c>
      <c r="G200" s="85" t="s">
        <v>753</v>
      </c>
      <c r="H200" s="40" t="s">
        <v>753</v>
      </c>
      <c r="I200" s="41" t="s">
        <v>223</v>
      </c>
      <c r="J200" s="41" t="s">
        <v>601</v>
      </c>
      <c r="K200" s="41" t="s">
        <v>602</v>
      </c>
      <c r="L200" s="40" t="s">
        <v>603</v>
      </c>
      <c r="O200" s="40" t="s">
        <v>104</v>
      </c>
      <c r="P200" s="41" t="s">
        <v>104</v>
      </c>
      <c r="Q200" s="41" t="s">
        <v>104</v>
      </c>
      <c r="R200" s="41" t="s">
        <v>104</v>
      </c>
      <c r="S200" s="40" t="s">
        <v>169</v>
      </c>
      <c r="T200" s="41" t="s">
        <v>754</v>
      </c>
      <c r="U200" s="41" t="s">
        <v>104</v>
      </c>
      <c r="V200" s="41" t="s">
        <v>104</v>
      </c>
      <c r="W200" s="41" t="s">
        <v>104</v>
      </c>
      <c r="X200" s="41" t="s">
        <v>104</v>
      </c>
      <c r="Y200" s="40" t="s">
        <v>604</v>
      </c>
      <c r="Z200" s="41" t="s">
        <v>605</v>
      </c>
      <c r="AA200" s="41" t="s">
        <v>119</v>
      </c>
      <c r="AB200" s="41" t="s">
        <v>765</v>
      </c>
      <c r="AC200" s="40" t="s">
        <v>604</v>
      </c>
      <c r="AD200" s="41" t="s">
        <v>607</v>
      </c>
      <c r="AE200" s="41" t="s">
        <v>119</v>
      </c>
      <c r="AF200" s="41" t="s">
        <v>766</v>
      </c>
      <c r="AG200" s="41" t="s">
        <v>138</v>
      </c>
      <c r="AH200" s="41" t="s">
        <v>169</v>
      </c>
      <c r="AI200" s="41">
        <v>1</v>
      </c>
      <c r="AJ200" s="41">
        <v>1</v>
      </c>
      <c r="AK200" s="41">
        <v>0</v>
      </c>
      <c r="AL200" s="42">
        <v>0</v>
      </c>
      <c r="AM200" s="41" t="s">
        <v>144</v>
      </c>
      <c r="AN200" s="42">
        <v>0</v>
      </c>
      <c r="AO200" s="41" t="s">
        <v>104</v>
      </c>
      <c r="AP200" s="41" t="s">
        <v>541</v>
      </c>
      <c r="AQ200" s="41" t="s">
        <v>104</v>
      </c>
      <c r="AR200" s="41" t="s">
        <v>165</v>
      </c>
      <c r="AS200" s="41" t="s">
        <v>169</v>
      </c>
      <c r="AT200" s="41" t="s">
        <v>104</v>
      </c>
      <c r="AU200" s="41" t="s">
        <v>173</v>
      </c>
      <c r="AW200" s="41" t="s">
        <v>170</v>
      </c>
      <c r="AX200" s="41" t="s">
        <v>1631</v>
      </c>
      <c r="AY200" s="41" t="s">
        <v>2067</v>
      </c>
      <c r="AZ200" s="40"/>
      <c r="BA200" s="40"/>
    </row>
    <row r="201" spans="6:53" ht="29" x14ac:dyDescent="0.35">
      <c r="F201" s="40" t="s">
        <v>1196</v>
      </c>
      <c r="G201" s="85" t="s">
        <v>757</v>
      </c>
      <c r="H201" s="40" t="s">
        <v>757</v>
      </c>
      <c r="I201" s="41" t="s">
        <v>223</v>
      </c>
      <c r="J201" s="41" t="s">
        <v>601</v>
      </c>
      <c r="K201" s="41" t="s">
        <v>602</v>
      </c>
      <c r="L201" s="40" t="s">
        <v>603</v>
      </c>
      <c r="O201" s="40" t="s">
        <v>104</v>
      </c>
      <c r="P201" s="41" t="s">
        <v>104</v>
      </c>
      <c r="Q201" s="41" t="s">
        <v>104</v>
      </c>
      <c r="R201" s="41" t="s">
        <v>104</v>
      </c>
      <c r="S201" s="40" t="s">
        <v>169</v>
      </c>
      <c r="T201" s="41" t="s">
        <v>758</v>
      </c>
      <c r="U201" s="41" t="s">
        <v>104</v>
      </c>
      <c r="V201" s="41" t="s">
        <v>104</v>
      </c>
      <c r="W201" s="41" t="s">
        <v>104</v>
      </c>
      <c r="X201" s="41" t="s">
        <v>104</v>
      </c>
      <c r="Y201" s="40" t="s">
        <v>604</v>
      </c>
      <c r="Z201" s="41" t="s">
        <v>605</v>
      </c>
      <c r="AA201" s="41" t="s">
        <v>119</v>
      </c>
      <c r="AB201" s="41" t="s">
        <v>765</v>
      </c>
      <c r="AC201" s="40" t="s">
        <v>604</v>
      </c>
      <c r="AD201" s="41" t="s">
        <v>607</v>
      </c>
      <c r="AE201" s="41" t="s">
        <v>119</v>
      </c>
      <c r="AF201" s="41" t="s">
        <v>766</v>
      </c>
      <c r="AG201" s="41" t="s">
        <v>138</v>
      </c>
      <c r="AH201" s="41" t="s">
        <v>169</v>
      </c>
      <c r="AI201" s="41">
        <v>1</v>
      </c>
      <c r="AJ201" s="41">
        <v>1</v>
      </c>
      <c r="AK201" s="41">
        <v>0</v>
      </c>
      <c r="AL201" s="42">
        <v>0</v>
      </c>
      <c r="AM201" s="41" t="s">
        <v>144</v>
      </c>
      <c r="AN201" s="42">
        <v>0</v>
      </c>
      <c r="AO201" s="41" t="s">
        <v>104</v>
      </c>
      <c r="AP201" s="41" t="s">
        <v>541</v>
      </c>
      <c r="AQ201" s="41" t="s">
        <v>104</v>
      </c>
      <c r="AR201" s="41" t="s">
        <v>165</v>
      </c>
      <c r="AS201" s="41" t="s">
        <v>169</v>
      </c>
      <c r="AT201" s="41" t="s">
        <v>104</v>
      </c>
      <c r="AU201" s="41" t="s">
        <v>173</v>
      </c>
      <c r="AW201" s="41" t="s">
        <v>170</v>
      </c>
      <c r="AX201" s="41" t="s">
        <v>1632</v>
      </c>
      <c r="AY201" s="41" t="s">
        <v>2068</v>
      </c>
      <c r="AZ201" s="40"/>
      <c r="BA201" s="40"/>
    </row>
    <row r="202" spans="6:53" ht="29" x14ac:dyDescent="0.35">
      <c r="F202" s="40" t="s">
        <v>1197</v>
      </c>
      <c r="G202" s="85" t="s">
        <v>616</v>
      </c>
      <c r="H202" s="40" t="s">
        <v>616</v>
      </c>
      <c r="I202" s="41" t="s">
        <v>223</v>
      </c>
      <c r="J202" s="41" t="s">
        <v>601</v>
      </c>
      <c r="K202" s="41" t="s">
        <v>602</v>
      </c>
      <c r="L202" s="40" t="s">
        <v>603</v>
      </c>
      <c r="O202" s="40" t="s">
        <v>104</v>
      </c>
      <c r="P202" s="41" t="s">
        <v>104</v>
      </c>
      <c r="Q202" s="41" t="s">
        <v>104</v>
      </c>
      <c r="R202" s="41" t="s">
        <v>104</v>
      </c>
      <c r="S202" s="40" t="s">
        <v>169</v>
      </c>
      <c r="U202" s="41" t="s">
        <v>104</v>
      </c>
      <c r="V202" s="41" t="s">
        <v>104</v>
      </c>
      <c r="W202" s="41" t="s">
        <v>104</v>
      </c>
      <c r="X202" s="41" t="s">
        <v>104</v>
      </c>
      <c r="Y202" s="40" t="s">
        <v>604</v>
      </c>
      <c r="Z202" s="41" t="s">
        <v>605</v>
      </c>
      <c r="AA202" s="41" t="s">
        <v>119</v>
      </c>
      <c r="AB202" s="41" t="s">
        <v>765</v>
      </c>
      <c r="AC202" s="40" t="s">
        <v>604</v>
      </c>
      <c r="AD202" s="41" t="s">
        <v>607</v>
      </c>
      <c r="AE202" s="41" t="s">
        <v>119</v>
      </c>
      <c r="AF202" s="41" t="s">
        <v>766</v>
      </c>
      <c r="AG202" s="41" t="s">
        <v>138</v>
      </c>
      <c r="AH202" s="41" t="s">
        <v>169</v>
      </c>
      <c r="AI202" s="41">
        <v>1</v>
      </c>
      <c r="AJ202" s="41">
        <v>1</v>
      </c>
      <c r="AK202" s="41">
        <v>0</v>
      </c>
      <c r="AL202" s="42">
        <v>0</v>
      </c>
      <c r="AM202" s="41" t="s">
        <v>144</v>
      </c>
      <c r="AN202" s="42">
        <v>0</v>
      </c>
      <c r="AO202" s="41" t="s">
        <v>104</v>
      </c>
      <c r="AP202" s="41" t="s">
        <v>541</v>
      </c>
      <c r="AQ202" s="41" t="s">
        <v>104</v>
      </c>
      <c r="AR202" s="41" t="s">
        <v>165</v>
      </c>
      <c r="AS202" s="41" t="s">
        <v>169</v>
      </c>
      <c r="AT202" s="41" t="s">
        <v>104</v>
      </c>
      <c r="AU202" s="41" t="s">
        <v>173</v>
      </c>
      <c r="AW202" s="41" t="s">
        <v>170</v>
      </c>
      <c r="AX202" s="41" t="s">
        <v>1633</v>
      </c>
      <c r="AY202" s="41" t="s">
        <v>2069</v>
      </c>
      <c r="AZ202" s="40"/>
      <c r="BA202" s="40"/>
    </row>
    <row r="203" spans="6:53" ht="29" x14ac:dyDescent="0.35">
      <c r="F203" s="40" t="s">
        <v>1198</v>
      </c>
      <c r="G203" s="85" t="s">
        <v>759</v>
      </c>
      <c r="H203" s="40" t="s">
        <v>759</v>
      </c>
      <c r="I203" s="41" t="s">
        <v>223</v>
      </c>
      <c r="J203" s="41" t="s">
        <v>601</v>
      </c>
      <c r="K203" s="41" t="s">
        <v>602</v>
      </c>
      <c r="L203" s="40" t="s">
        <v>603</v>
      </c>
      <c r="O203" s="40" t="s">
        <v>104</v>
      </c>
      <c r="P203" s="41" t="s">
        <v>104</v>
      </c>
      <c r="Q203" s="41" t="s">
        <v>104</v>
      </c>
      <c r="R203" s="41" t="s">
        <v>104</v>
      </c>
      <c r="S203" s="40" t="s">
        <v>169</v>
      </c>
      <c r="U203" s="41" t="s">
        <v>104</v>
      </c>
      <c r="V203" s="41" t="s">
        <v>104</v>
      </c>
      <c r="W203" s="41" t="s">
        <v>104</v>
      </c>
      <c r="X203" s="41" t="s">
        <v>104</v>
      </c>
      <c r="Y203" s="40" t="s">
        <v>604</v>
      </c>
      <c r="Z203" s="41" t="s">
        <v>605</v>
      </c>
      <c r="AA203" s="41" t="s">
        <v>119</v>
      </c>
      <c r="AB203" s="41" t="s">
        <v>765</v>
      </c>
      <c r="AC203" s="40" t="s">
        <v>604</v>
      </c>
      <c r="AD203" s="41" t="s">
        <v>607</v>
      </c>
      <c r="AE203" s="41" t="s">
        <v>119</v>
      </c>
      <c r="AF203" s="41" t="s">
        <v>766</v>
      </c>
      <c r="AG203" s="41" t="s">
        <v>138</v>
      </c>
      <c r="AH203" s="41" t="s">
        <v>169</v>
      </c>
      <c r="AI203" s="41">
        <v>1</v>
      </c>
      <c r="AJ203" s="41">
        <v>1</v>
      </c>
      <c r="AK203" s="41">
        <v>0</v>
      </c>
      <c r="AL203" s="42">
        <v>0</v>
      </c>
      <c r="AM203" s="41" t="s">
        <v>144</v>
      </c>
      <c r="AN203" s="42">
        <v>0</v>
      </c>
      <c r="AO203" s="41" t="s">
        <v>104</v>
      </c>
      <c r="AP203" s="41" t="s">
        <v>541</v>
      </c>
      <c r="AQ203" s="41" t="s">
        <v>104</v>
      </c>
      <c r="AR203" s="41" t="s">
        <v>165</v>
      </c>
      <c r="AS203" s="41" t="s">
        <v>169</v>
      </c>
      <c r="AT203" s="41" t="s">
        <v>104</v>
      </c>
      <c r="AU203" s="41" t="s">
        <v>173</v>
      </c>
      <c r="AW203" s="41" t="s">
        <v>170</v>
      </c>
      <c r="AX203" s="41" t="s">
        <v>1634</v>
      </c>
      <c r="AY203" s="41" t="s">
        <v>2070</v>
      </c>
      <c r="AZ203" s="40"/>
      <c r="BA203" s="40"/>
    </row>
    <row r="204" spans="6:53" ht="29" x14ac:dyDescent="0.35">
      <c r="F204" s="40" t="s">
        <v>1199</v>
      </c>
      <c r="G204" s="85" t="s">
        <v>760</v>
      </c>
      <c r="H204" s="40" t="s">
        <v>760</v>
      </c>
      <c r="I204" s="41" t="s">
        <v>223</v>
      </c>
      <c r="J204" s="41" t="s">
        <v>601</v>
      </c>
      <c r="K204" s="41" t="s">
        <v>602</v>
      </c>
      <c r="L204" s="40" t="s">
        <v>603</v>
      </c>
      <c r="O204" s="40" t="s">
        <v>104</v>
      </c>
      <c r="P204" s="41" t="s">
        <v>104</v>
      </c>
      <c r="Q204" s="41" t="s">
        <v>104</v>
      </c>
      <c r="R204" s="41" t="s">
        <v>104</v>
      </c>
      <c r="S204" s="40" t="s">
        <v>169</v>
      </c>
      <c r="U204" s="41" t="s">
        <v>104</v>
      </c>
      <c r="V204" s="41" t="s">
        <v>104</v>
      </c>
      <c r="W204" s="41" t="s">
        <v>112</v>
      </c>
      <c r="X204" s="41" t="s">
        <v>104</v>
      </c>
      <c r="Y204" s="40" t="s">
        <v>604</v>
      </c>
      <c r="Z204" s="41" t="s">
        <v>605</v>
      </c>
      <c r="AA204" s="41" t="s">
        <v>119</v>
      </c>
      <c r="AB204" s="41" t="s">
        <v>765</v>
      </c>
      <c r="AC204" s="40" t="s">
        <v>604</v>
      </c>
      <c r="AD204" s="41" t="s">
        <v>607</v>
      </c>
      <c r="AE204" s="41" t="s">
        <v>119</v>
      </c>
      <c r="AF204" s="41" t="s">
        <v>766</v>
      </c>
      <c r="AG204" s="41" t="s">
        <v>138</v>
      </c>
      <c r="AH204" s="41" t="s">
        <v>169</v>
      </c>
      <c r="AI204" s="41">
        <v>3</v>
      </c>
      <c r="AJ204" s="41">
        <v>3</v>
      </c>
      <c r="AK204" s="41">
        <v>0</v>
      </c>
      <c r="AL204" s="42">
        <v>0</v>
      </c>
      <c r="AM204" s="41" t="s">
        <v>144</v>
      </c>
      <c r="AN204" s="42">
        <v>0</v>
      </c>
      <c r="AO204" s="41" t="s">
        <v>104</v>
      </c>
      <c r="AP204" s="41" t="s">
        <v>541</v>
      </c>
      <c r="AQ204" s="41" t="s">
        <v>104</v>
      </c>
      <c r="AR204" s="41" t="s">
        <v>165</v>
      </c>
      <c r="AS204" s="41" t="s">
        <v>169</v>
      </c>
      <c r="AT204" s="41" t="s">
        <v>104</v>
      </c>
      <c r="AU204" s="41" t="s">
        <v>173</v>
      </c>
      <c r="AW204" s="41" t="s">
        <v>170</v>
      </c>
      <c r="AX204" s="41" t="s">
        <v>1635</v>
      </c>
      <c r="AY204" s="41" t="s">
        <v>2071</v>
      </c>
      <c r="AZ204" s="40"/>
      <c r="BA204" s="40"/>
    </row>
    <row r="205" spans="6:53" ht="29" x14ac:dyDescent="0.35">
      <c r="F205" s="40" t="s">
        <v>1200</v>
      </c>
      <c r="G205" s="85" t="s">
        <v>678</v>
      </c>
      <c r="H205" s="40" t="s">
        <v>678</v>
      </c>
      <c r="I205" s="41" t="s">
        <v>223</v>
      </c>
      <c r="J205" s="41" t="s">
        <v>601</v>
      </c>
      <c r="K205" s="41" t="s">
        <v>602</v>
      </c>
      <c r="L205" s="40" t="s">
        <v>603</v>
      </c>
      <c r="O205" s="40" t="s">
        <v>104</v>
      </c>
      <c r="P205" s="41" t="s">
        <v>104</v>
      </c>
      <c r="Q205" s="41" t="s">
        <v>104</v>
      </c>
      <c r="R205" s="41" t="s">
        <v>104</v>
      </c>
      <c r="S205" s="40" t="s">
        <v>169</v>
      </c>
      <c r="U205" s="41" t="s">
        <v>104</v>
      </c>
      <c r="V205" s="41" t="s">
        <v>104</v>
      </c>
      <c r="W205" s="41" t="s">
        <v>104</v>
      </c>
      <c r="X205" s="41" t="s">
        <v>104</v>
      </c>
      <c r="Y205" s="40" t="s">
        <v>604</v>
      </c>
      <c r="Z205" s="41" t="s">
        <v>605</v>
      </c>
      <c r="AA205" s="41" t="s">
        <v>119</v>
      </c>
      <c r="AB205" s="41" t="s">
        <v>765</v>
      </c>
      <c r="AC205" s="40" t="s">
        <v>604</v>
      </c>
      <c r="AD205" s="41" t="s">
        <v>607</v>
      </c>
      <c r="AE205" s="41" t="s">
        <v>119</v>
      </c>
      <c r="AF205" s="41" t="s">
        <v>766</v>
      </c>
      <c r="AG205" s="41" t="s">
        <v>138</v>
      </c>
      <c r="AH205" s="41" t="s">
        <v>169</v>
      </c>
      <c r="AI205" s="41">
        <v>1</v>
      </c>
      <c r="AJ205" s="41">
        <v>1</v>
      </c>
      <c r="AK205" s="41">
        <v>0</v>
      </c>
      <c r="AL205" s="42">
        <v>0</v>
      </c>
      <c r="AM205" s="41" t="s">
        <v>144</v>
      </c>
      <c r="AN205" s="42">
        <v>0</v>
      </c>
      <c r="AO205" s="41" t="s">
        <v>104</v>
      </c>
      <c r="AP205" s="41" t="s">
        <v>541</v>
      </c>
      <c r="AQ205" s="41" t="s">
        <v>104</v>
      </c>
      <c r="AR205" s="41" t="s">
        <v>165</v>
      </c>
      <c r="AS205" s="41" t="s">
        <v>169</v>
      </c>
      <c r="AT205" s="41" t="s">
        <v>104</v>
      </c>
      <c r="AU205" s="41" t="s">
        <v>173</v>
      </c>
      <c r="AW205" s="41" t="s">
        <v>170</v>
      </c>
      <c r="AX205" s="41" t="s">
        <v>1636</v>
      </c>
      <c r="AY205" s="41" t="s">
        <v>2072</v>
      </c>
      <c r="AZ205" s="40"/>
      <c r="BA205" s="40"/>
    </row>
    <row r="206" spans="6:53" ht="29" x14ac:dyDescent="0.35">
      <c r="F206" s="40" t="s">
        <v>1201</v>
      </c>
      <c r="G206" s="85" t="s">
        <v>767</v>
      </c>
      <c r="H206" s="40" t="s">
        <v>767</v>
      </c>
      <c r="I206" s="41" t="s">
        <v>223</v>
      </c>
      <c r="J206" s="41" t="s">
        <v>601</v>
      </c>
      <c r="K206" s="41" t="s">
        <v>602</v>
      </c>
      <c r="L206" s="40" t="s">
        <v>603</v>
      </c>
      <c r="O206" s="40" t="s">
        <v>104</v>
      </c>
      <c r="P206" s="41" t="s">
        <v>104</v>
      </c>
      <c r="Q206" s="41" t="s">
        <v>104</v>
      </c>
      <c r="R206" s="41" t="s">
        <v>104</v>
      </c>
      <c r="S206" s="40" t="s">
        <v>169</v>
      </c>
      <c r="U206" s="41" t="s">
        <v>104</v>
      </c>
      <c r="V206" s="41" t="s">
        <v>104</v>
      </c>
      <c r="W206" s="41" t="s">
        <v>104</v>
      </c>
      <c r="X206" s="41" t="s">
        <v>104</v>
      </c>
      <c r="Y206" s="40" t="s">
        <v>604</v>
      </c>
      <c r="Z206" s="41" t="s">
        <v>605</v>
      </c>
      <c r="AA206" s="41" t="s">
        <v>119</v>
      </c>
      <c r="AB206" s="41" t="s">
        <v>765</v>
      </c>
      <c r="AC206" s="40" t="s">
        <v>604</v>
      </c>
      <c r="AD206" s="41" t="s">
        <v>607</v>
      </c>
      <c r="AE206" s="41" t="s">
        <v>119</v>
      </c>
      <c r="AF206" s="41" t="s">
        <v>766</v>
      </c>
      <c r="AG206" s="41" t="s">
        <v>138</v>
      </c>
      <c r="AH206" s="41" t="s">
        <v>169</v>
      </c>
      <c r="AI206" s="41">
        <v>3</v>
      </c>
      <c r="AJ206" s="41">
        <v>3</v>
      </c>
      <c r="AK206" s="41">
        <v>0</v>
      </c>
      <c r="AL206" s="42">
        <v>0</v>
      </c>
      <c r="AM206" s="41" t="s">
        <v>144</v>
      </c>
      <c r="AN206" s="42">
        <v>0</v>
      </c>
      <c r="AO206" s="41" t="s">
        <v>104</v>
      </c>
      <c r="AP206" s="41" t="s">
        <v>541</v>
      </c>
      <c r="AQ206" s="41" t="s">
        <v>104</v>
      </c>
      <c r="AR206" s="41" t="s">
        <v>165</v>
      </c>
      <c r="AS206" s="41" t="s">
        <v>169</v>
      </c>
      <c r="AT206" s="41" t="s">
        <v>104</v>
      </c>
      <c r="AU206" s="41" t="s">
        <v>173</v>
      </c>
      <c r="AW206" s="41" t="s">
        <v>170</v>
      </c>
      <c r="AX206" s="41" t="s">
        <v>1637</v>
      </c>
      <c r="AY206" s="41" t="s">
        <v>2073</v>
      </c>
      <c r="AZ206" s="40"/>
      <c r="BA206" s="40"/>
    </row>
    <row r="207" spans="6:53" ht="29" x14ac:dyDescent="0.35">
      <c r="F207" s="40" t="s">
        <v>1202</v>
      </c>
      <c r="G207" s="85" t="s">
        <v>761</v>
      </c>
      <c r="H207" s="40" t="s">
        <v>761</v>
      </c>
      <c r="I207" s="41" t="s">
        <v>223</v>
      </c>
      <c r="J207" s="41" t="s">
        <v>601</v>
      </c>
      <c r="K207" s="41" t="s">
        <v>602</v>
      </c>
      <c r="L207" s="40" t="s">
        <v>603</v>
      </c>
      <c r="O207" s="40" t="s">
        <v>104</v>
      </c>
      <c r="P207" s="41" t="s">
        <v>104</v>
      </c>
      <c r="Q207" s="41" t="s">
        <v>104</v>
      </c>
      <c r="R207" s="41" t="s">
        <v>104</v>
      </c>
      <c r="S207" s="40" t="s">
        <v>169</v>
      </c>
      <c r="T207" s="41" t="s">
        <v>754</v>
      </c>
      <c r="U207" s="41" t="s">
        <v>104</v>
      </c>
      <c r="V207" s="41" t="s">
        <v>104</v>
      </c>
      <c r="W207" s="41" t="s">
        <v>104</v>
      </c>
      <c r="X207" s="41" t="s">
        <v>104</v>
      </c>
      <c r="Y207" s="40" t="s">
        <v>604</v>
      </c>
      <c r="Z207" s="41" t="s">
        <v>605</v>
      </c>
      <c r="AA207" s="41" t="s">
        <v>119</v>
      </c>
      <c r="AB207" s="41" t="s">
        <v>768</v>
      </c>
      <c r="AC207" s="40" t="s">
        <v>604</v>
      </c>
      <c r="AD207" s="41" t="s">
        <v>607</v>
      </c>
      <c r="AE207" s="41" t="s">
        <v>119</v>
      </c>
      <c r="AF207" s="41" t="s">
        <v>769</v>
      </c>
      <c r="AG207" s="41" t="s">
        <v>138</v>
      </c>
      <c r="AH207" s="41" t="s">
        <v>169</v>
      </c>
      <c r="AI207" s="41">
        <v>1</v>
      </c>
      <c r="AJ207" s="41">
        <v>1</v>
      </c>
      <c r="AK207" s="41">
        <v>0</v>
      </c>
      <c r="AL207" s="42">
        <v>0</v>
      </c>
      <c r="AM207" s="41" t="s">
        <v>144</v>
      </c>
      <c r="AN207" s="42">
        <v>0</v>
      </c>
      <c r="AO207" s="41" t="s">
        <v>104</v>
      </c>
      <c r="AP207" s="41" t="s">
        <v>541</v>
      </c>
      <c r="AQ207" s="41" t="s">
        <v>104</v>
      </c>
      <c r="AR207" s="41" t="s">
        <v>165</v>
      </c>
      <c r="AS207" s="41" t="s">
        <v>169</v>
      </c>
      <c r="AT207" s="41" t="s">
        <v>104</v>
      </c>
      <c r="AU207" s="41" t="s">
        <v>173</v>
      </c>
      <c r="AW207" s="41" t="s">
        <v>170</v>
      </c>
      <c r="AX207" s="41" t="s">
        <v>1638</v>
      </c>
      <c r="AY207" s="41" t="s">
        <v>2074</v>
      </c>
      <c r="AZ207" s="40"/>
      <c r="BA207" s="40"/>
    </row>
    <row r="208" spans="6:53" ht="29" x14ac:dyDescent="0.35">
      <c r="F208" s="40" t="s">
        <v>1203</v>
      </c>
      <c r="G208" s="85" t="s">
        <v>764</v>
      </c>
      <c r="H208" s="40" t="s">
        <v>764</v>
      </c>
      <c r="I208" s="41" t="s">
        <v>223</v>
      </c>
      <c r="J208" s="41" t="s">
        <v>601</v>
      </c>
      <c r="K208" s="41" t="s">
        <v>602</v>
      </c>
      <c r="L208" s="40" t="s">
        <v>603</v>
      </c>
      <c r="O208" s="40" t="s">
        <v>104</v>
      </c>
      <c r="P208" s="41" t="s">
        <v>104</v>
      </c>
      <c r="Q208" s="41" t="s">
        <v>104</v>
      </c>
      <c r="R208" s="41" t="s">
        <v>104</v>
      </c>
      <c r="S208" s="40" t="s">
        <v>169</v>
      </c>
      <c r="T208" s="41" t="s">
        <v>758</v>
      </c>
      <c r="U208" s="41" t="s">
        <v>104</v>
      </c>
      <c r="V208" s="41" t="s">
        <v>104</v>
      </c>
      <c r="W208" s="41" t="s">
        <v>104</v>
      </c>
      <c r="X208" s="41" t="s">
        <v>104</v>
      </c>
      <c r="Y208" s="40" t="s">
        <v>604</v>
      </c>
      <c r="Z208" s="41" t="s">
        <v>605</v>
      </c>
      <c r="AA208" s="41" t="s">
        <v>119</v>
      </c>
      <c r="AB208" s="41" t="s">
        <v>768</v>
      </c>
      <c r="AC208" s="40" t="s">
        <v>604</v>
      </c>
      <c r="AD208" s="41" t="s">
        <v>607</v>
      </c>
      <c r="AE208" s="41" t="s">
        <v>119</v>
      </c>
      <c r="AF208" s="41" t="s">
        <v>769</v>
      </c>
      <c r="AG208" s="41" t="s">
        <v>138</v>
      </c>
      <c r="AH208" s="41" t="s">
        <v>169</v>
      </c>
      <c r="AI208" s="41">
        <v>1</v>
      </c>
      <c r="AJ208" s="41">
        <v>1</v>
      </c>
      <c r="AK208" s="41">
        <v>0</v>
      </c>
      <c r="AL208" s="42">
        <v>0</v>
      </c>
      <c r="AM208" s="41" t="s">
        <v>144</v>
      </c>
      <c r="AN208" s="42">
        <v>0</v>
      </c>
      <c r="AO208" s="41" t="s">
        <v>104</v>
      </c>
      <c r="AP208" s="41" t="s">
        <v>541</v>
      </c>
      <c r="AQ208" s="41" t="s">
        <v>104</v>
      </c>
      <c r="AR208" s="41" t="s">
        <v>165</v>
      </c>
      <c r="AS208" s="41" t="s">
        <v>169</v>
      </c>
      <c r="AT208" s="41" t="s">
        <v>104</v>
      </c>
      <c r="AU208" s="41" t="s">
        <v>173</v>
      </c>
      <c r="AW208" s="41" t="s">
        <v>170</v>
      </c>
      <c r="AX208" s="41" t="s">
        <v>1639</v>
      </c>
      <c r="AY208" s="41" t="s">
        <v>2075</v>
      </c>
      <c r="AZ208" s="40"/>
      <c r="BA208" s="40"/>
    </row>
    <row r="209" spans="6:53" ht="29" x14ac:dyDescent="0.35">
      <c r="F209" s="40" t="s">
        <v>1204</v>
      </c>
      <c r="G209" s="85" t="s">
        <v>616</v>
      </c>
      <c r="H209" s="40" t="s">
        <v>616</v>
      </c>
      <c r="I209" s="41" t="s">
        <v>223</v>
      </c>
      <c r="J209" s="41" t="s">
        <v>601</v>
      </c>
      <c r="K209" s="41" t="s">
        <v>602</v>
      </c>
      <c r="L209" s="40" t="s">
        <v>603</v>
      </c>
      <c r="O209" s="40" t="s">
        <v>104</v>
      </c>
      <c r="P209" s="41" t="s">
        <v>104</v>
      </c>
      <c r="Q209" s="41" t="s">
        <v>104</v>
      </c>
      <c r="R209" s="41" t="s">
        <v>104</v>
      </c>
      <c r="S209" s="40" t="s">
        <v>169</v>
      </c>
      <c r="U209" s="41" t="s">
        <v>104</v>
      </c>
      <c r="V209" s="41" t="s">
        <v>104</v>
      </c>
      <c r="W209" s="41" t="s">
        <v>104</v>
      </c>
      <c r="X209" s="41" t="s">
        <v>104</v>
      </c>
      <c r="Y209" s="40" t="s">
        <v>604</v>
      </c>
      <c r="Z209" s="41" t="s">
        <v>605</v>
      </c>
      <c r="AA209" s="41" t="s">
        <v>119</v>
      </c>
      <c r="AB209" s="41" t="s">
        <v>768</v>
      </c>
      <c r="AC209" s="40" t="s">
        <v>604</v>
      </c>
      <c r="AD209" s="41" t="s">
        <v>607</v>
      </c>
      <c r="AE209" s="41" t="s">
        <v>119</v>
      </c>
      <c r="AF209" s="41" t="s">
        <v>769</v>
      </c>
      <c r="AG209" s="41" t="s">
        <v>138</v>
      </c>
      <c r="AH209" s="41" t="s">
        <v>169</v>
      </c>
      <c r="AI209" s="41">
        <v>1</v>
      </c>
      <c r="AJ209" s="41">
        <v>1</v>
      </c>
      <c r="AK209" s="41">
        <v>0</v>
      </c>
      <c r="AL209" s="42">
        <v>0</v>
      </c>
      <c r="AM209" s="41" t="s">
        <v>144</v>
      </c>
      <c r="AN209" s="42">
        <v>0</v>
      </c>
      <c r="AO209" s="41" t="s">
        <v>104</v>
      </c>
      <c r="AP209" s="41" t="s">
        <v>541</v>
      </c>
      <c r="AQ209" s="41" t="s">
        <v>104</v>
      </c>
      <c r="AR209" s="41" t="s">
        <v>165</v>
      </c>
      <c r="AS209" s="41" t="s">
        <v>169</v>
      </c>
      <c r="AT209" s="41" t="s">
        <v>104</v>
      </c>
      <c r="AU209" s="41" t="s">
        <v>173</v>
      </c>
      <c r="AW209" s="41" t="s">
        <v>170</v>
      </c>
      <c r="AX209" s="41" t="s">
        <v>1640</v>
      </c>
      <c r="AY209" s="41" t="s">
        <v>2076</v>
      </c>
      <c r="AZ209" s="40"/>
      <c r="BA209" s="40"/>
    </row>
    <row r="210" spans="6:53" ht="29" x14ac:dyDescent="0.35">
      <c r="F210" s="40" t="s">
        <v>1205</v>
      </c>
      <c r="G210" s="85" t="s">
        <v>759</v>
      </c>
      <c r="H210" s="40" t="s">
        <v>759</v>
      </c>
      <c r="I210" s="41" t="s">
        <v>223</v>
      </c>
      <c r="J210" s="41" t="s">
        <v>601</v>
      </c>
      <c r="K210" s="41" t="s">
        <v>602</v>
      </c>
      <c r="L210" s="40" t="s">
        <v>603</v>
      </c>
      <c r="O210" s="40" t="s">
        <v>104</v>
      </c>
      <c r="P210" s="41" t="s">
        <v>104</v>
      </c>
      <c r="Q210" s="41" t="s">
        <v>104</v>
      </c>
      <c r="R210" s="41" t="s">
        <v>104</v>
      </c>
      <c r="S210" s="40" t="s">
        <v>169</v>
      </c>
      <c r="U210" s="41" t="s">
        <v>104</v>
      </c>
      <c r="V210" s="41" t="s">
        <v>104</v>
      </c>
      <c r="W210" s="41" t="s">
        <v>104</v>
      </c>
      <c r="X210" s="41" t="s">
        <v>104</v>
      </c>
      <c r="Y210" s="40" t="s">
        <v>604</v>
      </c>
      <c r="Z210" s="41" t="s">
        <v>605</v>
      </c>
      <c r="AA210" s="41" t="s">
        <v>119</v>
      </c>
      <c r="AB210" s="41" t="s">
        <v>768</v>
      </c>
      <c r="AC210" s="40" t="s">
        <v>604</v>
      </c>
      <c r="AD210" s="41" t="s">
        <v>607</v>
      </c>
      <c r="AE210" s="41" t="s">
        <v>119</v>
      </c>
      <c r="AF210" s="41" t="s">
        <v>769</v>
      </c>
      <c r="AG210" s="41" t="s">
        <v>138</v>
      </c>
      <c r="AH210" s="41" t="s">
        <v>169</v>
      </c>
      <c r="AI210" s="41">
        <v>1</v>
      </c>
      <c r="AJ210" s="41">
        <v>1</v>
      </c>
      <c r="AK210" s="41">
        <v>0</v>
      </c>
      <c r="AL210" s="42">
        <v>0</v>
      </c>
      <c r="AM210" s="41" t="s">
        <v>144</v>
      </c>
      <c r="AN210" s="42">
        <v>0</v>
      </c>
      <c r="AO210" s="41" t="s">
        <v>104</v>
      </c>
      <c r="AP210" s="41" t="s">
        <v>541</v>
      </c>
      <c r="AQ210" s="41" t="s">
        <v>104</v>
      </c>
      <c r="AR210" s="41" t="s">
        <v>165</v>
      </c>
      <c r="AS210" s="41" t="s">
        <v>169</v>
      </c>
      <c r="AT210" s="41" t="s">
        <v>104</v>
      </c>
      <c r="AU210" s="41" t="s">
        <v>173</v>
      </c>
      <c r="AW210" s="41" t="s">
        <v>170</v>
      </c>
      <c r="AX210" s="41" t="s">
        <v>1641</v>
      </c>
      <c r="AY210" s="41" t="s">
        <v>2077</v>
      </c>
      <c r="AZ210" s="40"/>
      <c r="BA210" s="40"/>
    </row>
    <row r="211" spans="6:53" ht="29" x14ac:dyDescent="0.35">
      <c r="F211" s="40" t="s">
        <v>1206</v>
      </c>
      <c r="G211" s="85" t="s">
        <v>760</v>
      </c>
      <c r="H211" s="40" t="s">
        <v>760</v>
      </c>
      <c r="I211" s="41" t="s">
        <v>223</v>
      </c>
      <c r="J211" s="41" t="s">
        <v>601</v>
      </c>
      <c r="K211" s="41" t="s">
        <v>602</v>
      </c>
      <c r="L211" s="40" t="s">
        <v>603</v>
      </c>
      <c r="O211" s="40" t="s">
        <v>104</v>
      </c>
      <c r="P211" s="41" t="s">
        <v>104</v>
      </c>
      <c r="Q211" s="41" t="s">
        <v>104</v>
      </c>
      <c r="R211" s="41" t="s">
        <v>104</v>
      </c>
      <c r="S211" s="40" t="s">
        <v>169</v>
      </c>
      <c r="U211" s="41" t="s">
        <v>104</v>
      </c>
      <c r="V211" s="41" t="s">
        <v>104</v>
      </c>
      <c r="W211" s="41" t="s">
        <v>112</v>
      </c>
      <c r="X211" s="41" t="s">
        <v>104</v>
      </c>
      <c r="Y211" s="40" t="s">
        <v>604</v>
      </c>
      <c r="Z211" s="41" t="s">
        <v>605</v>
      </c>
      <c r="AA211" s="41" t="s">
        <v>119</v>
      </c>
      <c r="AB211" s="41" t="s">
        <v>768</v>
      </c>
      <c r="AC211" s="40" t="s">
        <v>604</v>
      </c>
      <c r="AD211" s="41" t="s">
        <v>607</v>
      </c>
      <c r="AE211" s="41" t="s">
        <v>119</v>
      </c>
      <c r="AF211" s="41" t="s">
        <v>769</v>
      </c>
      <c r="AG211" s="41" t="s">
        <v>138</v>
      </c>
      <c r="AH211" s="41" t="s">
        <v>169</v>
      </c>
      <c r="AI211" s="41">
        <v>1</v>
      </c>
      <c r="AJ211" s="41">
        <v>1</v>
      </c>
      <c r="AK211" s="41">
        <v>0</v>
      </c>
      <c r="AL211" s="42">
        <v>0</v>
      </c>
      <c r="AM211" s="41" t="s">
        <v>144</v>
      </c>
      <c r="AN211" s="42">
        <v>0</v>
      </c>
      <c r="AO211" s="41" t="s">
        <v>104</v>
      </c>
      <c r="AP211" s="41" t="s">
        <v>541</v>
      </c>
      <c r="AQ211" s="41" t="s">
        <v>104</v>
      </c>
      <c r="AR211" s="41" t="s">
        <v>165</v>
      </c>
      <c r="AS211" s="41" t="s">
        <v>169</v>
      </c>
      <c r="AT211" s="41" t="s">
        <v>104</v>
      </c>
      <c r="AU211" s="41" t="s">
        <v>173</v>
      </c>
      <c r="AW211" s="41" t="s">
        <v>170</v>
      </c>
      <c r="AX211" s="41" t="s">
        <v>1642</v>
      </c>
      <c r="AY211" s="41" t="s">
        <v>2078</v>
      </c>
      <c r="AZ211" s="40"/>
      <c r="BA211" s="40"/>
    </row>
    <row r="212" spans="6:53" ht="29" x14ac:dyDescent="0.35">
      <c r="F212" s="40" t="s">
        <v>1207</v>
      </c>
      <c r="G212" s="85" t="s">
        <v>656</v>
      </c>
      <c r="H212" s="40" t="s">
        <v>656</v>
      </c>
      <c r="I212" s="41" t="s">
        <v>223</v>
      </c>
      <c r="J212" s="41" t="s">
        <v>601</v>
      </c>
      <c r="K212" s="41" t="s">
        <v>602</v>
      </c>
      <c r="L212" s="40" t="s">
        <v>603</v>
      </c>
      <c r="O212" s="40" t="s">
        <v>104</v>
      </c>
      <c r="P212" s="41" t="s">
        <v>104</v>
      </c>
      <c r="Q212" s="41" t="s">
        <v>104</v>
      </c>
      <c r="R212" s="41" t="s">
        <v>104</v>
      </c>
      <c r="S212" s="40" t="s">
        <v>169</v>
      </c>
      <c r="U212" s="41" t="s">
        <v>104</v>
      </c>
      <c r="V212" s="41" t="s">
        <v>104</v>
      </c>
      <c r="W212" s="41" t="s">
        <v>104</v>
      </c>
      <c r="X212" s="41" t="s">
        <v>104</v>
      </c>
      <c r="Y212" s="40" t="s">
        <v>604</v>
      </c>
      <c r="Z212" s="41" t="s">
        <v>605</v>
      </c>
      <c r="AA212" s="41" t="s">
        <v>119</v>
      </c>
      <c r="AB212" s="41" t="s">
        <v>768</v>
      </c>
      <c r="AC212" s="40" t="s">
        <v>604</v>
      </c>
      <c r="AD212" s="41" t="s">
        <v>607</v>
      </c>
      <c r="AE212" s="41" t="s">
        <v>119</v>
      </c>
      <c r="AF212" s="41" t="s">
        <v>769</v>
      </c>
      <c r="AG212" s="41" t="s">
        <v>138</v>
      </c>
      <c r="AH212" s="41" t="s">
        <v>169</v>
      </c>
      <c r="AI212" s="41">
        <v>1</v>
      </c>
      <c r="AJ212" s="41">
        <v>1</v>
      </c>
      <c r="AK212" s="41">
        <v>0</v>
      </c>
      <c r="AL212" s="42">
        <v>0</v>
      </c>
      <c r="AM212" s="41" t="s">
        <v>144</v>
      </c>
      <c r="AN212" s="42">
        <v>0</v>
      </c>
      <c r="AO212" s="41" t="s">
        <v>104</v>
      </c>
      <c r="AP212" s="41" t="s">
        <v>541</v>
      </c>
      <c r="AQ212" s="41" t="s">
        <v>104</v>
      </c>
      <c r="AR212" s="41" t="s">
        <v>165</v>
      </c>
      <c r="AS212" s="41" t="s">
        <v>169</v>
      </c>
      <c r="AT212" s="41" t="s">
        <v>104</v>
      </c>
      <c r="AU212" s="41" t="s">
        <v>173</v>
      </c>
      <c r="AW212" s="41" t="s">
        <v>170</v>
      </c>
      <c r="AX212" s="41" t="s">
        <v>1643</v>
      </c>
      <c r="AY212" s="41" t="s">
        <v>2079</v>
      </c>
      <c r="AZ212" s="40"/>
      <c r="BA212" s="40"/>
    </row>
    <row r="213" spans="6:53" ht="29" x14ac:dyDescent="0.35">
      <c r="F213" s="40" t="s">
        <v>1208</v>
      </c>
      <c r="G213" s="85" t="s">
        <v>753</v>
      </c>
      <c r="H213" s="40" t="s">
        <v>753</v>
      </c>
      <c r="I213" s="41" t="s">
        <v>223</v>
      </c>
      <c r="J213" s="41" t="s">
        <v>601</v>
      </c>
      <c r="K213" s="41" t="s">
        <v>602</v>
      </c>
      <c r="L213" s="40" t="s">
        <v>603</v>
      </c>
      <c r="O213" s="40" t="s">
        <v>104</v>
      </c>
      <c r="P213" s="41" t="s">
        <v>104</v>
      </c>
      <c r="Q213" s="41" t="s">
        <v>104</v>
      </c>
      <c r="R213" s="41" t="s">
        <v>104</v>
      </c>
      <c r="S213" s="40" t="s">
        <v>169</v>
      </c>
      <c r="T213" s="41" t="s">
        <v>754</v>
      </c>
      <c r="U213" s="41" t="s">
        <v>104</v>
      </c>
      <c r="V213" s="41" t="s">
        <v>104</v>
      </c>
      <c r="W213" s="41" t="s">
        <v>104</v>
      </c>
      <c r="X213" s="41" t="s">
        <v>104</v>
      </c>
      <c r="Y213" s="40" t="s">
        <v>604</v>
      </c>
      <c r="Z213" s="41" t="s">
        <v>605</v>
      </c>
      <c r="AA213" s="41" t="s">
        <v>119</v>
      </c>
      <c r="AB213" s="41" t="s">
        <v>770</v>
      </c>
      <c r="AC213" s="40" t="s">
        <v>604</v>
      </c>
      <c r="AD213" s="41" t="s">
        <v>607</v>
      </c>
      <c r="AE213" s="41" t="s">
        <v>119</v>
      </c>
      <c r="AF213" s="41" t="s">
        <v>771</v>
      </c>
      <c r="AG213" s="41" t="s">
        <v>138</v>
      </c>
      <c r="AH213" s="41" t="s">
        <v>169</v>
      </c>
      <c r="AI213" s="41">
        <v>1</v>
      </c>
      <c r="AJ213" s="41">
        <v>1</v>
      </c>
      <c r="AK213" s="41">
        <v>0</v>
      </c>
      <c r="AL213" s="42">
        <v>0</v>
      </c>
      <c r="AM213" s="41" t="s">
        <v>144</v>
      </c>
      <c r="AN213" s="42">
        <v>0</v>
      </c>
      <c r="AO213" s="41" t="s">
        <v>104</v>
      </c>
      <c r="AP213" s="41" t="s">
        <v>541</v>
      </c>
      <c r="AQ213" s="41" t="s">
        <v>104</v>
      </c>
      <c r="AR213" s="41" t="s">
        <v>165</v>
      </c>
      <c r="AS213" s="41" t="s">
        <v>169</v>
      </c>
      <c r="AT213" s="41" t="s">
        <v>104</v>
      </c>
      <c r="AU213" s="41" t="s">
        <v>173</v>
      </c>
      <c r="AW213" s="41" t="s">
        <v>170</v>
      </c>
      <c r="AX213" s="41" t="s">
        <v>1644</v>
      </c>
      <c r="AY213" s="41" t="s">
        <v>2080</v>
      </c>
      <c r="AZ213" s="40"/>
      <c r="BA213" s="40"/>
    </row>
    <row r="214" spans="6:53" ht="29" x14ac:dyDescent="0.35">
      <c r="F214" s="40" t="s">
        <v>1209</v>
      </c>
      <c r="G214" s="85" t="s">
        <v>757</v>
      </c>
      <c r="H214" s="40" t="s">
        <v>757</v>
      </c>
      <c r="I214" s="41" t="s">
        <v>223</v>
      </c>
      <c r="J214" s="41" t="s">
        <v>601</v>
      </c>
      <c r="K214" s="41" t="s">
        <v>602</v>
      </c>
      <c r="L214" s="40" t="s">
        <v>603</v>
      </c>
      <c r="O214" s="40" t="s">
        <v>104</v>
      </c>
      <c r="P214" s="41" t="s">
        <v>104</v>
      </c>
      <c r="Q214" s="41" t="s">
        <v>104</v>
      </c>
      <c r="R214" s="41" t="s">
        <v>104</v>
      </c>
      <c r="S214" s="40" t="s">
        <v>169</v>
      </c>
      <c r="T214" s="41" t="s">
        <v>758</v>
      </c>
      <c r="U214" s="41" t="s">
        <v>104</v>
      </c>
      <c r="V214" s="41" t="s">
        <v>104</v>
      </c>
      <c r="W214" s="41" t="s">
        <v>104</v>
      </c>
      <c r="X214" s="41" t="s">
        <v>104</v>
      </c>
      <c r="Y214" s="40" t="s">
        <v>604</v>
      </c>
      <c r="Z214" s="41" t="s">
        <v>605</v>
      </c>
      <c r="AA214" s="41" t="s">
        <v>119</v>
      </c>
      <c r="AB214" s="41" t="s">
        <v>770</v>
      </c>
      <c r="AC214" s="40" t="s">
        <v>604</v>
      </c>
      <c r="AD214" s="41" t="s">
        <v>607</v>
      </c>
      <c r="AE214" s="41" t="s">
        <v>119</v>
      </c>
      <c r="AF214" s="41" t="s">
        <v>771</v>
      </c>
      <c r="AG214" s="41" t="s">
        <v>138</v>
      </c>
      <c r="AH214" s="41" t="s">
        <v>169</v>
      </c>
      <c r="AI214" s="41">
        <v>1</v>
      </c>
      <c r="AJ214" s="41">
        <v>1</v>
      </c>
      <c r="AK214" s="41">
        <v>0</v>
      </c>
      <c r="AL214" s="42">
        <v>0</v>
      </c>
      <c r="AM214" s="41" t="s">
        <v>144</v>
      </c>
      <c r="AN214" s="42">
        <v>0</v>
      </c>
      <c r="AO214" s="41" t="s">
        <v>104</v>
      </c>
      <c r="AP214" s="41" t="s">
        <v>541</v>
      </c>
      <c r="AQ214" s="41" t="s">
        <v>104</v>
      </c>
      <c r="AR214" s="41" t="s">
        <v>165</v>
      </c>
      <c r="AS214" s="41" t="s">
        <v>169</v>
      </c>
      <c r="AT214" s="41" t="s">
        <v>104</v>
      </c>
      <c r="AU214" s="41" t="s">
        <v>173</v>
      </c>
      <c r="AW214" s="41" t="s">
        <v>170</v>
      </c>
      <c r="AX214" s="41" t="s">
        <v>1645</v>
      </c>
      <c r="AY214" s="41" t="s">
        <v>2081</v>
      </c>
      <c r="AZ214" s="40"/>
      <c r="BA214" s="40"/>
    </row>
    <row r="215" spans="6:53" ht="29" x14ac:dyDescent="0.35">
      <c r="F215" s="40" t="s">
        <v>1210</v>
      </c>
      <c r="G215" s="85" t="s">
        <v>616</v>
      </c>
      <c r="H215" s="40" t="s">
        <v>616</v>
      </c>
      <c r="I215" s="41" t="s">
        <v>223</v>
      </c>
      <c r="J215" s="41" t="s">
        <v>601</v>
      </c>
      <c r="K215" s="41" t="s">
        <v>602</v>
      </c>
      <c r="L215" s="40" t="s">
        <v>603</v>
      </c>
      <c r="O215" s="40" t="s">
        <v>104</v>
      </c>
      <c r="P215" s="41" t="s">
        <v>104</v>
      </c>
      <c r="Q215" s="41" t="s">
        <v>104</v>
      </c>
      <c r="R215" s="41" t="s">
        <v>104</v>
      </c>
      <c r="S215" s="40" t="s">
        <v>169</v>
      </c>
      <c r="U215" s="41" t="s">
        <v>104</v>
      </c>
      <c r="V215" s="41" t="s">
        <v>104</v>
      </c>
      <c r="W215" s="41" t="s">
        <v>104</v>
      </c>
      <c r="X215" s="41" t="s">
        <v>104</v>
      </c>
      <c r="Y215" s="40" t="s">
        <v>604</v>
      </c>
      <c r="Z215" s="41" t="s">
        <v>605</v>
      </c>
      <c r="AA215" s="41" t="s">
        <v>119</v>
      </c>
      <c r="AB215" s="41" t="s">
        <v>770</v>
      </c>
      <c r="AC215" s="40" t="s">
        <v>604</v>
      </c>
      <c r="AD215" s="41" t="s">
        <v>607</v>
      </c>
      <c r="AE215" s="41" t="s">
        <v>119</v>
      </c>
      <c r="AF215" s="41" t="s">
        <v>771</v>
      </c>
      <c r="AG215" s="41" t="s">
        <v>138</v>
      </c>
      <c r="AH215" s="41" t="s">
        <v>169</v>
      </c>
      <c r="AI215" s="41">
        <v>1</v>
      </c>
      <c r="AJ215" s="41">
        <v>1</v>
      </c>
      <c r="AK215" s="41">
        <v>0</v>
      </c>
      <c r="AL215" s="42">
        <v>0</v>
      </c>
      <c r="AM215" s="41" t="s">
        <v>144</v>
      </c>
      <c r="AN215" s="42">
        <v>0</v>
      </c>
      <c r="AO215" s="41" t="s">
        <v>104</v>
      </c>
      <c r="AP215" s="41" t="s">
        <v>541</v>
      </c>
      <c r="AQ215" s="41" t="s">
        <v>104</v>
      </c>
      <c r="AR215" s="41" t="s">
        <v>165</v>
      </c>
      <c r="AS215" s="41" t="s">
        <v>169</v>
      </c>
      <c r="AT215" s="41" t="s">
        <v>104</v>
      </c>
      <c r="AU215" s="41" t="s">
        <v>173</v>
      </c>
      <c r="AW215" s="41" t="s">
        <v>170</v>
      </c>
      <c r="AX215" s="41" t="s">
        <v>1646</v>
      </c>
      <c r="AY215" s="41" t="s">
        <v>2082</v>
      </c>
      <c r="AZ215" s="40"/>
      <c r="BA215" s="40"/>
    </row>
    <row r="216" spans="6:53" ht="29" x14ac:dyDescent="0.35">
      <c r="F216" s="40" t="s">
        <v>1211</v>
      </c>
      <c r="G216" s="85" t="s">
        <v>759</v>
      </c>
      <c r="H216" s="40" t="s">
        <v>759</v>
      </c>
      <c r="I216" s="41" t="s">
        <v>223</v>
      </c>
      <c r="J216" s="41" t="s">
        <v>601</v>
      </c>
      <c r="K216" s="41" t="s">
        <v>602</v>
      </c>
      <c r="L216" s="40" t="s">
        <v>603</v>
      </c>
      <c r="O216" s="40" t="s">
        <v>104</v>
      </c>
      <c r="P216" s="41" t="s">
        <v>104</v>
      </c>
      <c r="Q216" s="41" t="s">
        <v>104</v>
      </c>
      <c r="R216" s="41" t="s">
        <v>104</v>
      </c>
      <c r="S216" s="40" t="s">
        <v>169</v>
      </c>
      <c r="U216" s="41" t="s">
        <v>104</v>
      </c>
      <c r="V216" s="41" t="s">
        <v>104</v>
      </c>
      <c r="W216" s="41" t="s">
        <v>104</v>
      </c>
      <c r="X216" s="41" t="s">
        <v>104</v>
      </c>
      <c r="Y216" s="40" t="s">
        <v>604</v>
      </c>
      <c r="Z216" s="41" t="s">
        <v>605</v>
      </c>
      <c r="AA216" s="41" t="s">
        <v>119</v>
      </c>
      <c r="AB216" s="41" t="s">
        <v>770</v>
      </c>
      <c r="AC216" s="40" t="s">
        <v>604</v>
      </c>
      <c r="AD216" s="41" t="s">
        <v>607</v>
      </c>
      <c r="AE216" s="41" t="s">
        <v>119</v>
      </c>
      <c r="AF216" s="41" t="s">
        <v>771</v>
      </c>
      <c r="AG216" s="41" t="s">
        <v>138</v>
      </c>
      <c r="AH216" s="41" t="s">
        <v>169</v>
      </c>
      <c r="AI216" s="41">
        <v>1</v>
      </c>
      <c r="AJ216" s="41">
        <v>1</v>
      </c>
      <c r="AK216" s="41">
        <v>0</v>
      </c>
      <c r="AL216" s="42">
        <v>0</v>
      </c>
      <c r="AM216" s="41" t="s">
        <v>144</v>
      </c>
      <c r="AN216" s="42">
        <v>0</v>
      </c>
      <c r="AO216" s="41" t="s">
        <v>104</v>
      </c>
      <c r="AP216" s="41" t="s">
        <v>541</v>
      </c>
      <c r="AQ216" s="41" t="s">
        <v>104</v>
      </c>
      <c r="AR216" s="41" t="s">
        <v>165</v>
      </c>
      <c r="AS216" s="41" t="s">
        <v>169</v>
      </c>
      <c r="AT216" s="41" t="s">
        <v>104</v>
      </c>
      <c r="AU216" s="41" t="s">
        <v>173</v>
      </c>
      <c r="AW216" s="41" t="s">
        <v>170</v>
      </c>
      <c r="AX216" s="41" t="s">
        <v>1647</v>
      </c>
      <c r="AY216" s="41" t="s">
        <v>2083</v>
      </c>
      <c r="AZ216" s="40"/>
      <c r="BA216" s="40"/>
    </row>
    <row r="217" spans="6:53" ht="29" x14ac:dyDescent="0.35">
      <c r="F217" s="40" t="s">
        <v>1212</v>
      </c>
      <c r="G217" s="85" t="s">
        <v>760</v>
      </c>
      <c r="H217" s="40" t="s">
        <v>760</v>
      </c>
      <c r="I217" s="41" t="s">
        <v>223</v>
      </c>
      <c r="J217" s="41" t="s">
        <v>601</v>
      </c>
      <c r="K217" s="41" t="s">
        <v>602</v>
      </c>
      <c r="L217" s="40" t="s">
        <v>603</v>
      </c>
      <c r="O217" s="40" t="s">
        <v>104</v>
      </c>
      <c r="P217" s="41" t="s">
        <v>104</v>
      </c>
      <c r="Q217" s="41" t="s">
        <v>104</v>
      </c>
      <c r="R217" s="41" t="s">
        <v>104</v>
      </c>
      <c r="S217" s="40" t="s">
        <v>169</v>
      </c>
      <c r="U217" s="41" t="s">
        <v>104</v>
      </c>
      <c r="V217" s="41" t="s">
        <v>104</v>
      </c>
      <c r="W217" s="41" t="s">
        <v>112</v>
      </c>
      <c r="X217" s="41" t="s">
        <v>104</v>
      </c>
      <c r="Y217" s="40" t="s">
        <v>604</v>
      </c>
      <c r="Z217" s="41" t="s">
        <v>605</v>
      </c>
      <c r="AA217" s="41" t="s">
        <v>119</v>
      </c>
      <c r="AB217" s="41" t="s">
        <v>770</v>
      </c>
      <c r="AC217" s="40" t="s">
        <v>604</v>
      </c>
      <c r="AD217" s="41" t="s">
        <v>607</v>
      </c>
      <c r="AE217" s="41" t="s">
        <v>119</v>
      </c>
      <c r="AF217" s="41" t="s">
        <v>771</v>
      </c>
      <c r="AG217" s="41" t="s">
        <v>138</v>
      </c>
      <c r="AH217" s="41" t="s">
        <v>169</v>
      </c>
      <c r="AI217" s="41">
        <v>1</v>
      </c>
      <c r="AJ217" s="41">
        <v>1</v>
      </c>
      <c r="AK217" s="41">
        <v>0</v>
      </c>
      <c r="AL217" s="42">
        <v>0</v>
      </c>
      <c r="AM217" s="41" t="s">
        <v>144</v>
      </c>
      <c r="AN217" s="42">
        <v>0</v>
      </c>
      <c r="AO217" s="41" t="s">
        <v>104</v>
      </c>
      <c r="AP217" s="41" t="s">
        <v>541</v>
      </c>
      <c r="AQ217" s="41" t="s">
        <v>104</v>
      </c>
      <c r="AR217" s="41" t="s">
        <v>165</v>
      </c>
      <c r="AS217" s="41" t="s">
        <v>169</v>
      </c>
      <c r="AT217" s="41" t="s">
        <v>104</v>
      </c>
      <c r="AU217" s="41" t="s">
        <v>173</v>
      </c>
      <c r="AW217" s="41" t="s">
        <v>170</v>
      </c>
      <c r="AX217" s="41" t="s">
        <v>1648</v>
      </c>
      <c r="AY217" s="41" t="s">
        <v>2084</v>
      </c>
      <c r="AZ217" s="40"/>
      <c r="BA217" s="40"/>
    </row>
    <row r="218" spans="6:53" ht="29" x14ac:dyDescent="0.35">
      <c r="F218" s="40" t="s">
        <v>1213</v>
      </c>
      <c r="G218" s="85" t="s">
        <v>767</v>
      </c>
      <c r="H218" s="40" t="s">
        <v>767</v>
      </c>
      <c r="I218" s="41" t="s">
        <v>223</v>
      </c>
      <c r="J218" s="41" t="s">
        <v>601</v>
      </c>
      <c r="K218" s="41" t="s">
        <v>602</v>
      </c>
      <c r="L218" s="40" t="s">
        <v>603</v>
      </c>
      <c r="O218" s="40" t="s">
        <v>104</v>
      </c>
      <c r="P218" s="41" t="s">
        <v>104</v>
      </c>
      <c r="Q218" s="41" t="s">
        <v>104</v>
      </c>
      <c r="R218" s="41" t="s">
        <v>104</v>
      </c>
      <c r="S218" s="40" t="s">
        <v>169</v>
      </c>
      <c r="U218" s="41" t="s">
        <v>104</v>
      </c>
      <c r="V218" s="41" t="s">
        <v>104</v>
      </c>
      <c r="W218" s="41" t="s">
        <v>104</v>
      </c>
      <c r="X218" s="41" t="s">
        <v>104</v>
      </c>
      <c r="Y218" s="40" t="s">
        <v>604</v>
      </c>
      <c r="Z218" s="41" t="s">
        <v>605</v>
      </c>
      <c r="AA218" s="41" t="s">
        <v>119</v>
      </c>
      <c r="AB218" s="41" t="s">
        <v>770</v>
      </c>
      <c r="AC218" s="40" t="s">
        <v>604</v>
      </c>
      <c r="AD218" s="41" t="s">
        <v>607</v>
      </c>
      <c r="AE218" s="41" t="s">
        <v>119</v>
      </c>
      <c r="AF218" s="41" t="s">
        <v>771</v>
      </c>
      <c r="AG218" s="41" t="s">
        <v>138</v>
      </c>
      <c r="AH218" s="41" t="s">
        <v>169</v>
      </c>
      <c r="AI218" s="41">
        <v>1</v>
      </c>
      <c r="AJ218" s="41">
        <v>1</v>
      </c>
      <c r="AK218" s="41">
        <v>0</v>
      </c>
      <c r="AL218" s="42">
        <v>0</v>
      </c>
      <c r="AM218" s="41" t="s">
        <v>144</v>
      </c>
      <c r="AN218" s="42">
        <v>0</v>
      </c>
      <c r="AO218" s="41" t="s">
        <v>104</v>
      </c>
      <c r="AP218" s="41" t="s">
        <v>541</v>
      </c>
      <c r="AQ218" s="41" t="s">
        <v>104</v>
      </c>
      <c r="AR218" s="41" t="s">
        <v>165</v>
      </c>
      <c r="AS218" s="41" t="s">
        <v>169</v>
      </c>
      <c r="AT218" s="41" t="s">
        <v>104</v>
      </c>
      <c r="AU218" s="41" t="s">
        <v>173</v>
      </c>
      <c r="AW218" s="41" t="s">
        <v>170</v>
      </c>
      <c r="AX218" s="41" t="s">
        <v>1649</v>
      </c>
      <c r="AY218" s="41" t="s">
        <v>2085</v>
      </c>
      <c r="AZ218" s="40"/>
      <c r="BA218" s="40"/>
    </row>
    <row r="219" spans="6:53" ht="29" x14ac:dyDescent="0.35">
      <c r="F219" s="40" t="s">
        <v>1214</v>
      </c>
      <c r="G219" s="85" t="s">
        <v>761</v>
      </c>
      <c r="H219" s="40" t="s">
        <v>761</v>
      </c>
      <c r="I219" s="41" t="s">
        <v>223</v>
      </c>
      <c r="J219" s="41" t="s">
        <v>601</v>
      </c>
      <c r="K219" s="41" t="s">
        <v>602</v>
      </c>
      <c r="L219" s="40" t="s">
        <v>603</v>
      </c>
      <c r="O219" s="40" t="s">
        <v>104</v>
      </c>
      <c r="P219" s="41" t="s">
        <v>104</v>
      </c>
      <c r="Q219" s="41" t="s">
        <v>104</v>
      </c>
      <c r="R219" s="41" t="s">
        <v>104</v>
      </c>
      <c r="S219" s="40" t="s">
        <v>169</v>
      </c>
      <c r="T219" s="41" t="s">
        <v>754</v>
      </c>
      <c r="U219" s="41" t="s">
        <v>104</v>
      </c>
      <c r="V219" s="41" t="s">
        <v>104</v>
      </c>
      <c r="W219" s="41" t="s">
        <v>104</v>
      </c>
      <c r="X219" s="41" t="s">
        <v>104</v>
      </c>
      <c r="Y219" s="40" t="s">
        <v>604</v>
      </c>
      <c r="Z219" s="41" t="s">
        <v>605</v>
      </c>
      <c r="AA219" s="41" t="s">
        <v>119</v>
      </c>
      <c r="AB219" s="41" t="s">
        <v>772</v>
      </c>
      <c r="AC219" s="40" t="s">
        <v>604</v>
      </c>
      <c r="AD219" s="41" t="s">
        <v>607</v>
      </c>
      <c r="AE219" s="41" t="s">
        <v>119</v>
      </c>
      <c r="AF219" s="41" t="s">
        <v>763</v>
      </c>
      <c r="AG219" s="41" t="s">
        <v>138</v>
      </c>
      <c r="AH219" s="41" t="s">
        <v>169</v>
      </c>
      <c r="AI219" s="41">
        <v>1</v>
      </c>
      <c r="AJ219" s="41">
        <v>1</v>
      </c>
      <c r="AK219" s="41">
        <v>0</v>
      </c>
      <c r="AL219" s="42">
        <v>0</v>
      </c>
      <c r="AM219" s="41" t="s">
        <v>144</v>
      </c>
      <c r="AN219" s="42">
        <v>0</v>
      </c>
      <c r="AO219" s="41" t="s">
        <v>104</v>
      </c>
      <c r="AP219" s="41" t="s">
        <v>541</v>
      </c>
      <c r="AQ219" s="41" t="s">
        <v>104</v>
      </c>
      <c r="AR219" s="41" t="s">
        <v>165</v>
      </c>
      <c r="AS219" s="41" t="s">
        <v>169</v>
      </c>
      <c r="AT219" s="41" t="s">
        <v>104</v>
      </c>
      <c r="AU219" s="41" t="s">
        <v>173</v>
      </c>
      <c r="AW219" s="41" t="s">
        <v>170</v>
      </c>
      <c r="AX219" s="41" t="s">
        <v>1650</v>
      </c>
      <c r="AY219" s="41" t="s">
        <v>2086</v>
      </c>
      <c r="AZ219" s="40"/>
      <c r="BA219" s="40"/>
    </row>
    <row r="220" spans="6:53" ht="29" x14ac:dyDescent="0.35">
      <c r="F220" s="40" t="s">
        <v>1215</v>
      </c>
      <c r="G220" s="85" t="s">
        <v>764</v>
      </c>
      <c r="H220" s="40" t="s">
        <v>764</v>
      </c>
      <c r="I220" s="41" t="s">
        <v>223</v>
      </c>
      <c r="J220" s="41" t="s">
        <v>601</v>
      </c>
      <c r="K220" s="41" t="s">
        <v>602</v>
      </c>
      <c r="L220" s="40" t="s">
        <v>603</v>
      </c>
      <c r="O220" s="40" t="s">
        <v>104</v>
      </c>
      <c r="P220" s="41" t="s">
        <v>104</v>
      </c>
      <c r="Q220" s="41" t="s">
        <v>104</v>
      </c>
      <c r="R220" s="41" t="s">
        <v>104</v>
      </c>
      <c r="S220" s="40" t="s">
        <v>169</v>
      </c>
      <c r="T220" s="41" t="s">
        <v>758</v>
      </c>
      <c r="U220" s="41" t="s">
        <v>104</v>
      </c>
      <c r="V220" s="41" t="s">
        <v>104</v>
      </c>
      <c r="W220" s="41" t="s">
        <v>104</v>
      </c>
      <c r="X220" s="41" t="s">
        <v>104</v>
      </c>
      <c r="Y220" s="40" t="s">
        <v>604</v>
      </c>
      <c r="Z220" s="41" t="s">
        <v>605</v>
      </c>
      <c r="AA220" s="41" t="s">
        <v>119</v>
      </c>
      <c r="AB220" s="41" t="s">
        <v>773</v>
      </c>
      <c r="AC220" s="40" t="s">
        <v>604</v>
      </c>
      <c r="AD220" s="41" t="s">
        <v>607</v>
      </c>
      <c r="AE220" s="41" t="s">
        <v>119</v>
      </c>
      <c r="AF220" s="41" t="s">
        <v>763</v>
      </c>
      <c r="AG220" s="41" t="s">
        <v>138</v>
      </c>
      <c r="AH220" s="41" t="s">
        <v>169</v>
      </c>
      <c r="AI220" s="41">
        <v>1</v>
      </c>
      <c r="AJ220" s="41">
        <v>1</v>
      </c>
      <c r="AK220" s="41">
        <v>0</v>
      </c>
      <c r="AL220" s="42">
        <v>0</v>
      </c>
      <c r="AM220" s="41" t="s">
        <v>144</v>
      </c>
      <c r="AN220" s="42">
        <v>0</v>
      </c>
      <c r="AO220" s="41" t="s">
        <v>104</v>
      </c>
      <c r="AP220" s="41" t="s">
        <v>541</v>
      </c>
      <c r="AQ220" s="41" t="s">
        <v>104</v>
      </c>
      <c r="AR220" s="41" t="s">
        <v>165</v>
      </c>
      <c r="AS220" s="41" t="s">
        <v>169</v>
      </c>
      <c r="AT220" s="41" t="s">
        <v>104</v>
      </c>
      <c r="AU220" s="41" t="s">
        <v>173</v>
      </c>
      <c r="AW220" s="41" t="s">
        <v>170</v>
      </c>
      <c r="AX220" s="41" t="s">
        <v>1651</v>
      </c>
      <c r="AY220" s="41" t="s">
        <v>2087</v>
      </c>
      <c r="AZ220" s="40"/>
      <c r="BA220" s="40"/>
    </row>
    <row r="221" spans="6:53" ht="29" x14ac:dyDescent="0.35">
      <c r="F221" s="40" t="s">
        <v>1216</v>
      </c>
      <c r="G221" s="85" t="s">
        <v>616</v>
      </c>
      <c r="H221" s="40" t="s">
        <v>616</v>
      </c>
      <c r="I221" s="41" t="s">
        <v>223</v>
      </c>
      <c r="J221" s="41" t="s">
        <v>601</v>
      </c>
      <c r="K221" s="41" t="s">
        <v>602</v>
      </c>
      <c r="L221" s="40" t="s">
        <v>603</v>
      </c>
      <c r="O221" s="40" t="s">
        <v>104</v>
      </c>
      <c r="P221" s="41" t="s">
        <v>104</v>
      </c>
      <c r="Q221" s="41" t="s">
        <v>104</v>
      </c>
      <c r="R221" s="41" t="s">
        <v>104</v>
      </c>
      <c r="S221" s="40" t="s">
        <v>169</v>
      </c>
      <c r="U221" s="41" t="s">
        <v>104</v>
      </c>
      <c r="V221" s="41" t="s">
        <v>104</v>
      </c>
      <c r="W221" s="41" t="s">
        <v>104</v>
      </c>
      <c r="X221" s="41" t="s">
        <v>104</v>
      </c>
      <c r="Y221" s="40" t="s">
        <v>604</v>
      </c>
      <c r="Z221" s="41" t="s">
        <v>605</v>
      </c>
      <c r="AA221" s="41" t="s">
        <v>119</v>
      </c>
      <c r="AB221" s="41" t="s">
        <v>773</v>
      </c>
      <c r="AC221" s="40" t="s">
        <v>604</v>
      </c>
      <c r="AD221" s="41" t="s">
        <v>607</v>
      </c>
      <c r="AE221" s="41" t="s">
        <v>119</v>
      </c>
      <c r="AF221" s="41" t="s">
        <v>763</v>
      </c>
      <c r="AG221" s="41" t="s">
        <v>138</v>
      </c>
      <c r="AH221" s="41" t="s">
        <v>169</v>
      </c>
      <c r="AI221" s="41">
        <v>1</v>
      </c>
      <c r="AJ221" s="41">
        <v>1</v>
      </c>
      <c r="AK221" s="41">
        <v>0</v>
      </c>
      <c r="AL221" s="42">
        <v>0</v>
      </c>
      <c r="AM221" s="41" t="s">
        <v>144</v>
      </c>
      <c r="AN221" s="42">
        <v>0</v>
      </c>
      <c r="AO221" s="41" t="s">
        <v>104</v>
      </c>
      <c r="AP221" s="41" t="s">
        <v>541</v>
      </c>
      <c r="AQ221" s="41" t="s">
        <v>104</v>
      </c>
      <c r="AR221" s="41" t="s">
        <v>165</v>
      </c>
      <c r="AS221" s="41" t="s">
        <v>169</v>
      </c>
      <c r="AT221" s="41" t="s">
        <v>104</v>
      </c>
      <c r="AU221" s="41" t="s">
        <v>173</v>
      </c>
      <c r="AW221" s="41" t="s">
        <v>170</v>
      </c>
      <c r="AX221" s="41" t="s">
        <v>1652</v>
      </c>
      <c r="AY221" s="41" t="s">
        <v>2088</v>
      </c>
      <c r="AZ221" s="40"/>
      <c r="BA221" s="40"/>
    </row>
    <row r="222" spans="6:53" ht="29" x14ac:dyDescent="0.35">
      <c r="F222" s="40" t="s">
        <v>1217</v>
      </c>
      <c r="G222" s="85" t="s">
        <v>759</v>
      </c>
      <c r="H222" s="40" t="s">
        <v>759</v>
      </c>
      <c r="I222" s="41" t="s">
        <v>223</v>
      </c>
      <c r="J222" s="41" t="s">
        <v>601</v>
      </c>
      <c r="K222" s="41" t="s">
        <v>602</v>
      </c>
      <c r="L222" s="40" t="s">
        <v>603</v>
      </c>
      <c r="O222" s="40" t="s">
        <v>104</v>
      </c>
      <c r="P222" s="41" t="s">
        <v>104</v>
      </c>
      <c r="Q222" s="41" t="s">
        <v>104</v>
      </c>
      <c r="R222" s="41" t="s">
        <v>104</v>
      </c>
      <c r="S222" s="40" t="s">
        <v>169</v>
      </c>
      <c r="U222" s="41" t="s">
        <v>104</v>
      </c>
      <c r="V222" s="41" t="s">
        <v>104</v>
      </c>
      <c r="W222" s="41" t="s">
        <v>104</v>
      </c>
      <c r="X222" s="41" t="s">
        <v>104</v>
      </c>
      <c r="Y222" s="40" t="s">
        <v>604</v>
      </c>
      <c r="Z222" s="41" t="s">
        <v>605</v>
      </c>
      <c r="AA222" s="41" t="s">
        <v>119</v>
      </c>
      <c r="AB222" s="41" t="s">
        <v>773</v>
      </c>
      <c r="AC222" s="40" t="s">
        <v>604</v>
      </c>
      <c r="AD222" s="41" t="s">
        <v>607</v>
      </c>
      <c r="AE222" s="41" t="s">
        <v>119</v>
      </c>
      <c r="AF222" s="41" t="s">
        <v>763</v>
      </c>
      <c r="AG222" s="41" t="s">
        <v>138</v>
      </c>
      <c r="AH222" s="41" t="s">
        <v>169</v>
      </c>
      <c r="AI222" s="41">
        <v>1</v>
      </c>
      <c r="AJ222" s="41">
        <v>1</v>
      </c>
      <c r="AK222" s="41">
        <v>0</v>
      </c>
      <c r="AL222" s="42">
        <v>0</v>
      </c>
      <c r="AM222" s="41" t="s">
        <v>144</v>
      </c>
      <c r="AN222" s="42">
        <v>0</v>
      </c>
      <c r="AO222" s="41" t="s">
        <v>104</v>
      </c>
      <c r="AP222" s="41" t="s">
        <v>541</v>
      </c>
      <c r="AQ222" s="41" t="s">
        <v>104</v>
      </c>
      <c r="AR222" s="41" t="s">
        <v>165</v>
      </c>
      <c r="AS222" s="41" t="s">
        <v>169</v>
      </c>
      <c r="AT222" s="41" t="s">
        <v>104</v>
      </c>
      <c r="AU222" s="41" t="s">
        <v>173</v>
      </c>
      <c r="AW222" s="41" t="s">
        <v>170</v>
      </c>
      <c r="AX222" s="41" t="s">
        <v>1653</v>
      </c>
      <c r="AY222" s="41" t="s">
        <v>2089</v>
      </c>
      <c r="AZ222" s="40"/>
      <c r="BA222" s="40"/>
    </row>
    <row r="223" spans="6:53" ht="29" x14ac:dyDescent="0.35">
      <c r="F223" s="40" t="s">
        <v>1218</v>
      </c>
      <c r="G223" s="85" t="s">
        <v>760</v>
      </c>
      <c r="H223" s="40" t="s">
        <v>760</v>
      </c>
      <c r="I223" s="41" t="s">
        <v>223</v>
      </c>
      <c r="J223" s="41" t="s">
        <v>601</v>
      </c>
      <c r="K223" s="41" t="s">
        <v>602</v>
      </c>
      <c r="L223" s="40" t="s">
        <v>603</v>
      </c>
      <c r="O223" s="40" t="s">
        <v>104</v>
      </c>
      <c r="P223" s="41" t="s">
        <v>104</v>
      </c>
      <c r="Q223" s="41" t="s">
        <v>104</v>
      </c>
      <c r="R223" s="41" t="s">
        <v>104</v>
      </c>
      <c r="S223" s="40" t="s">
        <v>169</v>
      </c>
      <c r="U223" s="41" t="s">
        <v>104</v>
      </c>
      <c r="V223" s="41" t="s">
        <v>104</v>
      </c>
      <c r="W223" s="41" t="s">
        <v>112</v>
      </c>
      <c r="X223" s="41" t="s">
        <v>104</v>
      </c>
      <c r="Y223" s="40" t="s">
        <v>604</v>
      </c>
      <c r="Z223" s="41" t="s">
        <v>605</v>
      </c>
      <c r="AA223" s="41" t="s">
        <v>119</v>
      </c>
      <c r="AB223" s="41" t="s">
        <v>773</v>
      </c>
      <c r="AC223" s="40" t="s">
        <v>604</v>
      </c>
      <c r="AD223" s="41" t="s">
        <v>607</v>
      </c>
      <c r="AE223" s="41" t="s">
        <v>119</v>
      </c>
      <c r="AF223" s="41" t="s">
        <v>763</v>
      </c>
      <c r="AG223" s="41" t="s">
        <v>138</v>
      </c>
      <c r="AH223" s="41" t="s">
        <v>169</v>
      </c>
      <c r="AI223" s="41">
        <v>2</v>
      </c>
      <c r="AJ223" s="41">
        <v>2</v>
      </c>
      <c r="AK223" s="41">
        <v>0</v>
      </c>
      <c r="AL223" s="42">
        <v>0</v>
      </c>
      <c r="AM223" s="41" t="s">
        <v>144</v>
      </c>
      <c r="AN223" s="42">
        <v>0</v>
      </c>
      <c r="AO223" s="41" t="s">
        <v>104</v>
      </c>
      <c r="AP223" s="41" t="s">
        <v>541</v>
      </c>
      <c r="AQ223" s="41" t="s">
        <v>104</v>
      </c>
      <c r="AR223" s="41" t="s">
        <v>165</v>
      </c>
      <c r="AS223" s="41" t="s">
        <v>169</v>
      </c>
      <c r="AT223" s="41" t="s">
        <v>104</v>
      </c>
      <c r="AU223" s="41" t="s">
        <v>173</v>
      </c>
      <c r="AW223" s="41" t="s">
        <v>170</v>
      </c>
      <c r="AX223" s="41" t="s">
        <v>1654</v>
      </c>
      <c r="AY223" s="41" t="s">
        <v>2090</v>
      </c>
      <c r="AZ223" s="40"/>
      <c r="BA223" s="40"/>
    </row>
    <row r="224" spans="6:53" ht="29" x14ac:dyDescent="0.35">
      <c r="F224" s="40" t="s">
        <v>1219</v>
      </c>
      <c r="G224" s="85" t="s">
        <v>774</v>
      </c>
      <c r="H224" s="40" t="s">
        <v>774</v>
      </c>
      <c r="I224" s="41" t="s">
        <v>223</v>
      </c>
      <c r="J224" s="41" t="s">
        <v>601</v>
      </c>
      <c r="K224" s="41" t="s">
        <v>602</v>
      </c>
      <c r="L224" s="40" t="s">
        <v>603</v>
      </c>
      <c r="O224" s="40" t="s">
        <v>104</v>
      </c>
      <c r="P224" s="41" t="s">
        <v>104</v>
      </c>
      <c r="Q224" s="41" t="s">
        <v>104</v>
      </c>
      <c r="R224" s="41" t="s">
        <v>104</v>
      </c>
      <c r="S224" s="40" t="s">
        <v>169</v>
      </c>
      <c r="U224" s="41" t="s">
        <v>104</v>
      </c>
      <c r="V224" s="41" t="s">
        <v>104</v>
      </c>
      <c r="W224" s="41" t="s">
        <v>104</v>
      </c>
      <c r="X224" s="41" t="s">
        <v>104</v>
      </c>
      <c r="Y224" s="40" t="s">
        <v>604</v>
      </c>
      <c r="Z224" s="41" t="s">
        <v>605</v>
      </c>
      <c r="AA224" s="41" t="s">
        <v>119</v>
      </c>
      <c r="AB224" s="41" t="s">
        <v>773</v>
      </c>
      <c r="AC224" s="40" t="s">
        <v>604</v>
      </c>
      <c r="AD224" s="41" t="s">
        <v>607</v>
      </c>
      <c r="AE224" s="41" t="s">
        <v>119</v>
      </c>
      <c r="AF224" s="41" t="s">
        <v>763</v>
      </c>
      <c r="AG224" s="41" t="s">
        <v>138</v>
      </c>
      <c r="AH224" s="41" t="s">
        <v>169</v>
      </c>
      <c r="AI224" s="41">
        <v>1</v>
      </c>
      <c r="AJ224" s="41">
        <v>1</v>
      </c>
      <c r="AK224" s="41">
        <v>0</v>
      </c>
      <c r="AL224" s="42">
        <v>0</v>
      </c>
      <c r="AM224" s="41" t="s">
        <v>144</v>
      </c>
      <c r="AN224" s="42">
        <v>0</v>
      </c>
      <c r="AO224" s="41" t="s">
        <v>104</v>
      </c>
      <c r="AP224" s="41" t="s">
        <v>541</v>
      </c>
      <c r="AQ224" s="41" t="s">
        <v>104</v>
      </c>
      <c r="AR224" s="41" t="s">
        <v>165</v>
      </c>
      <c r="AS224" s="41" t="s">
        <v>169</v>
      </c>
      <c r="AT224" s="41" t="s">
        <v>104</v>
      </c>
      <c r="AU224" s="41" t="s">
        <v>173</v>
      </c>
      <c r="AW224" s="41" t="s">
        <v>170</v>
      </c>
      <c r="AX224" s="41" t="s">
        <v>1655</v>
      </c>
      <c r="AY224" s="41" t="s">
        <v>2091</v>
      </c>
      <c r="AZ224" s="40"/>
      <c r="BA224" s="40"/>
    </row>
    <row r="225" spans="6:53" ht="29" x14ac:dyDescent="0.35">
      <c r="F225" s="40" t="s">
        <v>1220</v>
      </c>
      <c r="G225" s="85" t="s">
        <v>753</v>
      </c>
      <c r="H225" s="40" t="s">
        <v>753</v>
      </c>
      <c r="I225" s="41" t="s">
        <v>223</v>
      </c>
      <c r="J225" s="41" t="s">
        <v>601</v>
      </c>
      <c r="K225" s="41" t="s">
        <v>602</v>
      </c>
      <c r="L225" s="40" t="s">
        <v>603</v>
      </c>
      <c r="O225" s="40" t="s">
        <v>104</v>
      </c>
      <c r="P225" s="41" t="s">
        <v>104</v>
      </c>
      <c r="Q225" s="41" t="s">
        <v>104</v>
      </c>
      <c r="R225" s="41" t="s">
        <v>104</v>
      </c>
      <c r="S225" s="40" t="s">
        <v>169</v>
      </c>
      <c r="T225" s="41" t="s">
        <v>754</v>
      </c>
      <c r="U225" s="41" t="s">
        <v>104</v>
      </c>
      <c r="V225" s="41" t="s">
        <v>104</v>
      </c>
      <c r="W225" s="41" t="s">
        <v>104</v>
      </c>
      <c r="X225" s="41" t="s">
        <v>104</v>
      </c>
      <c r="Y225" s="40" t="s">
        <v>604</v>
      </c>
      <c r="Z225" s="41" t="s">
        <v>605</v>
      </c>
      <c r="AA225" s="41" t="s">
        <v>119</v>
      </c>
      <c r="AB225" s="41" t="s">
        <v>775</v>
      </c>
      <c r="AC225" s="40" t="s">
        <v>604</v>
      </c>
      <c r="AD225" s="41" t="s">
        <v>607</v>
      </c>
      <c r="AE225" s="41" t="s">
        <v>119</v>
      </c>
      <c r="AF225" s="41" t="s">
        <v>776</v>
      </c>
      <c r="AG225" s="41" t="s">
        <v>138</v>
      </c>
      <c r="AH225" s="41" t="s">
        <v>169</v>
      </c>
      <c r="AI225" s="41">
        <v>1</v>
      </c>
      <c r="AJ225" s="41">
        <v>1</v>
      </c>
      <c r="AK225" s="41">
        <v>0</v>
      </c>
      <c r="AL225" s="42">
        <v>0</v>
      </c>
      <c r="AM225" s="41" t="s">
        <v>144</v>
      </c>
      <c r="AN225" s="42">
        <v>0</v>
      </c>
      <c r="AO225" s="41" t="s">
        <v>104</v>
      </c>
      <c r="AP225" s="41" t="s">
        <v>541</v>
      </c>
      <c r="AQ225" s="41" t="s">
        <v>104</v>
      </c>
      <c r="AR225" s="41" t="s">
        <v>165</v>
      </c>
      <c r="AS225" s="41" t="s">
        <v>169</v>
      </c>
      <c r="AT225" s="41" t="s">
        <v>104</v>
      </c>
      <c r="AU225" s="41" t="s">
        <v>173</v>
      </c>
      <c r="AW225" s="41" t="s">
        <v>170</v>
      </c>
      <c r="AX225" s="41" t="s">
        <v>1656</v>
      </c>
      <c r="AY225" s="41" t="s">
        <v>2092</v>
      </c>
      <c r="AZ225" s="40"/>
      <c r="BA225" s="40"/>
    </row>
    <row r="226" spans="6:53" ht="29" x14ac:dyDescent="0.35">
      <c r="F226" s="40" t="s">
        <v>1221</v>
      </c>
      <c r="G226" s="85" t="s">
        <v>757</v>
      </c>
      <c r="H226" s="40" t="s">
        <v>757</v>
      </c>
      <c r="I226" s="41" t="s">
        <v>223</v>
      </c>
      <c r="J226" s="41" t="s">
        <v>601</v>
      </c>
      <c r="K226" s="41" t="s">
        <v>602</v>
      </c>
      <c r="L226" s="40" t="s">
        <v>603</v>
      </c>
      <c r="O226" s="40" t="s">
        <v>104</v>
      </c>
      <c r="P226" s="41" t="s">
        <v>104</v>
      </c>
      <c r="Q226" s="41" t="s">
        <v>104</v>
      </c>
      <c r="R226" s="41" t="s">
        <v>104</v>
      </c>
      <c r="S226" s="40" t="s">
        <v>169</v>
      </c>
      <c r="T226" s="41" t="s">
        <v>758</v>
      </c>
      <c r="U226" s="41" t="s">
        <v>104</v>
      </c>
      <c r="V226" s="41" t="s">
        <v>104</v>
      </c>
      <c r="W226" s="41" t="s">
        <v>104</v>
      </c>
      <c r="X226" s="41" t="s">
        <v>104</v>
      </c>
      <c r="Y226" s="40" t="s">
        <v>604</v>
      </c>
      <c r="Z226" s="41" t="s">
        <v>605</v>
      </c>
      <c r="AA226" s="41" t="s">
        <v>119</v>
      </c>
      <c r="AB226" s="41" t="s">
        <v>775</v>
      </c>
      <c r="AC226" s="40" t="s">
        <v>604</v>
      </c>
      <c r="AD226" s="41" t="s">
        <v>607</v>
      </c>
      <c r="AE226" s="41" t="s">
        <v>119</v>
      </c>
      <c r="AF226" s="41" t="s">
        <v>776</v>
      </c>
      <c r="AG226" s="41" t="s">
        <v>138</v>
      </c>
      <c r="AH226" s="41" t="s">
        <v>169</v>
      </c>
      <c r="AI226" s="41">
        <v>1</v>
      </c>
      <c r="AJ226" s="41">
        <v>1</v>
      </c>
      <c r="AK226" s="41">
        <v>0</v>
      </c>
      <c r="AL226" s="42">
        <v>0</v>
      </c>
      <c r="AM226" s="41" t="s">
        <v>144</v>
      </c>
      <c r="AN226" s="42">
        <v>0</v>
      </c>
      <c r="AO226" s="41" t="s">
        <v>104</v>
      </c>
      <c r="AP226" s="41" t="s">
        <v>541</v>
      </c>
      <c r="AQ226" s="41" t="s">
        <v>104</v>
      </c>
      <c r="AR226" s="41" t="s">
        <v>165</v>
      </c>
      <c r="AS226" s="41" t="s">
        <v>169</v>
      </c>
      <c r="AT226" s="41" t="s">
        <v>104</v>
      </c>
      <c r="AU226" s="41" t="s">
        <v>173</v>
      </c>
      <c r="AW226" s="41" t="s">
        <v>170</v>
      </c>
      <c r="AX226" s="41" t="s">
        <v>1657</v>
      </c>
      <c r="AY226" s="41" t="s">
        <v>2093</v>
      </c>
      <c r="AZ226" s="40"/>
      <c r="BA226" s="40"/>
    </row>
    <row r="227" spans="6:53" ht="29" x14ac:dyDescent="0.35">
      <c r="F227" s="40" t="s">
        <v>1222</v>
      </c>
      <c r="G227" s="85" t="s">
        <v>616</v>
      </c>
      <c r="H227" s="40" t="s">
        <v>616</v>
      </c>
      <c r="I227" s="41" t="s">
        <v>223</v>
      </c>
      <c r="J227" s="41" t="s">
        <v>601</v>
      </c>
      <c r="K227" s="41" t="s">
        <v>602</v>
      </c>
      <c r="L227" s="40" t="s">
        <v>603</v>
      </c>
      <c r="O227" s="40" t="s">
        <v>104</v>
      </c>
      <c r="P227" s="41" t="s">
        <v>104</v>
      </c>
      <c r="Q227" s="41" t="s">
        <v>104</v>
      </c>
      <c r="R227" s="41" t="s">
        <v>104</v>
      </c>
      <c r="S227" s="40" t="s">
        <v>169</v>
      </c>
      <c r="U227" s="41" t="s">
        <v>104</v>
      </c>
      <c r="V227" s="41" t="s">
        <v>104</v>
      </c>
      <c r="W227" s="41" t="s">
        <v>104</v>
      </c>
      <c r="X227" s="41" t="s">
        <v>104</v>
      </c>
      <c r="Y227" s="40" t="s">
        <v>604</v>
      </c>
      <c r="Z227" s="41" t="s">
        <v>605</v>
      </c>
      <c r="AA227" s="41" t="s">
        <v>119</v>
      </c>
      <c r="AB227" s="41" t="s">
        <v>775</v>
      </c>
      <c r="AC227" s="40" t="s">
        <v>604</v>
      </c>
      <c r="AD227" s="41" t="s">
        <v>607</v>
      </c>
      <c r="AE227" s="41" t="s">
        <v>119</v>
      </c>
      <c r="AF227" s="41" t="s">
        <v>776</v>
      </c>
      <c r="AG227" s="41" t="s">
        <v>138</v>
      </c>
      <c r="AH227" s="41" t="s">
        <v>169</v>
      </c>
      <c r="AI227" s="41">
        <v>1</v>
      </c>
      <c r="AJ227" s="41">
        <v>1</v>
      </c>
      <c r="AK227" s="41">
        <v>0</v>
      </c>
      <c r="AL227" s="42">
        <v>0</v>
      </c>
      <c r="AM227" s="41" t="s">
        <v>144</v>
      </c>
      <c r="AN227" s="42">
        <v>0</v>
      </c>
      <c r="AO227" s="41" t="s">
        <v>104</v>
      </c>
      <c r="AP227" s="41" t="s">
        <v>541</v>
      </c>
      <c r="AQ227" s="41" t="s">
        <v>104</v>
      </c>
      <c r="AR227" s="41" t="s">
        <v>165</v>
      </c>
      <c r="AS227" s="41" t="s">
        <v>169</v>
      </c>
      <c r="AT227" s="41" t="s">
        <v>104</v>
      </c>
      <c r="AU227" s="41" t="s">
        <v>173</v>
      </c>
      <c r="AW227" s="41" t="s">
        <v>170</v>
      </c>
      <c r="AX227" s="41" t="s">
        <v>1658</v>
      </c>
      <c r="AY227" s="41" t="s">
        <v>2094</v>
      </c>
      <c r="AZ227" s="40"/>
      <c r="BA227" s="40"/>
    </row>
    <row r="228" spans="6:53" ht="29" x14ac:dyDescent="0.35">
      <c r="F228" s="40" t="s">
        <v>1223</v>
      </c>
      <c r="G228" s="85" t="s">
        <v>759</v>
      </c>
      <c r="H228" s="40" t="s">
        <v>759</v>
      </c>
      <c r="I228" s="41" t="s">
        <v>223</v>
      </c>
      <c r="J228" s="41" t="s">
        <v>601</v>
      </c>
      <c r="K228" s="41" t="s">
        <v>602</v>
      </c>
      <c r="L228" s="40" t="s">
        <v>603</v>
      </c>
      <c r="O228" s="40" t="s">
        <v>104</v>
      </c>
      <c r="P228" s="41" t="s">
        <v>104</v>
      </c>
      <c r="Q228" s="41" t="s">
        <v>104</v>
      </c>
      <c r="R228" s="41" t="s">
        <v>104</v>
      </c>
      <c r="S228" s="40" t="s">
        <v>169</v>
      </c>
      <c r="U228" s="41" t="s">
        <v>104</v>
      </c>
      <c r="V228" s="41" t="s">
        <v>104</v>
      </c>
      <c r="W228" s="41" t="s">
        <v>104</v>
      </c>
      <c r="X228" s="41" t="s">
        <v>104</v>
      </c>
      <c r="Y228" s="40" t="s">
        <v>604</v>
      </c>
      <c r="Z228" s="41" t="s">
        <v>605</v>
      </c>
      <c r="AA228" s="41" t="s">
        <v>119</v>
      </c>
      <c r="AB228" s="41" t="s">
        <v>775</v>
      </c>
      <c r="AC228" s="40" t="s">
        <v>604</v>
      </c>
      <c r="AD228" s="41" t="s">
        <v>607</v>
      </c>
      <c r="AE228" s="41" t="s">
        <v>119</v>
      </c>
      <c r="AF228" s="41" t="s">
        <v>776</v>
      </c>
      <c r="AG228" s="41" t="s">
        <v>138</v>
      </c>
      <c r="AH228" s="41" t="s">
        <v>169</v>
      </c>
      <c r="AI228" s="41">
        <v>1</v>
      </c>
      <c r="AJ228" s="41">
        <v>1</v>
      </c>
      <c r="AK228" s="41">
        <v>0</v>
      </c>
      <c r="AL228" s="42">
        <v>0</v>
      </c>
      <c r="AM228" s="41" t="s">
        <v>144</v>
      </c>
      <c r="AN228" s="42">
        <v>0</v>
      </c>
      <c r="AO228" s="41" t="s">
        <v>104</v>
      </c>
      <c r="AP228" s="41" t="s">
        <v>541</v>
      </c>
      <c r="AQ228" s="41" t="s">
        <v>104</v>
      </c>
      <c r="AR228" s="41" t="s">
        <v>165</v>
      </c>
      <c r="AS228" s="41" t="s">
        <v>169</v>
      </c>
      <c r="AT228" s="41" t="s">
        <v>104</v>
      </c>
      <c r="AU228" s="41" t="s">
        <v>173</v>
      </c>
      <c r="AW228" s="41" t="s">
        <v>170</v>
      </c>
      <c r="AX228" s="41" t="s">
        <v>1659</v>
      </c>
      <c r="AY228" s="41" t="s">
        <v>2095</v>
      </c>
      <c r="AZ228" s="40"/>
      <c r="BA228" s="40"/>
    </row>
    <row r="229" spans="6:53" ht="29" x14ac:dyDescent="0.35">
      <c r="F229" s="40" t="s">
        <v>1224</v>
      </c>
      <c r="G229" s="85" t="s">
        <v>760</v>
      </c>
      <c r="H229" s="40" t="s">
        <v>760</v>
      </c>
      <c r="I229" s="41" t="s">
        <v>223</v>
      </c>
      <c r="J229" s="41" t="s">
        <v>601</v>
      </c>
      <c r="K229" s="41" t="s">
        <v>602</v>
      </c>
      <c r="L229" s="40" t="s">
        <v>603</v>
      </c>
      <c r="O229" s="40" t="s">
        <v>104</v>
      </c>
      <c r="P229" s="41" t="s">
        <v>104</v>
      </c>
      <c r="Q229" s="41" t="s">
        <v>104</v>
      </c>
      <c r="R229" s="41" t="s">
        <v>104</v>
      </c>
      <c r="S229" s="40" t="s">
        <v>169</v>
      </c>
      <c r="U229" s="41" t="s">
        <v>104</v>
      </c>
      <c r="V229" s="41" t="s">
        <v>104</v>
      </c>
      <c r="W229" s="41" t="s">
        <v>112</v>
      </c>
      <c r="X229" s="41" t="s">
        <v>104</v>
      </c>
      <c r="Y229" s="40" t="s">
        <v>604</v>
      </c>
      <c r="Z229" s="41" t="s">
        <v>605</v>
      </c>
      <c r="AA229" s="41" t="s">
        <v>119</v>
      </c>
      <c r="AB229" s="41" t="s">
        <v>775</v>
      </c>
      <c r="AC229" s="40" t="s">
        <v>604</v>
      </c>
      <c r="AD229" s="41" t="s">
        <v>607</v>
      </c>
      <c r="AE229" s="41" t="s">
        <v>119</v>
      </c>
      <c r="AF229" s="41" t="s">
        <v>776</v>
      </c>
      <c r="AG229" s="41" t="s">
        <v>138</v>
      </c>
      <c r="AH229" s="41" t="s">
        <v>169</v>
      </c>
      <c r="AI229" s="41">
        <v>1</v>
      </c>
      <c r="AJ229" s="41">
        <v>1</v>
      </c>
      <c r="AK229" s="41">
        <v>0</v>
      </c>
      <c r="AL229" s="42">
        <v>0</v>
      </c>
      <c r="AM229" s="41" t="s">
        <v>144</v>
      </c>
      <c r="AN229" s="42">
        <v>0</v>
      </c>
      <c r="AO229" s="41" t="s">
        <v>104</v>
      </c>
      <c r="AP229" s="41" t="s">
        <v>541</v>
      </c>
      <c r="AQ229" s="41" t="s">
        <v>104</v>
      </c>
      <c r="AR229" s="41" t="s">
        <v>165</v>
      </c>
      <c r="AS229" s="41" t="s">
        <v>169</v>
      </c>
      <c r="AT229" s="41" t="s">
        <v>104</v>
      </c>
      <c r="AU229" s="41" t="s">
        <v>173</v>
      </c>
      <c r="AW229" s="41" t="s">
        <v>170</v>
      </c>
      <c r="AX229" s="41" t="s">
        <v>1660</v>
      </c>
      <c r="AY229" s="41" t="s">
        <v>2096</v>
      </c>
      <c r="AZ229" s="40"/>
      <c r="BA229" s="40"/>
    </row>
    <row r="230" spans="6:53" ht="29" x14ac:dyDescent="0.35">
      <c r="F230" s="40" t="s">
        <v>1225</v>
      </c>
      <c r="G230" s="85" t="s">
        <v>656</v>
      </c>
      <c r="H230" s="40" t="s">
        <v>656</v>
      </c>
      <c r="I230" s="41" t="s">
        <v>223</v>
      </c>
      <c r="J230" s="41" t="s">
        <v>601</v>
      </c>
      <c r="K230" s="41" t="s">
        <v>602</v>
      </c>
      <c r="L230" s="40" t="s">
        <v>603</v>
      </c>
      <c r="O230" s="40" t="s">
        <v>104</v>
      </c>
      <c r="P230" s="41" t="s">
        <v>104</v>
      </c>
      <c r="Q230" s="41" t="s">
        <v>104</v>
      </c>
      <c r="R230" s="41" t="s">
        <v>104</v>
      </c>
      <c r="S230" s="40" t="s">
        <v>169</v>
      </c>
      <c r="U230" s="41" t="s">
        <v>104</v>
      </c>
      <c r="V230" s="41" t="s">
        <v>104</v>
      </c>
      <c r="W230" s="41" t="s">
        <v>104</v>
      </c>
      <c r="X230" s="41" t="s">
        <v>104</v>
      </c>
      <c r="Y230" s="40" t="s">
        <v>604</v>
      </c>
      <c r="Z230" s="41" t="s">
        <v>605</v>
      </c>
      <c r="AA230" s="41" t="s">
        <v>119</v>
      </c>
      <c r="AB230" s="41" t="s">
        <v>775</v>
      </c>
      <c r="AC230" s="40" t="s">
        <v>604</v>
      </c>
      <c r="AD230" s="41" t="s">
        <v>607</v>
      </c>
      <c r="AE230" s="41" t="s">
        <v>119</v>
      </c>
      <c r="AF230" s="41" t="s">
        <v>776</v>
      </c>
      <c r="AG230" s="41" t="s">
        <v>138</v>
      </c>
      <c r="AH230" s="41" t="s">
        <v>169</v>
      </c>
      <c r="AI230" s="41">
        <v>1</v>
      </c>
      <c r="AJ230" s="41">
        <v>1</v>
      </c>
      <c r="AK230" s="41">
        <v>0</v>
      </c>
      <c r="AL230" s="42">
        <v>0</v>
      </c>
      <c r="AM230" s="41" t="s">
        <v>144</v>
      </c>
      <c r="AN230" s="42">
        <v>0</v>
      </c>
      <c r="AO230" s="41" t="s">
        <v>104</v>
      </c>
      <c r="AP230" s="41" t="s">
        <v>541</v>
      </c>
      <c r="AQ230" s="41" t="s">
        <v>104</v>
      </c>
      <c r="AR230" s="41" t="s">
        <v>165</v>
      </c>
      <c r="AS230" s="41" t="s">
        <v>169</v>
      </c>
      <c r="AT230" s="41" t="s">
        <v>104</v>
      </c>
      <c r="AU230" s="41" t="s">
        <v>173</v>
      </c>
      <c r="AW230" s="41" t="s">
        <v>170</v>
      </c>
      <c r="AX230" s="41" t="s">
        <v>1661</v>
      </c>
      <c r="AY230" s="41" t="s">
        <v>2097</v>
      </c>
      <c r="AZ230" s="40"/>
      <c r="BA230" s="40"/>
    </row>
    <row r="231" spans="6:53" ht="29" x14ac:dyDescent="0.35">
      <c r="F231" s="40" t="s">
        <v>1226</v>
      </c>
      <c r="G231" s="85" t="s">
        <v>678</v>
      </c>
      <c r="H231" s="40" t="s">
        <v>678</v>
      </c>
      <c r="I231" s="41" t="s">
        <v>223</v>
      </c>
      <c r="J231" s="41" t="s">
        <v>601</v>
      </c>
      <c r="K231" s="41" t="s">
        <v>602</v>
      </c>
      <c r="L231" s="40" t="s">
        <v>603</v>
      </c>
      <c r="O231" s="40" t="s">
        <v>104</v>
      </c>
      <c r="P231" s="41" t="s">
        <v>104</v>
      </c>
      <c r="Q231" s="41" t="s">
        <v>104</v>
      </c>
      <c r="R231" s="41" t="s">
        <v>104</v>
      </c>
      <c r="S231" s="40" t="s">
        <v>169</v>
      </c>
      <c r="U231" s="41" t="s">
        <v>104</v>
      </c>
      <c r="V231" s="41" t="s">
        <v>104</v>
      </c>
      <c r="W231" s="41" t="s">
        <v>104</v>
      </c>
      <c r="X231" s="41" t="s">
        <v>104</v>
      </c>
      <c r="Y231" s="40" t="s">
        <v>604</v>
      </c>
      <c r="Z231" s="41" t="s">
        <v>605</v>
      </c>
      <c r="AA231" s="41" t="s">
        <v>119</v>
      </c>
      <c r="AB231" s="41" t="s">
        <v>775</v>
      </c>
      <c r="AC231" s="40" t="s">
        <v>604</v>
      </c>
      <c r="AD231" s="41" t="s">
        <v>607</v>
      </c>
      <c r="AE231" s="41" t="s">
        <v>119</v>
      </c>
      <c r="AF231" s="41" t="s">
        <v>776</v>
      </c>
      <c r="AG231" s="41" t="s">
        <v>138</v>
      </c>
      <c r="AH231" s="41" t="s">
        <v>169</v>
      </c>
      <c r="AI231" s="41">
        <v>1</v>
      </c>
      <c r="AJ231" s="41">
        <v>1</v>
      </c>
      <c r="AK231" s="41">
        <v>0</v>
      </c>
      <c r="AL231" s="42">
        <v>0</v>
      </c>
      <c r="AM231" s="41" t="s">
        <v>144</v>
      </c>
      <c r="AN231" s="42">
        <v>0</v>
      </c>
      <c r="AO231" s="41" t="s">
        <v>104</v>
      </c>
      <c r="AP231" s="41" t="s">
        <v>541</v>
      </c>
      <c r="AQ231" s="41" t="s">
        <v>104</v>
      </c>
      <c r="AR231" s="41" t="s">
        <v>165</v>
      </c>
      <c r="AS231" s="41" t="s">
        <v>169</v>
      </c>
      <c r="AT231" s="41" t="s">
        <v>104</v>
      </c>
      <c r="AU231" s="41" t="s">
        <v>173</v>
      </c>
      <c r="AW231" s="41" t="s">
        <v>170</v>
      </c>
      <c r="AX231" s="41" t="s">
        <v>1662</v>
      </c>
      <c r="AY231" s="41" t="s">
        <v>2098</v>
      </c>
      <c r="AZ231" s="40"/>
      <c r="BA231" s="40"/>
    </row>
    <row r="232" spans="6:53" ht="29" x14ac:dyDescent="0.35">
      <c r="F232" s="40" t="s">
        <v>1227</v>
      </c>
      <c r="G232" s="85" t="s">
        <v>690</v>
      </c>
      <c r="H232" s="40" t="s">
        <v>690</v>
      </c>
      <c r="I232" s="41" t="s">
        <v>223</v>
      </c>
      <c r="J232" s="41" t="s">
        <v>601</v>
      </c>
      <c r="K232" s="41" t="s">
        <v>602</v>
      </c>
      <c r="L232" s="40" t="s">
        <v>603</v>
      </c>
      <c r="O232" s="40" t="s">
        <v>104</v>
      </c>
      <c r="P232" s="41" t="s">
        <v>104</v>
      </c>
      <c r="Q232" s="41" t="s">
        <v>104</v>
      </c>
      <c r="R232" s="41" t="s">
        <v>104</v>
      </c>
      <c r="S232" s="40" t="s">
        <v>169</v>
      </c>
      <c r="U232" s="41" t="s">
        <v>104</v>
      </c>
      <c r="V232" s="41" t="s">
        <v>104</v>
      </c>
      <c r="W232" s="41" t="s">
        <v>104</v>
      </c>
      <c r="X232" s="41" t="s">
        <v>104</v>
      </c>
      <c r="Y232" s="40" t="s">
        <v>604</v>
      </c>
      <c r="Z232" s="41" t="s">
        <v>607</v>
      </c>
      <c r="AA232" s="41" t="s">
        <v>121</v>
      </c>
      <c r="AB232" s="41" t="s">
        <v>721</v>
      </c>
      <c r="AC232" s="40" t="s">
        <v>604</v>
      </c>
      <c r="AD232" s="41" t="s">
        <v>607</v>
      </c>
      <c r="AE232" s="41" t="s">
        <v>121</v>
      </c>
      <c r="AF232" s="41" t="s">
        <v>721</v>
      </c>
      <c r="AG232" s="41" t="s">
        <v>138</v>
      </c>
      <c r="AH232" s="41" t="s">
        <v>169</v>
      </c>
      <c r="AI232" s="41">
        <v>1</v>
      </c>
      <c r="AJ232" s="41">
        <v>1</v>
      </c>
      <c r="AK232" s="41">
        <v>0</v>
      </c>
      <c r="AL232" s="42">
        <v>0</v>
      </c>
      <c r="AM232" s="41" t="s">
        <v>144</v>
      </c>
      <c r="AN232" s="42">
        <v>0</v>
      </c>
      <c r="AO232" s="41" t="s">
        <v>104</v>
      </c>
      <c r="AP232" s="41" t="s">
        <v>541</v>
      </c>
      <c r="AQ232" s="41" t="s">
        <v>104</v>
      </c>
      <c r="AR232" s="41" t="s">
        <v>165</v>
      </c>
      <c r="AS232" s="41" t="s">
        <v>169</v>
      </c>
      <c r="AT232" s="41" t="s">
        <v>104</v>
      </c>
      <c r="AU232" s="41" t="s">
        <v>173</v>
      </c>
      <c r="AW232" s="41" t="s">
        <v>170</v>
      </c>
      <c r="AX232" s="41" t="s">
        <v>1663</v>
      </c>
      <c r="AY232" s="41" t="s">
        <v>2099</v>
      </c>
      <c r="AZ232" s="40"/>
      <c r="BA232" s="40"/>
    </row>
    <row r="233" spans="6:53" ht="29" x14ac:dyDescent="0.35">
      <c r="F233" s="40" t="s">
        <v>1228</v>
      </c>
      <c r="G233" s="85" t="s">
        <v>761</v>
      </c>
      <c r="H233" s="40" t="s">
        <v>761</v>
      </c>
      <c r="I233" s="41" t="s">
        <v>223</v>
      </c>
      <c r="J233" s="41" t="s">
        <v>601</v>
      </c>
      <c r="K233" s="41" t="s">
        <v>602</v>
      </c>
      <c r="L233" s="40" t="s">
        <v>603</v>
      </c>
      <c r="O233" s="40" t="s">
        <v>104</v>
      </c>
      <c r="P233" s="41" t="s">
        <v>104</v>
      </c>
      <c r="Q233" s="41" t="s">
        <v>104</v>
      </c>
      <c r="R233" s="41" t="s">
        <v>104</v>
      </c>
      <c r="S233" s="40" t="s">
        <v>169</v>
      </c>
      <c r="T233" s="41" t="s">
        <v>754</v>
      </c>
      <c r="U233" s="41" t="s">
        <v>104</v>
      </c>
      <c r="V233" s="41" t="s">
        <v>104</v>
      </c>
      <c r="W233" s="41" t="s">
        <v>104</v>
      </c>
      <c r="X233" s="41" t="s">
        <v>104</v>
      </c>
      <c r="Y233" s="40" t="s">
        <v>604</v>
      </c>
      <c r="Z233" s="41" t="s">
        <v>605</v>
      </c>
      <c r="AA233" s="41" t="s">
        <v>119</v>
      </c>
      <c r="AB233" s="41" t="s">
        <v>777</v>
      </c>
      <c r="AC233" s="40" t="s">
        <v>604</v>
      </c>
      <c r="AD233" s="41" t="s">
        <v>607</v>
      </c>
      <c r="AE233" s="41" t="s">
        <v>119</v>
      </c>
      <c r="AF233" s="41" t="s">
        <v>778</v>
      </c>
      <c r="AG233" s="41" t="s">
        <v>138</v>
      </c>
      <c r="AH233" s="41" t="s">
        <v>169</v>
      </c>
      <c r="AI233" s="41">
        <v>1</v>
      </c>
      <c r="AJ233" s="41">
        <v>1</v>
      </c>
      <c r="AK233" s="41">
        <v>0</v>
      </c>
      <c r="AL233" s="42">
        <v>0</v>
      </c>
      <c r="AM233" s="41" t="s">
        <v>144</v>
      </c>
      <c r="AN233" s="42">
        <v>0</v>
      </c>
      <c r="AO233" s="41" t="s">
        <v>104</v>
      </c>
      <c r="AP233" s="41" t="s">
        <v>541</v>
      </c>
      <c r="AQ233" s="41" t="s">
        <v>104</v>
      </c>
      <c r="AR233" s="41" t="s">
        <v>165</v>
      </c>
      <c r="AS233" s="41" t="s">
        <v>169</v>
      </c>
      <c r="AT233" s="41" t="s">
        <v>104</v>
      </c>
      <c r="AU233" s="41" t="s">
        <v>173</v>
      </c>
      <c r="AW233" s="41" t="s">
        <v>170</v>
      </c>
      <c r="AX233" s="41" t="s">
        <v>1664</v>
      </c>
      <c r="AY233" s="41" t="s">
        <v>2100</v>
      </c>
      <c r="AZ233" s="40"/>
      <c r="BA233" s="40"/>
    </row>
    <row r="234" spans="6:53" ht="29" x14ac:dyDescent="0.35">
      <c r="F234" s="40" t="s">
        <v>1229</v>
      </c>
      <c r="G234" s="85" t="s">
        <v>764</v>
      </c>
      <c r="H234" s="40" t="s">
        <v>764</v>
      </c>
      <c r="I234" s="41" t="s">
        <v>223</v>
      </c>
      <c r="J234" s="41" t="s">
        <v>601</v>
      </c>
      <c r="K234" s="41" t="s">
        <v>602</v>
      </c>
      <c r="L234" s="40" t="s">
        <v>603</v>
      </c>
      <c r="O234" s="40" t="s">
        <v>104</v>
      </c>
      <c r="P234" s="41" t="s">
        <v>104</v>
      </c>
      <c r="Q234" s="41" t="s">
        <v>104</v>
      </c>
      <c r="R234" s="41" t="s">
        <v>104</v>
      </c>
      <c r="S234" s="40" t="s">
        <v>169</v>
      </c>
      <c r="T234" s="41" t="s">
        <v>758</v>
      </c>
      <c r="U234" s="41" t="s">
        <v>104</v>
      </c>
      <c r="V234" s="41" t="s">
        <v>104</v>
      </c>
      <c r="W234" s="41" t="s">
        <v>104</v>
      </c>
      <c r="X234" s="41" t="s">
        <v>104</v>
      </c>
      <c r="Y234" s="40" t="s">
        <v>604</v>
      </c>
      <c r="Z234" s="41" t="s">
        <v>605</v>
      </c>
      <c r="AA234" s="41" t="s">
        <v>119</v>
      </c>
      <c r="AB234" s="41" t="s">
        <v>777</v>
      </c>
      <c r="AC234" s="40" t="s">
        <v>604</v>
      </c>
      <c r="AD234" s="41" t="s">
        <v>607</v>
      </c>
      <c r="AE234" s="41" t="s">
        <v>119</v>
      </c>
      <c r="AF234" s="41" t="s">
        <v>778</v>
      </c>
      <c r="AG234" s="41" t="s">
        <v>138</v>
      </c>
      <c r="AH234" s="41" t="s">
        <v>169</v>
      </c>
      <c r="AI234" s="41">
        <v>1</v>
      </c>
      <c r="AJ234" s="41">
        <v>1</v>
      </c>
      <c r="AK234" s="41">
        <v>0</v>
      </c>
      <c r="AL234" s="42">
        <v>0</v>
      </c>
      <c r="AM234" s="41" t="s">
        <v>144</v>
      </c>
      <c r="AN234" s="42">
        <v>0</v>
      </c>
      <c r="AO234" s="41" t="s">
        <v>104</v>
      </c>
      <c r="AP234" s="41" t="s">
        <v>541</v>
      </c>
      <c r="AQ234" s="41" t="s">
        <v>104</v>
      </c>
      <c r="AR234" s="41" t="s">
        <v>165</v>
      </c>
      <c r="AS234" s="41" t="s">
        <v>169</v>
      </c>
      <c r="AT234" s="41" t="s">
        <v>104</v>
      </c>
      <c r="AU234" s="41" t="s">
        <v>173</v>
      </c>
      <c r="AW234" s="41" t="s">
        <v>170</v>
      </c>
      <c r="AX234" s="41" t="s">
        <v>1665</v>
      </c>
      <c r="AY234" s="41" t="s">
        <v>2101</v>
      </c>
      <c r="AZ234" s="40"/>
      <c r="BA234" s="40"/>
    </row>
    <row r="235" spans="6:53" ht="29" x14ac:dyDescent="0.35">
      <c r="F235" s="40" t="s">
        <v>1230</v>
      </c>
      <c r="G235" s="85" t="s">
        <v>616</v>
      </c>
      <c r="H235" s="40" t="s">
        <v>616</v>
      </c>
      <c r="I235" s="41" t="s">
        <v>223</v>
      </c>
      <c r="J235" s="41" t="s">
        <v>601</v>
      </c>
      <c r="K235" s="41" t="s">
        <v>602</v>
      </c>
      <c r="L235" s="40" t="s">
        <v>603</v>
      </c>
      <c r="O235" s="40" t="s">
        <v>104</v>
      </c>
      <c r="P235" s="41" t="s">
        <v>104</v>
      </c>
      <c r="Q235" s="41" t="s">
        <v>104</v>
      </c>
      <c r="R235" s="41" t="s">
        <v>104</v>
      </c>
      <c r="S235" s="40" t="s">
        <v>169</v>
      </c>
      <c r="U235" s="41" t="s">
        <v>104</v>
      </c>
      <c r="V235" s="41" t="s">
        <v>104</v>
      </c>
      <c r="W235" s="41" t="s">
        <v>104</v>
      </c>
      <c r="X235" s="41" t="s">
        <v>104</v>
      </c>
      <c r="Y235" s="40" t="s">
        <v>604</v>
      </c>
      <c r="Z235" s="41" t="s">
        <v>605</v>
      </c>
      <c r="AA235" s="41" t="s">
        <v>119</v>
      </c>
      <c r="AB235" s="41" t="s">
        <v>777</v>
      </c>
      <c r="AC235" s="40" t="s">
        <v>604</v>
      </c>
      <c r="AD235" s="41" t="s">
        <v>607</v>
      </c>
      <c r="AE235" s="41" t="s">
        <v>119</v>
      </c>
      <c r="AF235" s="41" t="s">
        <v>778</v>
      </c>
      <c r="AG235" s="41" t="s">
        <v>138</v>
      </c>
      <c r="AH235" s="41" t="s">
        <v>169</v>
      </c>
      <c r="AI235" s="41">
        <v>1</v>
      </c>
      <c r="AJ235" s="41">
        <v>1</v>
      </c>
      <c r="AK235" s="41">
        <v>0</v>
      </c>
      <c r="AL235" s="42">
        <v>0</v>
      </c>
      <c r="AM235" s="41" t="s">
        <v>144</v>
      </c>
      <c r="AN235" s="42">
        <v>0</v>
      </c>
      <c r="AO235" s="41" t="s">
        <v>104</v>
      </c>
      <c r="AP235" s="41" t="s">
        <v>541</v>
      </c>
      <c r="AQ235" s="41" t="s">
        <v>104</v>
      </c>
      <c r="AR235" s="41" t="s">
        <v>165</v>
      </c>
      <c r="AS235" s="41" t="s">
        <v>169</v>
      </c>
      <c r="AT235" s="41" t="s">
        <v>104</v>
      </c>
      <c r="AU235" s="41" t="s">
        <v>173</v>
      </c>
      <c r="AW235" s="41" t="s">
        <v>170</v>
      </c>
      <c r="AX235" s="41" t="s">
        <v>1666</v>
      </c>
      <c r="AY235" s="41" t="s">
        <v>2102</v>
      </c>
      <c r="AZ235" s="40"/>
      <c r="BA235" s="40"/>
    </row>
    <row r="236" spans="6:53" ht="29" x14ac:dyDescent="0.35">
      <c r="F236" s="40" t="s">
        <v>1231</v>
      </c>
      <c r="G236" s="85" t="s">
        <v>759</v>
      </c>
      <c r="H236" s="40" t="s">
        <v>759</v>
      </c>
      <c r="I236" s="41" t="s">
        <v>223</v>
      </c>
      <c r="J236" s="41" t="s">
        <v>601</v>
      </c>
      <c r="K236" s="41" t="s">
        <v>602</v>
      </c>
      <c r="L236" s="40" t="s">
        <v>603</v>
      </c>
      <c r="O236" s="40" t="s">
        <v>104</v>
      </c>
      <c r="P236" s="41" t="s">
        <v>104</v>
      </c>
      <c r="Q236" s="41" t="s">
        <v>104</v>
      </c>
      <c r="R236" s="41" t="s">
        <v>104</v>
      </c>
      <c r="S236" s="40" t="s">
        <v>169</v>
      </c>
      <c r="U236" s="41" t="s">
        <v>104</v>
      </c>
      <c r="V236" s="41" t="s">
        <v>104</v>
      </c>
      <c r="W236" s="41" t="s">
        <v>104</v>
      </c>
      <c r="X236" s="41" t="s">
        <v>104</v>
      </c>
      <c r="Y236" s="40" t="s">
        <v>604</v>
      </c>
      <c r="Z236" s="41" t="s">
        <v>605</v>
      </c>
      <c r="AA236" s="41" t="s">
        <v>119</v>
      </c>
      <c r="AB236" s="41" t="s">
        <v>777</v>
      </c>
      <c r="AC236" s="40" t="s">
        <v>604</v>
      </c>
      <c r="AD236" s="41" t="s">
        <v>607</v>
      </c>
      <c r="AE236" s="41" t="s">
        <v>119</v>
      </c>
      <c r="AF236" s="41" t="s">
        <v>778</v>
      </c>
      <c r="AG236" s="41" t="s">
        <v>138</v>
      </c>
      <c r="AH236" s="41" t="s">
        <v>169</v>
      </c>
      <c r="AI236" s="41">
        <v>1</v>
      </c>
      <c r="AJ236" s="41">
        <v>1</v>
      </c>
      <c r="AK236" s="41">
        <v>0</v>
      </c>
      <c r="AL236" s="42">
        <v>0</v>
      </c>
      <c r="AM236" s="41" t="s">
        <v>144</v>
      </c>
      <c r="AN236" s="42">
        <v>0</v>
      </c>
      <c r="AO236" s="41" t="s">
        <v>104</v>
      </c>
      <c r="AP236" s="41" t="s">
        <v>541</v>
      </c>
      <c r="AQ236" s="41" t="s">
        <v>104</v>
      </c>
      <c r="AR236" s="41" t="s">
        <v>165</v>
      </c>
      <c r="AS236" s="41" t="s">
        <v>169</v>
      </c>
      <c r="AT236" s="41" t="s">
        <v>104</v>
      </c>
      <c r="AU236" s="41" t="s">
        <v>173</v>
      </c>
      <c r="AW236" s="41" t="s">
        <v>170</v>
      </c>
      <c r="AX236" s="41" t="s">
        <v>1667</v>
      </c>
      <c r="AY236" s="41" t="s">
        <v>2103</v>
      </c>
      <c r="AZ236" s="40"/>
      <c r="BA236" s="40"/>
    </row>
    <row r="237" spans="6:53" ht="29" x14ac:dyDescent="0.35">
      <c r="F237" s="40" t="s">
        <v>1232</v>
      </c>
      <c r="G237" s="85" t="s">
        <v>760</v>
      </c>
      <c r="H237" s="40" t="s">
        <v>760</v>
      </c>
      <c r="I237" s="41" t="s">
        <v>223</v>
      </c>
      <c r="J237" s="41" t="s">
        <v>601</v>
      </c>
      <c r="K237" s="41" t="s">
        <v>602</v>
      </c>
      <c r="L237" s="40" t="s">
        <v>603</v>
      </c>
      <c r="O237" s="40" t="s">
        <v>104</v>
      </c>
      <c r="P237" s="41" t="s">
        <v>104</v>
      </c>
      <c r="Q237" s="41" t="s">
        <v>104</v>
      </c>
      <c r="R237" s="41" t="s">
        <v>104</v>
      </c>
      <c r="S237" s="40" t="s">
        <v>169</v>
      </c>
      <c r="U237" s="41" t="s">
        <v>104</v>
      </c>
      <c r="V237" s="41" t="s">
        <v>104</v>
      </c>
      <c r="W237" s="41" t="s">
        <v>112</v>
      </c>
      <c r="X237" s="41" t="s">
        <v>104</v>
      </c>
      <c r="Y237" s="40" t="s">
        <v>604</v>
      </c>
      <c r="Z237" s="41" t="s">
        <v>605</v>
      </c>
      <c r="AA237" s="41" t="s">
        <v>119</v>
      </c>
      <c r="AB237" s="41" t="s">
        <v>777</v>
      </c>
      <c r="AC237" s="40" t="s">
        <v>604</v>
      </c>
      <c r="AD237" s="41" t="s">
        <v>607</v>
      </c>
      <c r="AE237" s="41" t="s">
        <v>119</v>
      </c>
      <c r="AF237" s="41" t="s">
        <v>778</v>
      </c>
      <c r="AG237" s="41" t="s">
        <v>138</v>
      </c>
      <c r="AH237" s="41" t="s">
        <v>169</v>
      </c>
      <c r="AI237" s="41">
        <v>1</v>
      </c>
      <c r="AJ237" s="41">
        <v>1</v>
      </c>
      <c r="AK237" s="41">
        <v>0</v>
      </c>
      <c r="AL237" s="42">
        <v>0</v>
      </c>
      <c r="AM237" s="41" t="s">
        <v>144</v>
      </c>
      <c r="AN237" s="42">
        <v>0</v>
      </c>
      <c r="AO237" s="41" t="s">
        <v>104</v>
      </c>
      <c r="AP237" s="41" t="s">
        <v>541</v>
      </c>
      <c r="AQ237" s="41" t="s">
        <v>104</v>
      </c>
      <c r="AR237" s="41" t="s">
        <v>165</v>
      </c>
      <c r="AS237" s="41" t="s">
        <v>169</v>
      </c>
      <c r="AT237" s="41" t="s">
        <v>104</v>
      </c>
      <c r="AU237" s="41" t="s">
        <v>173</v>
      </c>
      <c r="AW237" s="41" t="s">
        <v>170</v>
      </c>
      <c r="AX237" s="41" t="s">
        <v>1668</v>
      </c>
      <c r="AY237" s="41" t="s">
        <v>2104</v>
      </c>
      <c r="AZ237" s="40"/>
      <c r="BA237" s="40"/>
    </row>
    <row r="238" spans="6:53" ht="29" x14ac:dyDescent="0.35">
      <c r="F238" s="40" t="s">
        <v>1233</v>
      </c>
      <c r="G238" s="85" t="s">
        <v>779</v>
      </c>
      <c r="H238" s="40" t="s">
        <v>779</v>
      </c>
      <c r="I238" s="41" t="s">
        <v>223</v>
      </c>
      <c r="J238" s="41" t="s">
        <v>601</v>
      </c>
      <c r="K238" s="41" t="s">
        <v>602</v>
      </c>
      <c r="L238" s="40" t="s">
        <v>603</v>
      </c>
      <c r="O238" s="40" t="s">
        <v>104</v>
      </c>
      <c r="P238" s="41" t="s">
        <v>104</v>
      </c>
      <c r="Q238" s="41" t="s">
        <v>104</v>
      </c>
      <c r="R238" s="41" t="s">
        <v>104</v>
      </c>
      <c r="S238" s="40" t="s">
        <v>169</v>
      </c>
      <c r="U238" s="41" t="s">
        <v>104</v>
      </c>
      <c r="V238" s="41" t="s">
        <v>104</v>
      </c>
      <c r="W238" s="41" t="s">
        <v>104</v>
      </c>
      <c r="X238" s="41" t="s">
        <v>104</v>
      </c>
      <c r="Y238" s="40" t="s">
        <v>604</v>
      </c>
      <c r="Z238" s="41" t="s">
        <v>605</v>
      </c>
      <c r="AA238" s="41" t="s">
        <v>119</v>
      </c>
      <c r="AB238" s="41" t="s">
        <v>777</v>
      </c>
      <c r="AC238" s="40" t="s">
        <v>604</v>
      </c>
      <c r="AD238" s="41" t="s">
        <v>607</v>
      </c>
      <c r="AE238" s="41" t="s">
        <v>119</v>
      </c>
      <c r="AF238" s="41" t="s">
        <v>778</v>
      </c>
      <c r="AG238" s="41" t="s">
        <v>138</v>
      </c>
      <c r="AH238" s="41" t="s">
        <v>169</v>
      </c>
      <c r="AI238" s="41">
        <v>1</v>
      </c>
      <c r="AJ238" s="41">
        <v>1</v>
      </c>
      <c r="AK238" s="41">
        <v>0</v>
      </c>
      <c r="AL238" s="42">
        <v>0</v>
      </c>
      <c r="AM238" s="41" t="s">
        <v>144</v>
      </c>
      <c r="AN238" s="42">
        <v>0</v>
      </c>
      <c r="AO238" s="41" t="s">
        <v>104</v>
      </c>
      <c r="AP238" s="41" t="s">
        <v>541</v>
      </c>
      <c r="AQ238" s="41" t="s">
        <v>104</v>
      </c>
      <c r="AR238" s="41" t="s">
        <v>165</v>
      </c>
      <c r="AS238" s="41" t="s">
        <v>169</v>
      </c>
      <c r="AT238" s="41" t="s">
        <v>104</v>
      </c>
      <c r="AU238" s="41" t="s">
        <v>173</v>
      </c>
      <c r="AW238" s="41" t="s">
        <v>170</v>
      </c>
      <c r="AX238" s="41" t="s">
        <v>1669</v>
      </c>
      <c r="AY238" s="41" t="s">
        <v>2105</v>
      </c>
      <c r="AZ238" s="40"/>
      <c r="BA238" s="40"/>
    </row>
    <row r="239" spans="6:53" ht="29" x14ac:dyDescent="0.35">
      <c r="F239" s="40" t="s">
        <v>1234</v>
      </c>
      <c r="G239" s="85" t="s">
        <v>753</v>
      </c>
      <c r="H239" s="40" t="s">
        <v>753</v>
      </c>
      <c r="I239" s="41" t="s">
        <v>223</v>
      </c>
      <c r="J239" s="41" t="s">
        <v>601</v>
      </c>
      <c r="K239" s="41" t="s">
        <v>602</v>
      </c>
      <c r="L239" s="40" t="s">
        <v>603</v>
      </c>
      <c r="O239" s="40" t="s">
        <v>104</v>
      </c>
      <c r="P239" s="41" t="s">
        <v>104</v>
      </c>
      <c r="Q239" s="41" t="s">
        <v>104</v>
      </c>
      <c r="R239" s="41" t="s">
        <v>104</v>
      </c>
      <c r="S239" s="40" t="s">
        <v>169</v>
      </c>
      <c r="T239" s="41" t="s">
        <v>754</v>
      </c>
      <c r="U239" s="41" t="s">
        <v>104</v>
      </c>
      <c r="V239" s="41" t="s">
        <v>104</v>
      </c>
      <c r="W239" s="41" t="s">
        <v>104</v>
      </c>
      <c r="X239" s="41" t="s">
        <v>104</v>
      </c>
      <c r="Y239" s="40" t="s">
        <v>604</v>
      </c>
      <c r="Z239" s="41" t="s">
        <v>605</v>
      </c>
      <c r="AA239" s="41" t="s">
        <v>119</v>
      </c>
      <c r="AB239" s="41" t="s">
        <v>780</v>
      </c>
      <c r="AC239" s="40" t="s">
        <v>604</v>
      </c>
      <c r="AD239" s="41" t="s">
        <v>607</v>
      </c>
      <c r="AE239" s="41" t="s">
        <v>119</v>
      </c>
      <c r="AF239" s="41" t="s">
        <v>781</v>
      </c>
      <c r="AG239" s="41" t="s">
        <v>138</v>
      </c>
      <c r="AH239" s="41" t="s">
        <v>169</v>
      </c>
      <c r="AI239" s="41">
        <v>1</v>
      </c>
      <c r="AJ239" s="41">
        <v>1</v>
      </c>
      <c r="AK239" s="41">
        <v>0</v>
      </c>
      <c r="AL239" s="42">
        <v>0</v>
      </c>
      <c r="AM239" s="41" t="s">
        <v>144</v>
      </c>
      <c r="AN239" s="42">
        <v>0</v>
      </c>
      <c r="AO239" s="41" t="s">
        <v>104</v>
      </c>
      <c r="AP239" s="41" t="s">
        <v>541</v>
      </c>
      <c r="AQ239" s="41" t="s">
        <v>104</v>
      </c>
      <c r="AR239" s="41" t="s">
        <v>165</v>
      </c>
      <c r="AS239" s="41" t="s">
        <v>169</v>
      </c>
      <c r="AT239" s="41" t="s">
        <v>104</v>
      </c>
      <c r="AU239" s="41" t="s">
        <v>173</v>
      </c>
      <c r="AW239" s="41" t="s">
        <v>170</v>
      </c>
      <c r="AX239" s="41" t="s">
        <v>1670</v>
      </c>
      <c r="AY239" s="41" t="s">
        <v>2106</v>
      </c>
      <c r="AZ239" s="40"/>
      <c r="BA239" s="40"/>
    </row>
    <row r="240" spans="6:53" ht="29" x14ac:dyDescent="0.35">
      <c r="F240" s="40" t="s">
        <v>1235</v>
      </c>
      <c r="G240" s="85" t="s">
        <v>757</v>
      </c>
      <c r="H240" s="40" t="s">
        <v>757</v>
      </c>
      <c r="I240" s="41" t="s">
        <v>223</v>
      </c>
      <c r="J240" s="41" t="s">
        <v>601</v>
      </c>
      <c r="K240" s="41" t="s">
        <v>602</v>
      </c>
      <c r="L240" s="40" t="s">
        <v>603</v>
      </c>
      <c r="O240" s="40" t="s">
        <v>104</v>
      </c>
      <c r="P240" s="41" t="s">
        <v>104</v>
      </c>
      <c r="Q240" s="41" t="s">
        <v>104</v>
      </c>
      <c r="R240" s="41" t="s">
        <v>104</v>
      </c>
      <c r="S240" s="40" t="s">
        <v>169</v>
      </c>
      <c r="T240" s="41" t="s">
        <v>758</v>
      </c>
      <c r="U240" s="41" t="s">
        <v>104</v>
      </c>
      <c r="V240" s="41" t="s">
        <v>104</v>
      </c>
      <c r="W240" s="41" t="s">
        <v>104</v>
      </c>
      <c r="X240" s="41" t="s">
        <v>104</v>
      </c>
      <c r="Y240" s="40" t="s">
        <v>604</v>
      </c>
      <c r="Z240" s="41" t="s">
        <v>605</v>
      </c>
      <c r="AA240" s="41" t="s">
        <v>119</v>
      </c>
      <c r="AB240" s="41" t="s">
        <v>780</v>
      </c>
      <c r="AC240" s="40" t="s">
        <v>604</v>
      </c>
      <c r="AD240" s="41" t="s">
        <v>607</v>
      </c>
      <c r="AE240" s="41" t="s">
        <v>119</v>
      </c>
      <c r="AF240" s="41" t="s">
        <v>781</v>
      </c>
      <c r="AG240" s="41" t="s">
        <v>138</v>
      </c>
      <c r="AH240" s="41" t="s">
        <v>169</v>
      </c>
      <c r="AI240" s="41">
        <v>1</v>
      </c>
      <c r="AJ240" s="41">
        <v>1</v>
      </c>
      <c r="AK240" s="41">
        <v>0</v>
      </c>
      <c r="AL240" s="42">
        <v>0</v>
      </c>
      <c r="AM240" s="41" t="s">
        <v>144</v>
      </c>
      <c r="AN240" s="42">
        <v>0</v>
      </c>
      <c r="AO240" s="41" t="s">
        <v>104</v>
      </c>
      <c r="AP240" s="41" t="s">
        <v>541</v>
      </c>
      <c r="AQ240" s="41" t="s">
        <v>104</v>
      </c>
      <c r="AR240" s="41" t="s">
        <v>165</v>
      </c>
      <c r="AS240" s="41" t="s">
        <v>169</v>
      </c>
      <c r="AT240" s="41" t="s">
        <v>104</v>
      </c>
      <c r="AU240" s="41" t="s">
        <v>173</v>
      </c>
      <c r="AW240" s="41" t="s">
        <v>170</v>
      </c>
      <c r="AX240" s="41" t="s">
        <v>1671</v>
      </c>
      <c r="AY240" s="41" t="s">
        <v>2107</v>
      </c>
      <c r="AZ240" s="40"/>
      <c r="BA240" s="40"/>
    </row>
    <row r="241" spans="6:53" ht="29" x14ac:dyDescent="0.35">
      <c r="F241" s="40" t="s">
        <v>1236</v>
      </c>
      <c r="G241" s="85" t="s">
        <v>616</v>
      </c>
      <c r="H241" s="40" t="s">
        <v>616</v>
      </c>
      <c r="I241" s="41" t="s">
        <v>223</v>
      </c>
      <c r="J241" s="41" t="s">
        <v>601</v>
      </c>
      <c r="K241" s="41" t="s">
        <v>602</v>
      </c>
      <c r="L241" s="40" t="s">
        <v>603</v>
      </c>
      <c r="O241" s="40" t="s">
        <v>104</v>
      </c>
      <c r="P241" s="41" t="s">
        <v>104</v>
      </c>
      <c r="Q241" s="41" t="s">
        <v>104</v>
      </c>
      <c r="R241" s="41" t="s">
        <v>104</v>
      </c>
      <c r="S241" s="40" t="s">
        <v>169</v>
      </c>
      <c r="U241" s="41" t="s">
        <v>104</v>
      </c>
      <c r="V241" s="41" t="s">
        <v>104</v>
      </c>
      <c r="W241" s="41" t="s">
        <v>104</v>
      </c>
      <c r="X241" s="41" t="s">
        <v>104</v>
      </c>
      <c r="Y241" s="40" t="s">
        <v>604</v>
      </c>
      <c r="Z241" s="41" t="s">
        <v>605</v>
      </c>
      <c r="AA241" s="41" t="s">
        <v>119</v>
      </c>
      <c r="AB241" s="41" t="s">
        <v>780</v>
      </c>
      <c r="AC241" s="40" t="s">
        <v>604</v>
      </c>
      <c r="AD241" s="41" t="s">
        <v>607</v>
      </c>
      <c r="AE241" s="41" t="s">
        <v>119</v>
      </c>
      <c r="AF241" s="41" t="s">
        <v>781</v>
      </c>
      <c r="AG241" s="41" t="s">
        <v>138</v>
      </c>
      <c r="AH241" s="41" t="s">
        <v>169</v>
      </c>
      <c r="AI241" s="41">
        <v>1</v>
      </c>
      <c r="AJ241" s="41">
        <v>1</v>
      </c>
      <c r="AK241" s="41">
        <v>0</v>
      </c>
      <c r="AL241" s="42">
        <v>0</v>
      </c>
      <c r="AM241" s="41" t="s">
        <v>144</v>
      </c>
      <c r="AN241" s="42">
        <v>0</v>
      </c>
      <c r="AO241" s="41" t="s">
        <v>104</v>
      </c>
      <c r="AP241" s="41" t="s">
        <v>541</v>
      </c>
      <c r="AQ241" s="41" t="s">
        <v>104</v>
      </c>
      <c r="AR241" s="41" t="s">
        <v>165</v>
      </c>
      <c r="AS241" s="41" t="s">
        <v>169</v>
      </c>
      <c r="AT241" s="41" t="s">
        <v>104</v>
      </c>
      <c r="AU241" s="41" t="s">
        <v>173</v>
      </c>
      <c r="AW241" s="41" t="s">
        <v>170</v>
      </c>
      <c r="AX241" s="41" t="s">
        <v>1672</v>
      </c>
      <c r="AY241" s="41" t="s">
        <v>2108</v>
      </c>
      <c r="AZ241" s="40"/>
      <c r="BA241" s="40"/>
    </row>
    <row r="242" spans="6:53" ht="29" x14ac:dyDescent="0.35">
      <c r="F242" s="40" t="s">
        <v>1237</v>
      </c>
      <c r="G242" s="85" t="s">
        <v>759</v>
      </c>
      <c r="H242" s="40" t="s">
        <v>759</v>
      </c>
      <c r="I242" s="41" t="s">
        <v>223</v>
      </c>
      <c r="J242" s="41" t="s">
        <v>601</v>
      </c>
      <c r="K242" s="41" t="s">
        <v>602</v>
      </c>
      <c r="L242" s="40" t="s">
        <v>603</v>
      </c>
      <c r="O242" s="40" t="s">
        <v>104</v>
      </c>
      <c r="P242" s="41" t="s">
        <v>104</v>
      </c>
      <c r="Q242" s="41" t="s">
        <v>104</v>
      </c>
      <c r="R242" s="41" t="s">
        <v>104</v>
      </c>
      <c r="S242" s="40" t="s">
        <v>169</v>
      </c>
      <c r="U242" s="41" t="s">
        <v>104</v>
      </c>
      <c r="V242" s="41" t="s">
        <v>104</v>
      </c>
      <c r="W242" s="41" t="s">
        <v>104</v>
      </c>
      <c r="X242" s="41" t="s">
        <v>104</v>
      </c>
      <c r="Y242" s="40" t="s">
        <v>604</v>
      </c>
      <c r="Z242" s="41" t="s">
        <v>605</v>
      </c>
      <c r="AA242" s="41" t="s">
        <v>119</v>
      </c>
      <c r="AB242" s="41" t="s">
        <v>780</v>
      </c>
      <c r="AC242" s="40" t="s">
        <v>604</v>
      </c>
      <c r="AD242" s="41" t="s">
        <v>607</v>
      </c>
      <c r="AE242" s="41" t="s">
        <v>119</v>
      </c>
      <c r="AF242" s="41" t="s">
        <v>781</v>
      </c>
      <c r="AG242" s="41" t="s">
        <v>138</v>
      </c>
      <c r="AH242" s="41" t="s">
        <v>169</v>
      </c>
      <c r="AI242" s="41">
        <v>1</v>
      </c>
      <c r="AJ242" s="41">
        <v>1</v>
      </c>
      <c r="AK242" s="41">
        <v>0</v>
      </c>
      <c r="AL242" s="42">
        <v>0</v>
      </c>
      <c r="AM242" s="41" t="s">
        <v>144</v>
      </c>
      <c r="AN242" s="42">
        <v>0</v>
      </c>
      <c r="AO242" s="41" t="s">
        <v>104</v>
      </c>
      <c r="AP242" s="41" t="s">
        <v>541</v>
      </c>
      <c r="AQ242" s="41" t="s">
        <v>104</v>
      </c>
      <c r="AR242" s="41" t="s">
        <v>165</v>
      </c>
      <c r="AS242" s="41" t="s">
        <v>169</v>
      </c>
      <c r="AT242" s="41" t="s">
        <v>104</v>
      </c>
      <c r="AU242" s="41" t="s">
        <v>173</v>
      </c>
      <c r="AW242" s="41" t="s">
        <v>170</v>
      </c>
      <c r="AX242" s="41" t="s">
        <v>1673</v>
      </c>
      <c r="AY242" s="41" t="s">
        <v>2109</v>
      </c>
      <c r="AZ242" s="40"/>
      <c r="BA242" s="40"/>
    </row>
    <row r="243" spans="6:53" ht="29" x14ac:dyDescent="0.35">
      <c r="F243" s="40" t="s">
        <v>1238</v>
      </c>
      <c r="G243" s="85" t="s">
        <v>760</v>
      </c>
      <c r="H243" s="40" t="s">
        <v>760</v>
      </c>
      <c r="I243" s="41" t="s">
        <v>223</v>
      </c>
      <c r="J243" s="41" t="s">
        <v>601</v>
      </c>
      <c r="K243" s="41" t="s">
        <v>602</v>
      </c>
      <c r="L243" s="40" t="s">
        <v>603</v>
      </c>
      <c r="O243" s="40" t="s">
        <v>104</v>
      </c>
      <c r="P243" s="41" t="s">
        <v>104</v>
      </c>
      <c r="Q243" s="41" t="s">
        <v>104</v>
      </c>
      <c r="R243" s="41" t="s">
        <v>104</v>
      </c>
      <c r="S243" s="40" t="s">
        <v>169</v>
      </c>
      <c r="U243" s="41" t="s">
        <v>104</v>
      </c>
      <c r="V243" s="41" t="s">
        <v>104</v>
      </c>
      <c r="W243" s="41" t="s">
        <v>112</v>
      </c>
      <c r="X243" s="41" t="s">
        <v>104</v>
      </c>
      <c r="Y243" s="40" t="s">
        <v>604</v>
      </c>
      <c r="Z243" s="41" t="s">
        <v>605</v>
      </c>
      <c r="AA243" s="41" t="s">
        <v>119</v>
      </c>
      <c r="AB243" s="41" t="s">
        <v>780</v>
      </c>
      <c r="AC243" s="40" t="s">
        <v>604</v>
      </c>
      <c r="AD243" s="41" t="s">
        <v>607</v>
      </c>
      <c r="AE243" s="41" t="s">
        <v>119</v>
      </c>
      <c r="AF243" s="41" t="s">
        <v>781</v>
      </c>
      <c r="AG243" s="41" t="s">
        <v>138</v>
      </c>
      <c r="AH243" s="41" t="s">
        <v>169</v>
      </c>
      <c r="AI243" s="41">
        <v>3</v>
      </c>
      <c r="AJ243" s="41">
        <v>3</v>
      </c>
      <c r="AK243" s="41">
        <v>0</v>
      </c>
      <c r="AL243" s="42">
        <v>0</v>
      </c>
      <c r="AM243" s="41" t="s">
        <v>144</v>
      </c>
      <c r="AN243" s="42">
        <v>0</v>
      </c>
      <c r="AO243" s="41" t="s">
        <v>104</v>
      </c>
      <c r="AP243" s="41" t="s">
        <v>541</v>
      </c>
      <c r="AQ243" s="41" t="s">
        <v>104</v>
      </c>
      <c r="AR243" s="41" t="s">
        <v>165</v>
      </c>
      <c r="AS243" s="41" t="s">
        <v>169</v>
      </c>
      <c r="AT243" s="41" t="s">
        <v>104</v>
      </c>
      <c r="AU243" s="41" t="s">
        <v>173</v>
      </c>
      <c r="AW243" s="41" t="s">
        <v>170</v>
      </c>
      <c r="AX243" s="41" t="s">
        <v>1674</v>
      </c>
      <c r="AY243" s="41" t="s">
        <v>2110</v>
      </c>
      <c r="AZ243" s="40"/>
      <c r="BA243" s="40"/>
    </row>
    <row r="244" spans="6:53" ht="29" x14ac:dyDescent="0.35">
      <c r="F244" s="40" t="s">
        <v>1239</v>
      </c>
      <c r="G244" s="85" t="s">
        <v>761</v>
      </c>
      <c r="H244" s="40" t="s">
        <v>761</v>
      </c>
      <c r="I244" s="41" t="s">
        <v>223</v>
      </c>
      <c r="J244" s="41" t="s">
        <v>601</v>
      </c>
      <c r="K244" s="41" t="s">
        <v>602</v>
      </c>
      <c r="L244" s="40" t="s">
        <v>603</v>
      </c>
      <c r="O244" s="40" t="s">
        <v>104</v>
      </c>
      <c r="P244" s="41" t="s">
        <v>104</v>
      </c>
      <c r="Q244" s="41" t="s">
        <v>104</v>
      </c>
      <c r="R244" s="41" t="s">
        <v>104</v>
      </c>
      <c r="S244" s="40" t="s">
        <v>169</v>
      </c>
      <c r="T244" s="41" t="s">
        <v>754</v>
      </c>
      <c r="U244" s="41" t="s">
        <v>104</v>
      </c>
      <c r="V244" s="41" t="s">
        <v>104</v>
      </c>
      <c r="W244" s="41" t="s">
        <v>104</v>
      </c>
      <c r="X244" s="41" t="s">
        <v>104</v>
      </c>
      <c r="Y244" s="40" t="s">
        <v>604</v>
      </c>
      <c r="Z244" s="41" t="s">
        <v>605</v>
      </c>
      <c r="AA244" s="41" t="s">
        <v>119</v>
      </c>
      <c r="AB244" s="41" t="s">
        <v>782</v>
      </c>
      <c r="AC244" s="40" t="s">
        <v>604</v>
      </c>
      <c r="AD244" s="41" t="s">
        <v>607</v>
      </c>
      <c r="AE244" s="41" t="s">
        <v>119</v>
      </c>
      <c r="AF244" s="41" t="s">
        <v>783</v>
      </c>
      <c r="AG244" s="41" t="s">
        <v>138</v>
      </c>
      <c r="AH244" s="41" t="s">
        <v>169</v>
      </c>
      <c r="AI244" s="41">
        <v>1</v>
      </c>
      <c r="AJ244" s="41">
        <v>1</v>
      </c>
      <c r="AK244" s="41">
        <v>0</v>
      </c>
      <c r="AL244" s="42">
        <v>0</v>
      </c>
      <c r="AM244" s="41" t="s">
        <v>144</v>
      </c>
      <c r="AN244" s="42">
        <v>0</v>
      </c>
      <c r="AO244" s="41" t="s">
        <v>104</v>
      </c>
      <c r="AP244" s="41" t="s">
        <v>541</v>
      </c>
      <c r="AQ244" s="41" t="s">
        <v>104</v>
      </c>
      <c r="AR244" s="41" t="s">
        <v>165</v>
      </c>
      <c r="AS244" s="41" t="s">
        <v>169</v>
      </c>
      <c r="AT244" s="41" t="s">
        <v>104</v>
      </c>
      <c r="AU244" s="41" t="s">
        <v>173</v>
      </c>
      <c r="AW244" s="41" t="s">
        <v>170</v>
      </c>
      <c r="AX244" s="41" t="s">
        <v>1675</v>
      </c>
      <c r="AY244" s="41" t="s">
        <v>2111</v>
      </c>
      <c r="AZ244" s="40"/>
      <c r="BA244" s="40"/>
    </row>
    <row r="245" spans="6:53" ht="29" x14ac:dyDescent="0.35">
      <c r="F245" s="40" t="s">
        <v>1240</v>
      </c>
      <c r="G245" s="85" t="s">
        <v>764</v>
      </c>
      <c r="H245" s="40" t="s">
        <v>764</v>
      </c>
      <c r="I245" s="41" t="s">
        <v>223</v>
      </c>
      <c r="J245" s="41" t="s">
        <v>601</v>
      </c>
      <c r="K245" s="41" t="s">
        <v>602</v>
      </c>
      <c r="L245" s="40" t="s">
        <v>603</v>
      </c>
      <c r="O245" s="40" t="s">
        <v>104</v>
      </c>
      <c r="P245" s="41" t="s">
        <v>104</v>
      </c>
      <c r="Q245" s="41" t="s">
        <v>104</v>
      </c>
      <c r="R245" s="41" t="s">
        <v>104</v>
      </c>
      <c r="S245" s="40" t="s">
        <v>169</v>
      </c>
      <c r="T245" s="41" t="s">
        <v>758</v>
      </c>
      <c r="U245" s="41" t="s">
        <v>104</v>
      </c>
      <c r="V245" s="41" t="s">
        <v>104</v>
      </c>
      <c r="W245" s="41" t="s">
        <v>104</v>
      </c>
      <c r="X245" s="41" t="s">
        <v>104</v>
      </c>
      <c r="Y245" s="40" t="s">
        <v>604</v>
      </c>
      <c r="Z245" s="41" t="s">
        <v>605</v>
      </c>
      <c r="AA245" s="41" t="s">
        <v>119</v>
      </c>
      <c r="AB245" s="41" t="s">
        <v>782</v>
      </c>
      <c r="AC245" s="40" t="s">
        <v>604</v>
      </c>
      <c r="AD245" s="41" t="s">
        <v>607</v>
      </c>
      <c r="AE245" s="41" t="s">
        <v>119</v>
      </c>
      <c r="AF245" s="41" t="s">
        <v>783</v>
      </c>
      <c r="AG245" s="41" t="s">
        <v>138</v>
      </c>
      <c r="AH245" s="41" t="s">
        <v>169</v>
      </c>
      <c r="AI245" s="41">
        <v>1</v>
      </c>
      <c r="AJ245" s="41">
        <v>1</v>
      </c>
      <c r="AK245" s="41">
        <v>0</v>
      </c>
      <c r="AL245" s="42">
        <v>0</v>
      </c>
      <c r="AM245" s="41" t="s">
        <v>144</v>
      </c>
      <c r="AN245" s="42">
        <v>0</v>
      </c>
      <c r="AO245" s="41" t="s">
        <v>104</v>
      </c>
      <c r="AP245" s="41" t="s">
        <v>541</v>
      </c>
      <c r="AQ245" s="41" t="s">
        <v>104</v>
      </c>
      <c r="AR245" s="41" t="s">
        <v>165</v>
      </c>
      <c r="AS245" s="41" t="s">
        <v>169</v>
      </c>
      <c r="AT245" s="41" t="s">
        <v>104</v>
      </c>
      <c r="AU245" s="41" t="s">
        <v>173</v>
      </c>
      <c r="AW245" s="41" t="s">
        <v>170</v>
      </c>
      <c r="AX245" s="41" t="s">
        <v>1676</v>
      </c>
      <c r="AY245" s="41" t="s">
        <v>2112</v>
      </c>
      <c r="AZ245" s="40"/>
      <c r="BA245" s="40"/>
    </row>
    <row r="246" spans="6:53" ht="29" x14ac:dyDescent="0.35">
      <c r="F246" s="40" t="s">
        <v>1241</v>
      </c>
      <c r="G246" s="85" t="s">
        <v>616</v>
      </c>
      <c r="H246" s="40" t="s">
        <v>616</v>
      </c>
      <c r="I246" s="41" t="s">
        <v>223</v>
      </c>
      <c r="J246" s="41" t="s">
        <v>601</v>
      </c>
      <c r="K246" s="41" t="s">
        <v>602</v>
      </c>
      <c r="L246" s="40" t="s">
        <v>603</v>
      </c>
      <c r="O246" s="40" t="s">
        <v>104</v>
      </c>
      <c r="P246" s="41" t="s">
        <v>104</v>
      </c>
      <c r="Q246" s="41" t="s">
        <v>104</v>
      </c>
      <c r="R246" s="41" t="s">
        <v>104</v>
      </c>
      <c r="S246" s="40" t="s">
        <v>169</v>
      </c>
      <c r="U246" s="41" t="s">
        <v>104</v>
      </c>
      <c r="V246" s="41" t="s">
        <v>104</v>
      </c>
      <c r="W246" s="41" t="s">
        <v>104</v>
      </c>
      <c r="X246" s="41" t="s">
        <v>104</v>
      </c>
      <c r="Y246" s="40" t="s">
        <v>604</v>
      </c>
      <c r="Z246" s="41" t="s">
        <v>605</v>
      </c>
      <c r="AA246" s="41" t="s">
        <v>119</v>
      </c>
      <c r="AB246" s="41" t="s">
        <v>782</v>
      </c>
      <c r="AC246" s="40" t="s">
        <v>604</v>
      </c>
      <c r="AD246" s="41" t="s">
        <v>607</v>
      </c>
      <c r="AE246" s="41" t="s">
        <v>119</v>
      </c>
      <c r="AF246" s="41" t="s">
        <v>783</v>
      </c>
      <c r="AG246" s="41" t="s">
        <v>138</v>
      </c>
      <c r="AH246" s="41" t="s">
        <v>169</v>
      </c>
      <c r="AI246" s="41">
        <v>1</v>
      </c>
      <c r="AJ246" s="41">
        <v>1</v>
      </c>
      <c r="AK246" s="41">
        <v>0</v>
      </c>
      <c r="AL246" s="42">
        <v>0</v>
      </c>
      <c r="AM246" s="41" t="s">
        <v>144</v>
      </c>
      <c r="AN246" s="42">
        <v>0</v>
      </c>
      <c r="AO246" s="41" t="s">
        <v>104</v>
      </c>
      <c r="AP246" s="41" t="s">
        <v>541</v>
      </c>
      <c r="AQ246" s="41" t="s">
        <v>104</v>
      </c>
      <c r="AR246" s="41" t="s">
        <v>165</v>
      </c>
      <c r="AS246" s="41" t="s">
        <v>169</v>
      </c>
      <c r="AT246" s="41" t="s">
        <v>104</v>
      </c>
      <c r="AU246" s="41" t="s">
        <v>173</v>
      </c>
      <c r="AW246" s="41" t="s">
        <v>170</v>
      </c>
      <c r="AX246" s="41" t="s">
        <v>1677</v>
      </c>
      <c r="AY246" s="41" t="s">
        <v>2113</v>
      </c>
      <c r="AZ246" s="40"/>
      <c r="BA246" s="40"/>
    </row>
    <row r="247" spans="6:53" ht="29" x14ac:dyDescent="0.35">
      <c r="F247" s="40" t="s">
        <v>1242</v>
      </c>
      <c r="G247" s="85" t="s">
        <v>759</v>
      </c>
      <c r="H247" s="40" t="s">
        <v>759</v>
      </c>
      <c r="I247" s="41" t="s">
        <v>223</v>
      </c>
      <c r="J247" s="41" t="s">
        <v>601</v>
      </c>
      <c r="K247" s="41" t="s">
        <v>602</v>
      </c>
      <c r="L247" s="40" t="s">
        <v>603</v>
      </c>
      <c r="O247" s="40" t="s">
        <v>104</v>
      </c>
      <c r="P247" s="41" t="s">
        <v>104</v>
      </c>
      <c r="Q247" s="41" t="s">
        <v>104</v>
      </c>
      <c r="R247" s="41" t="s">
        <v>104</v>
      </c>
      <c r="S247" s="40" t="s">
        <v>169</v>
      </c>
      <c r="U247" s="41" t="s">
        <v>104</v>
      </c>
      <c r="V247" s="41" t="s">
        <v>104</v>
      </c>
      <c r="W247" s="41" t="s">
        <v>104</v>
      </c>
      <c r="X247" s="41" t="s">
        <v>104</v>
      </c>
      <c r="Y247" s="40" t="s">
        <v>604</v>
      </c>
      <c r="Z247" s="41" t="s">
        <v>605</v>
      </c>
      <c r="AA247" s="41" t="s">
        <v>119</v>
      </c>
      <c r="AB247" s="41" t="s">
        <v>782</v>
      </c>
      <c r="AC247" s="40" t="s">
        <v>604</v>
      </c>
      <c r="AD247" s="41" t="s">
        <v>607</v>
      </c>
      <c r="AE247" s="41" t="s">
        <v>119</v>
      </c>
      <c r="AF247" s="41" t="s">
        <v>783</v>
      </c>
      <c r="AG247" s="41" t="s">
        <v>138</v>
      </c>
      <c r="AH247" s="41" t="s">
        <v>169</v>
      </c>
      <c r="AI247" s="41">
        <v>1</v>
      </c>
      <c r="AJ247" s="41">
        <v>1</v>
      </c>
      <c r="AK247" s="41">
        <v>0</v>
      </c>
      <c r="AL247" s="42">
        <v>0</v>
      </c>
      <c r="AM247" s="41" t="s">
        <v>144</v>
      </c>
      <c r="AN247" s="42">
        <v>0</v>
      </c>
      <c r="AO247" s="41" t="s">
        <v>104</v>
      </c>
      <c r="AP247" s="41" t="s">
        <v>541</v>
      </c>
      <c r="AQ247" s="41" t="s">
        <v>104</v>
      </c>
      <c r="AR247" s="41" t="s">
        <v>165</v>
      </c>
      <c r="AS247" s="41" t="s">
        <v>169</v>
      </c>
      <c r="AT247" s="41" t="s">
        <v>104</v>
      </c>
      <c r="AU247" s="41" t="s">
        <v>173</v>
      </c>
      <c r="AW247" s="41" t="s">
        <v>170</v>
      </c>
      <c r="AX247" s="41" t="s">
        <v>1678</v>
      </c>
      <c r="AY247" s="41" t="s">
        <v>2114</v>
      </c>
      <c r="AZ247" s="40"/>
      <c r="BA247" s="40"/>
    </row>
    <row r="248" spans="6:53" ht="29" x14ac:dyDescent="0.35">
      <c r="F248" s="40" t="s">
        <v>1243</v>
      </c>
      <c r="G248" s="85" t="s">
        <v>760</v>
      </c>
      <c r="H248" s="40" t="s">
        <v>760</v>
      </c>
      <c r="I248" s="41" t="s">
        <v>223</v>
      </c>
      <c r="J248" s="41" t="s">
        <v>601</v>
      </c>
      <c r="K248" s="41" t="s">
        <v>602</v>
      </c>
      <c r="L248" s="40" t="s">
        <v>603</v>
      </c>
      <c r="O248" s="40" t="s">
        <v>104</v>
      </c>
      <c r="P248" s="41" t="s">
        <v>104</v>
      </c>
      <c r="Q248" s="41" t="s">
        <v>104</v>
      </c>
      <c r="R248" s="41" t="s">
        <v>104</v>
      </c>
      <c r="S248" s="40" t="s">
        <v>169</v>
      </c>
      <c r="U248" s="41" t="s">
        <v>104</v>
      </c>
      <c r="V248" s="41" t="s">
        <v>104</v>
      </c>
      <c r="W248" s="41" t="s">
        <v>112</v>
      </c>
      <c r="X248" s="41" t="s">
        <v>104</v>
      </c>
      <c r="Y248" s="40" t="s">
        <v>604</v>
      </c>
      <c r="Z248" s="41" t="s">
        <v>605</v>
      </c>
      <c r="AA248" s="41" t="s">
        <v>119</v>
      </c>
      <c r="AB248" s="41" t="s">
        <v>782</v>
      </c>
      <c r="AC248" s="40" t="s">
        <v>604</v>
      </c>
      <c r="AD248" s="41" t="s">
        <v>607</v>
      </c>
      <c r="AE248" s="41" t="s">
        <v>119</v>
      </c>
      <c r="AF248" s="41" t="s">
        <v>783</v>
      </c>
      <c r="AG248" s="41" t="s">
        <v>138</v>
      </c>
      <c r="AH248" s="41" t="s">
        <v>169</v>
      </c>
      <c r="AI248" s="41">
        <v>3</v>
      </c>
      <c r="AJ248" s="41">
        <v>3</v>
      </c>
      <c r="AK248" s="41">
        <v>0</v>
      </c>
      <c r="AL248" s="42">
        <v>0</v>
      </c>
      <c r="AM248" s="41" t="s">
        <v>144</v>
      </c>
      <c r="AN248" s="42">
        <v>0</v>
      </c>
      <c r="AO248" s="41" t="s">
        <v>104</v>
      </c>
      <c r="AP248" s="41" t="s">
        <v>541</v>
      </c>
      <c r="AQ248" s="41" t="s">
        <v>104</v>
      </c>
      <c r="AR248" s="41" t="s">
        <v>165</v>
      </c>
      <c r="AS248" s="41" t="s">
        <v>169</v>
      </c>
      <c r="AT248" s="41" t="s">
        <v>104</v>
      </c>
      <c r="AU248" s="41" t="s">
        <v>173</v>
      </c>
      <c r="AW248" s="41" t="s">
        <v>170</v>
      </c>
      <c r="AX248" s="41" t="s">
        <v>1679</v>
      </c>
      <c r="AY248" s="41" t="s">
        <v>2115</v>
      </c>
      <c r="AZ248" s="40"/>
      <c r="BA248" s="40"/>
    </row>
    <row r="249" spans="6:53" ht="29" x14ac:dyDescent="0.35">
      <c r="F249" s="40" t="s">
        <v>1244</v>
      </c>
      <c r="G249" s="85" t="s">
        <v>753</v>
      </c>
      <c r="H249" s="40" t="s">
        <v>753</v>
      </c>
      <c r="I249" s="41" t="s">
        <v>223</v>
      </c>
      <c r="J249" s="41" t="s">
        <v>601</v>
      </c>
      <c r="K249" s="41" t="s">
        <v>602</v>
      </c>
      <c r="L249" s="40" t="s">
        <v>603</v>
      </c>
      <c r="O249" s="40" t="s">
        <v>104</v>
      </c>
      <c r="P249" s="41" t="s">
        <v>104</v>
      </c>
      <c r="Q249" s="41" t="s">
        <v>104</v>
      </c>
      <c r="R249" s="41" t="s">
        <v>104</v>
      </c>
      <c r="S249" s="40" t="s">
        <v>169</v>
      </c>
      <c r="T249" s="41" t="s">
        <v>754</v>
      </c>
      <c r="U249" s="41" t="s">
        <v>104</v>
      </c>
      <c r="V249" s="41" t="s">
        <v>104</v>
      </c>
      <c r="W249" s="41" t="s">
        <v>104</v>
      </c>
      <c r="X249" s="41" t="s">
        <v>104</v>
      </c>
      <c r="Y249" s="40" t="s">
        <v>604</v>
      </c>
      <c r="Z249" s="41" t="s">
        <v>605</v>
      </c>
      <c r="AA249" s="41" t="s">
        <v>119</v>
      </c>
      <c r="AB249" s="41" t="s">
        <v>784</v>
      </c>
      <c r="AC249" s="40" t="s">
        <v>604</v>
      </c>
      <c r="AD249" s="41" t="s">
        <v>607</v>
      </c>
      <c r="AE249" s="41" t="s">
        <v>119</v>
      </c>
      <c r="AF249" s="41" t="s">
        <v>785</v>
      </c>
      <c r="AG249" s="41" t="s">
        <v>138</v>
      </c>
      <c r="AH249" s="41" t="s">
        <v>169</v>
      </c>
      <c r="AI249" s="41">
        <v>1</v>
      </c>
      <c r="AJ249" s="41">
        <v>1</v>
      </c>
      <c r="AK249" s="41">
        <v>0</v>
      </c>
      <c r="AL249" s="42">
        <v>0</v>
      </c>
      <c r="AM249" s="41" t="s">
        <v>144</v>
      </c>
      <c r="AN249" s="42">
        <v>0</v>
      </c>
      <c r="AO249" s="41" t="s">
        <v>104</v>
      </c>
      <c r="AP249" s="41" t="s">
        <v>541</v>
      </c>
      <c r="AQ249" s="41" t="s">
        <v>104</v>
      </c>
      <c r="AR249" s="41" t="s">
        <v>165</v>
      </c>
      <c r="AS249" s="41" t="s">
        <v>169</v>
      </c>
      <c r="AT249" s="41" t="s">
        <v>104</v>
      </c>
      <c r="AU249" s="41" t="s">
        <v>173</v>
      </c>
      <c r="AW249" s="41" t="s">
        <v>170</v>
      </c>
      <c r="AX249" s="41" t="s">
        <v>1680</v>
      </c>
      <c r="AY249" s="41" t="s">
        <v>2116</v>
      </c>
      <c r="AZ249" s="40"/>
      <c r="BA249" s="40"/>
    </row>
    <row r="250" spans="6:53" ht="29" x14ac:dyDescent="0.35">
      <c r="F250" s="40" t="s">
        <v>1245</v>
      </c>
      <c r="G250" s="85" t="s">
        <v>757</v>
      </c>
      <c r="H250" s="40" t="s">
        <v>757</v>
      </c>
      <c r="I250" s="41" t="s">
        <v>223</v>
      </c>
      <c r="J250" s="41" t="s">
        <v>601</v>
      </c>
      <c r="K250" s="41" t="s">
        <v>602</v>
      </c>
      <c r="L250" s="40" t="s">
        <v>603</v>
      </c>
      <c r="O250" s="40" t="s">
        <v>104</v>
      </c>
      <c r="P250" s="41" t="s">
        <v>104</v>
      </c>
      <c r="Q250" s="41" t="s">
        <v>104</v>
      </c>
      <c r="R250" s="41" t="s">
        <v>104</v>
      </c>
      <c r="S250" s="40" t="s">
        <v>169</v>
      </c>
      <c r="T250" s="41" t="s">
        <v>758</v>
      </c>
      <c r="U250" s="41" t="s">
        <v>104</v>
      </c>
      <c r="V250" s="41" t="s">
        <v>104</v>
      </c>
      <c r="W250" s="41" t="s">
        <v>104</v>
      </c>
      <c r="X250" s="41" t="s">
        <v>104</v>
      </c>
      <c r="Y250" s="40" t="s">
        <v>604</v>
      </c>
      <c r="Z250" s="41" t="s">
        <v>605</v>
      </c>
      <c r="AA250" s="41" t="s">
        <v>119</v>
      </c>
      <c r="AB250" s="41" t="s">
        <v>784</v>
      </c>
      <c r="AC250" s="40" t="s">
        <v>604</v>
      </c>
      <c r="AD250" s="41" t="s">
        <v>607</v>
      </c>
      <c r="AE250" s="41" t="s">
        <v>119</v>
      </c>
      <c r="AF250" s="41" t="s">
        <v>785</v>
      </c>
      <c r="AG250" s="41" t="s">
        <v>138</v>
      </c>
      <c r="AH250" s="41" t="s">
        <v>169</v>
      </c>
      <c r="AI250" s="41">
        <v>1</v>
      </c>
      <c r="AJ250" s="41">
        <v>1</v>
      </c>
      <c r="AK250" s="41">
        <v>0</v>
      </c>
      <c r="AL250" s="42">
        <v>0</v>
      </c>
      <c r="AM250" s="41" t="s">
        <v>144</v>
      </c>
      <c r="AN250" s="42">
        <v>0</v>
      </c>
      <c r="AO250" s="41" t="s">
        <v>104</v>
      </c>
      <c r="AP250" s="41" t="s">
        <v>541</v>
      </c>
      <c r="AQ250" s="41" t="s">
        <v>104</v>
      </c>
      <c r="AR250" s="41" t="s">
        <v>165</v>
      </c>
      <c r="AS250" s="41" t="s">
        <v>169</v>
      </c>
      <c r="AT250" s="41" t="s">
        <v>104</v>
      </c>
      <c r="AU250" s="41" t="s">
        <v>173</v>
      </c>
      <c r="AW250" s="41" t="s">
        <v>170</v>
      </c>
      <c r="AX250" s="41" t="s">
        <v>1681</v>
      </c>
      <c r="AY250" s="41" t="s">
        <v>2117</v>
      </c>
      <c r="AZ250" s="40"/>
      <c r="BA250" s="40"/>
    </row>
    <row r="251" spans="6:53" ht="29" x14ac:dyDescent="0.35">
      <c r="F251" s="40" t="s">
        <v>1246</v>
      </c>
      <c r="G251" s="85" t="s">
        <v>616</v>
      </c>
      <c r="H251" s="40" t="s">
        <v>616</v>
      </c>
      <c r="I251" s="41" t="s">
        <v>223</v>
      </c>
      <c r="J251" s="41" t="s">
        <v>601</v>
      </c>
      <c r="K251" s="41" t="s">
        <v>602</v>
      </c>
      <c r="L251" s="40" t="s">
        <v>603</v>
      </c>
      <c r="O251" s="40" t="s">
        <v>104</v>
      </c>
      <c r="P251" s="41" t="s">
        <v>104</v>
      </c>
      <c r="Q251" s="41" t="s">
        <v>104</v>
      </c>
      <c r="R251" s="41" t="s">
        <v>104</v>
      </c>
      <c r="S251" s="40" t="s">
        <v>169</v>
      </c>
      <c r="U251" s="41" t="s">
        <v>104</v>
      </c>
      <c r="V251" s="41" t="s">
        <v>104</v>
      </c>
      <c r="W251" s="41" t="s">
        <v>104</v>
      </c>
      <c r="X251" s="41" t="s">
        <v>104</v>
      </c>
      <c r="Y251" s="40" t="s">
        <v>604</v>
      </c>
      <c r="Z251" s="41" t="s">
        <v>605</v>
      </c>
      <c r="AA251" s="41" t="s">
        <v>119</v>
      </c>
      <c r="AB251" s="41" t="s">
        <v>784</v>
      </c>
      <c r="AC251" s="40" t="s">
        <v>604</v>
      </c>
      <c r="AD251" s="41" t="s">
        <v>607</v>
      </c>
      <c r="AE251" s="41" t="s">
        <v>119</v>
      </c>
      <c r="AF251" s="41" t="s">
        <v>785</v>
      </c>
      <c r="AG251" s="41" t="s">
        <v>138</v>
      </c>
      <c r="AH251" s="41" t="s">
        <v>169</v>
      </c>
      <c r="AI251" s="41">
        <v>1</v>
      </c>
      <c r="AJ251" s="41">
        <v>1</v>
      </c>
      <c r="AK251" s="41">
        <v>0</v>
      </c>
      <c r="AL251" s="42">
        <v>0</v>
      </c>
      <c r="AM251" s="41" t="s">
        <v>144</v>
      </c>
      <c r="AN251" s="42">
        <v>0</v>
      </c>
      <c r="AO251" s="41" t="s">
        <v>104</v>
      </c>
      <c r="AP251" s="41" t="s">
        <v>541</v>
      </c>
      <c r="AQ251" s="41" t="s">
        <v>104</v>
      </c>
      <c r="AR251" s="41" t="s">
        <v>165</v>
      </c>
      <c r="AS251" s="41" t="s">
        <v>169</v>
      </c>
      <c r="AT251" s="41" t="s">
        <v>104</v>
      </c>
      <c r="AU251" s="41" t="s">
        <v>173</v>
      </c>
      <c r="AW251" s="41" t="s">
        <v>170</v>
      </c>
      <c r="AX251" s="41" t="s">
        <v>1682</v>
      </c>
      <c r="AY251" s="41" t="s">
        <v>2118</v>
      </c>
      <c r="AZ251" s="40"/>
      <c r="BA251" s="40"/>
    </row>
    <row r="252" spans="6:53" ht="29" x14ac:dyDescent="0.35">
      <c r="F252" s="40" t="s">
        <v>1247</v>
      </c>
      <c r="G252" s="85" t="s">
        <v>759</v>
      </c>
      <c r="H252" s="40" t="s">
        <v>759</v>
      </c>
      <c r="I252" s="41" t="s">
        <v>223</v>
      </c>
      <c r="J252" s="41" t="s">
        <v>601</v>
      </c>
      <c r="K252" s="41" t="s">
        <v>602</v>
      </c>
      <c r="L252" s="40" t="s">
        <v>603</v>
      </c>
      <c r="O252" s="40" t="s">
        <v>104</v>
      </c>
      <c r="P252" s="41" t="s">
        <v>104</v>
      </c>
      <c r="Q252" s="41" t="s">
        <v>104</v>
      </c>
      <c r="R252" s="41" t="s">
        <v>104</v>
      </c>
      <c r="S252" s="40" t="s">
        <v>169</v>
      </c>
      <c r="U252" s="41" t="s">
        <v>104</v>
      </c>
      <c r="V252" s="41" t="s">
        <v>104</v>
      </c>
      <c r="W252" s="41" t="s">
        <v>104</v>
      </c>
      <c r="X252" s="41" t="s">
        <v>104</v>
      </c>
      <c r="Y252" s="40" t="s">
        <v>604</v>
      </c>
      <c r="Z252" s="41" t="s">
        <v>605</v>
      </c>
      <c r="AA252" s="41" t="s">
        <v>119</v>
      </c>
      <c r="AB252" s="41" t="s">
        <v>784</v>
      </c>
      <c r="AC252" s="40" t="s">
        <v>604</v>
      </c>
      <c r="AD252" s="41" t="s">
        <v>607</v>
      </c>
      <c r="AE252" s="41" t="s">
        <v>119</v>
      </c>
      <c r="AF252" s="41" t="s">
        <v>785</v>
      </c>
      <c r="AG252" s="41" t="s">
        <v>138</v>
      </c>
      <c r="AH252" s="41" t="s">
        <v>169</v>
      </c>
      <c r="AI252" s="41">
        <v>1</v>
      </c>
      <c r="AJ252" s="41">
        <v>1</v>
      </c>
      <c r="AK252" s="41">
        <v>0</v>
      </c>
      <c r="AL252" s="42">
        <v>0</v>
      </c>
      <c r="AM252" s="41" t="s">
        <v>144</v>
      </c>
      <c r="AN252" s="42">
        <v>0</v>
      </c>
      <c r="AO252" s="41" t="s">
        <v>104</v>
      </c>
      <c r="AP252" s="41" t="s">
        <v>541</v>
      </c>
      <c r="AQ252" s="41" t="s">
        <v>104</v>
      </c>
      <c r="AR252" s="41" t="s">
        <v>165</v>
      </c>
      <c r="AS252" s="41" t="s">
        <v>169</v>
      </c>
      <c r="AT252" s="41" t="s">
        <v>104</v>
      </c>
      <c r="AU252" s="41" t="s">
        <v>173</v>
      </c>
      <c r="AW252" s="41" t="s">
        <v>170</v>
      </c>
      <c r="AX252" s="41" t="s">
        <v>1683</v>
      </c>
      <c r="AY252" s="41" t="s">
        <v>2119</v>
      </c>
      <c r="AZ252" s="40"/>
      <c r="BA252" s="40"/>
    </row>
    <row r="253" spans="6:53" ht="29" x14ac:dyDescent="0.35">
      <c r="F253" s="40" t="s">
        <v>1248</v>
      </c>
      <c r="G253" s="85" t="s">
        <v>760</v>
      </c>
      <c r="H253" s="40" t="s">
        <v>760</v>
      </c>
      <c r="I253" s="41" t="s">
        <v>223</v>
      </c>
      <c r="J253" s="41" t="s">
        <v>601</v>
      </c>
      <c r="K253" s="41" t="s">
        <v>602</v>
      </c>
      <c r="L253" s="40" t="s">
        <v>603</v>
      </c>
      <c r="O253" s="40" t="s">
        <v>104</v>
      </c>
      <c r="P253" s="41" t="s">
        <v>104</v>
      </c>
      <c r="Q253" s="41" t="s">
        <v>104</v>
      </c>
      <c r="R253" s="41" t="s">
        <v>104</v>
      </c>
      <c r="S253" s="40" t="s">
        <v>169</v>
      </c>
      <c r="U253" s="41" t="s">
        <v>104</v>
      </c>
      <c r="V253" s="41" t="s">
        <v>104</v>
      </c>
      <c r="W253" s="41" t="s">
        <v>112</v>
      </c>
      <c r="X253" s="41" t="s">
        <v>104</v>
      </c>
      <c r="Y253" s="40" t="s">
        <v>604</v>
      </c>
      <c r="Z253" s="41" t="s">
        <v>605</v>
      </c>
      <c r="AA253" s="41" t="s">
        <v>119</v>
      </c>
      <c r="AB253" s="41" t="s">
        <v>784</v>
      </c>
      <c r="AC253" s="40" t="s">
        <v>604</v>
      </c>
      <c r="AD253" s="41" t="s">
        <v>607</v>
      </c>
      <c r="AE253" s="41" t="s">
        <v>119</v>
      </c>
      <c r="AF253" s="41" t="s">
        <v>785</v>
      </c>
      <c r="AG253" s="41" t="s">
        <v>138</v>
      </c>
      <c r="AH253" s="41" t="s">
        <v>169</v>
      </c>
      <c r="AI253" s="41">
        <v>3</v>
      </c>
      <c r="AJ253" s="41">
        <v>3</v>
      </c>
      <c r="AK253" s="41">
        <v>0</v>
      </c>
      <c r="AL253" s="42">
        <v>0</v>
      </c>
      <c r="AM253" s="41" t="s">
        <v>144</v>
      </c>
      <c r="AN253" s="42">
        <v>0</v>
      </c>
      <c r="AO253" s="41" t="s">
        <v>104</v>
      </c>
      <c r="AP253" s="41" t="s">
        <v>541</v>
      </c>
      <c r="AQ253" s="41" t="s">
        <v>104</v>
      </c>
      <c r="AR253" s="41" t="s">
        <v>165</v>
      </c>
      <c r="AS253" s="41" t="s">
        <v>169</v>
      </c>
      <c r="AT253" s="41" t="s">
        <v>104</v>
      </c>
      <c r="AU253" s="41" t="s">
        <v>173</v>
      </c>
      <c r="AW253" s="41" t="s">
        <v>170</v>
      </c>
      <c r="AX253" s="41" t="s">
        <v>1684</v>
      </c>
      <c r="AY253" s="41" t="s">
        <v>2120</v>
      </c>
      <c r="AZ253" s="40"/>
      <c r="BA253" s="40"/>
    </row>
    <row r="254" spans="6:53" ht="29" x14ac:dyDescent="0.35">
      <c r="F254" s="40" t="s">
        <v>1249</v>
      </c>
      <c r="G254" s="85" t="s">
        <v>786</v>
      </c>
      <c r="H254" s="40" t="s">
        <v>786</v>
      </c>
      <c r="I254" s="41" t="s">
        <v>223</v>
      </c>
      <c r="J254" s="41" t="s">
        <v>601</v>
      </c>
      <c r="K254" s="41" t="s">
        <v>602</v>
      </c>
      <c r="L254" s="40" t="s">
        <v>603</v>
      </c>
      <c r="O254" s="40" t="s">
        <v>104</v>
      </c>
      <c r="P254" s="41" t="s">
        <v>104</v>
      </c>
      <c r="Q254" s="41" t="s">
        <v>104</v>
      </c>
      <c r="R254" s="41" t="s">
        <v>104</v>
      </c>
      <c r="S254" s="40" t="s">
        <v>169</v>
      </c>
      <c r="U254" s="41" t="s">
        <v>104</v>
      </c>
      <c r="V254" s="41" t="s">
        <v>104</v>
      </c>
      <c r="W254" s="41" t="s">
        <v>104</v>
      </c>
      <c r="X254" s="41" t="s">
        <v>104</v>
      </c>
      <c r="Y254" s="40" t="s">
        <v>604</v>
      </c>
      <c r="Z254" s="41" t="s">
        <v>605</v>
      </c>
      <c r="AA254" s="41" t="s">
        <v>119</v>
      </c>
      <c r="AB254" s="41" t="s">
        <v>784</v>
      </c>
      <c r="AC254" s="40" t="s">
        <v>604</v>
      </c>
      <c r="AD254" s="41" t="s">
        <v>607</v>
      </c>
      <c r="AE254" s="41" t="s">
        <v>119</v>
      </c>
      <c r="AF254" s="41" t="s">
        <v>785</v>
      </c>
      <c r="AG254" s="41" t="s">
        <v>138</v>
      </c>
      <c r="AH254" s="41" t="s">
        <v>169</v>
      </c>
      <c r="AI254" s="41">
        <v>2</v>
      </c>
      <c r="AJ254" s="41">
        <v>2</v>
      </c>
      <c r="AK254" s="41">
        <v>0</v>
      </c>
      <c r="AL254" s="42">
        <v>0</v>
      </c>
      <c r="AM254" s="41" t="s">
        <v>144</v>
      </c>
      <c r="AN254" s="42">
        <v>0</v>
      </c>
      <c r="AO254" s="41" t="s">
        <v>104</v>
      </c>
      <c r="AP254" s="41" t="s">
        <v>541</v>
      </c>
      <c r="AQ254" s="41" t="s">
        <v>104</v>
      </c>
      <c r="AR254" s="41" t="s">
        <v>165</v>
      </c>
      <c r="AS254" s="41" t="s">
        <v>169</v>
      </c>
      <c r="AT254" s="41" t="s">
        <v>104</v>
      </c>
      <c r="AU254" s="41" t="s">
        <v>173</v>
      </c>
      <c r="AW254" s="41" t="s">
        <v>170</v>
      </c>
      <c r="AX254" s="41" t="s">
        <v>1685</v>
      </c>
      <c r="AY254" s="41" t="s">
        <v>2121</v>
      </c>
      <c r="AZ254" s="40"/>
      <c r="BA254" s="40"/>
    </row>
    <row r="255" spans="6:53" ht="29" x14ac:dyDescent="0.35">
      <c r="F255" s="40" t="s">
        <v>1250</v>
      </c>
      <c r="G255" s="85" t="s">
        <v>656</v>
      </c>
      <c r="H255" s="40" t="s">
        <v>656</v>
      </c>
      <c r="I255" s="41" t="s">
        <v>223</v>
      </c>
      <c r="J255" s="41" t="s">
        <v>601</v>
      </c>
      <c r="K255" s="41" t="s">
        <v>602</v>
      </c>
      <c r="L255" s="40" t="s">
        <v>603</v>
      </c>
      <c r="O255" s="40" t="s">
        <v>104</v>
      </c>
      <c r="P255" s="41" t="s">
        <v>104</v>
      </c>
      <c r="Q255" s="41" t="s">
        <v>104</v>
      </c>
      <c r="R255" s="41" t="s">
        <v>104</v>
      </c>
      <c r="S255" s="40" t="s">
        <v>169</v>
      </c>
      <c r="U255" s="41" t="s">
        <v>104</v>
      </c>
      <c r="V255" s="41" t="s">
        <v>104</v>
      </c>
      <c r="W255" s="41" t="s">
        <v>104</v>
      </c>
      <c r="X255" s="41" t="s">
        <v>104</v>
      </c>
      <c r="Y255" s="40" t="s">
        <v>604</v>
      </c>
      <c r="Z255" s="41" t="s">
        <v>605</v>
      </c>
      <c r="AA255" s="41" t="s">
        <v>119</v>
      </c>
      <c r="AB255" s="41" t="s">
        <v>784</v>
      </c>
      <c r="AC255" s="40" t="s">
        <v>604</v>
      </c>
      <c r="AD255" s="41" t="s">
        <v>607</v>
      </c>
      <c r="AE255" s="41" t="s">
        <v>119</v>
      </c>
      <c r="AF255" s="41" t="s">
        <v>785</v>
      </c>
      <c r="AG255" s="41" t="s">
        <v>138</v>
      </c>
      <c r="AH255" s="41" t="s">
        <v>169</v>
      </c>
      <c r="AI255" s="41">
        <v>1</v>
      </c>
      <c r="AJ255" s="41">
        <v>1</v>
      </c>
      <c r="AK255" s="41">
        <v>0</v>
      </c>
      <c r="AL255" s="42">
        <v>0</v>
      </c>
      <c r="AM255" s="41" t="s">
        <v>144</v>
      </c>
      <c r="AN255" s="42">
        <v>0</v>
      </c>
      <c r="AO255" s="41" t="s">
        <v>104</v>
      </c>
      <c r="AP255" s="41" t="s">
        <v>541</v>
      </c>
      <c r="AQ255" s="41" t="s">
        <v>104</v>
      </c>
      <c r="AR255" s="41" t="s">
        <v>165</v>
      </c>
      <c r="AS255" s="41" t="s">
        <v>169</v>
      </c>
      <c r="AT255" s="41" t="s">
        <v>104</v>
      </c>
      <c r="AU255" s="41" t="s">
        <v>173</v>
      </c>
      <c r="AW255" s="41" t="s">
        <v>170</v>
      </c>
      <c r="AX255" s="41" t="s">
        <v>1686</v>
      </c>
      <c r="AY255" s="41" t="s">
        <v>2122</v>
      </c>
      <c r="AZ255" s="40"/>
      <c r="BA255" s="40"/>
    </row>
    <row r="256" spans="6:53" ht="29" x14ac:dyDescent="0.35">
      <c r="F256" s="40" t="s">
        <v>1251</v>
      </c>
      <c r="G256" s="85" t="s">
        <v>761</v>
      </c>
      <c r="H256" s="40" t="s">
        <v>761</v>
      </c>
      <c r="I256" s="41" t="s">
        <v>223</v>
      </c>
      <c r="J256" s="41" t="s">
        <v>601</v>
      </c>
      <c r="K256" s="41" t="s">
        <v>602</v>
      </c>
      <c r="L256" s="40" t="s">
        <v>603</v>
      </c>
      <c r="O256" s="40" t="s">
        <v>104</v>
      </c>
      <c r="P256" s="41" t="s">
        <v>104</v>
      </c>
      <c r="Q256" s="41" t="s">
        <v>104</v>
      </c>
      <c r="R256" s="41" t="s">
        <v>104</v>
      </c>
      <c r="S256" s="40" t="s">
        <v>169</v>
      </c>
      <c r="T256" s="41" t="s">
        <v>754</v>
      </c>
      <c r="U256" s="41" t="s">
        <v>104</v>
      </c>
      <c r="V256" s="41" t="s">
        <v>104</v>
      </c>
      <c r="W256" s="41" t="s">
        <v>104</v>
      </c>
      <c r="X256" s="41" t="s">
        <v>104</v>
      </c>
      <c r="Y256" s="40" t="s">
        <v>604</v>
      </c>
      <c r="Z256" s="41" t="s">
        <v>605</v>
      </c>
      <c r="AA256" s="41" t="s">
        <v>119</v>
      </c>
      <c r="AB256" s="41" t="s">
        <v>787</v>
      </c>
      <c r="AC256" s="40" t="s">
        <v>604</v>
      </c>
      <c r="AD256" s="41" t="s">
        <v>607</v>
      </c>
      <c r="AE256" s="41" t="s">
        <v>119</v>
      </c>
      <c r="AF256" s="41" t="s">
        <v>788</v>
      </c>
      <c r="AG256" s="41" t="s">
        <v>138</v>
      </c>
      <c r="AH256" s="41" t="s">
        <v>169</v>
      </c>
      <c r="AI256" s="41">
        <v>1</v>
      </c>
      <c r="AJ256" s="41">
        <v>1</v>
      </c>
      <c r="AK256" s="41">
        <v>0</v>
      </c>
      <c r="AL256" s="42">
        <v>0</v>
      </c>
      <c r="AM256" s="41" t="s">
        <v>144</v>
      </c>
      <c r="AN256" s="42">
        <v>0</v>
      </c>
      <c r="AO256" s="41" t="s">
        <v>104</v>
      </c>
      <c r="AP256" s="41" t="s">
        <v>541</v>
      </c>
      <c r="AQ256" s="41" t="s">
        <v>104</v>
      </c>
      <c r="AR256" s="41" t="s">
        <v>165</v>
      </c>
      <c r="AS256" s="41" t="s">
        <v>169</v>
      </c>
      <c r="AT256" s="41" t="s">
        <v>104</v>
      </c>
      <c r="AU256" s="41" t="s">
        <v>173</v>
      </c>
      <c r="AW256" s="41" t="s">
        <v>170</v>
      </c>
      <c r="AX256" s="41" t="s">
        <v>1687</v>
      </c>
      <c r="AY256" s="41" t="s">
        <v>2123</v>
      </c>
      <c r="AZ256" s="40"/>
      <c r="BA256" s="40"/>
    </row>
    <row r="257" spans="6:53" ht="29" x14ac:dyDescent="0.35">
      <c r="F257" s="40" t="s">
        <v>1252</v>
      </c>
      <c r="G257" s="85" t="s">
        <v>764</v>
      </c>
      <c r="H257" s="40" t="s">
        <v>764</v>
      </c>
      <c r="I257" s="41" t="s">
        <v>223</v>
      </c>
      <c r="J257" s="41" t="s">
        <v>601</v>
      </c>
      <c r="K257" s="41" t="s">
        <v>602</v>
      </c>
      <c r="L257" s="40" t="s">
        <v>603</v>
      </c>
      <c r="O257" s="40" t="s">
        <v>104</v>
      </c>
      <c r="P257" s="41" t="s">
        <v>104</v>
      </c>
      <c r="Q257" s="41" t="s">
        <v>104</v>
      </c>
      <c r="R257" s="41" t="s">
        <v>104</v>
      </c>
      <c r="S257" s="40" t="s">
        <v>169</v>
      </c>
      <c r="T257" s="41" t="s">
        <v>758</v>
      </c>
      <c r="U257" s="41" t="s">
        <v>104</v>
      </c>
      <c r="V257" s="41" t="s">
        <v>104</v>
      </c>
      <c r="W257" s="41" t="s">
        <v>104</v>
      </c>
      <c r="X257" s="41" t="s">
        <v>104</v>
      </c>
      <c r="Y257" s="40" t="s">
        <v>604</v>
      </c>
      <c r="Z257" s="41" t="s">
        <v>605</v>
      </c>
      <c r="AA257" s="41" t="s">
        <v>119</v>
      </c>
      <c r="AB257" s="41" t="s">
        <v>787</v>
      </c>
      <c r="AC257" s="40" t="s">
        <v>604</v>
      </c>
      <c r="AD257" s="41" t="s">
        <v>607</v>
      </c>
      <c r="AE257" s="41" t="s">
        <v>119</v>
      </c>
      <c r="AF257" s="41" t="s">
        <v>788</v>
      </c>
      <c r="AG257" s="41" t="s">
        <v>138</v>
      </c>
      <c r="AH257" s="41" t="s">
        <v>169</v>
      </c>
      <c r="AI257" s="41">
        <v>1</v>
      </c>
      <c r="AJ257" s="41">
        <v>1</v>
      </c>
      <c r="AK257" s="41">
        <v>0</v>
      </c>
      <c r="AL257" s="42">
        <v>0</v>
      </c>
      <c r="AM257" s="41" t="s">
        <v>144</v>
      </c>
      <c r="AN257" s="42">
        <v>0</v>
      </c>
      <c r="AO257" s="41" t="s">
        <v>104</v>
      </c>
      <c r="AP257" s="41" t="s">
        <v>541</v>
      </c>
      <c r="AQ257" s="41" t="s">
        <v>104</v>
      </c>
      <c r="AR257" s="41" t="s">
        <v>165</v>
      </c>
      <c r="AS257" s="41" t="s">
        <v>169</v>
      </c>
      <c r="AT257" s="41" t="s">
        <v>104</v>
      </c>
      <c r="AU257" s="41" t="s">
        <v>173</v>
      </c>
      <c r="AW257" s="41" t="s">
        <v>170</v>
      </c>
      <c r="AX257" s="41" t="s">
        <v>1688</v>
      </c>
      <c r="AY257" s="41" t="s">
        <v>2124</v>
      </c>
      <c r="AZ257" s="40"/>
      <c r="BA257" s="40"/>
    </row>
    <row r="258" spans="6:53" ht="29" x14ac:dyDescent="0.35">
      <c r="F258" s="40" t="s">
        <v>1253</v>
      </c>
      <c r="G258" s="85" t="s">
        <v>616</v>
      </c>
      <c r="H258" s="40" t="s">
        <v>616</v>
      </c>
      <c r="I258" s="41" t="s">
        <v>223</v>
      </c>
      <c r="J258" s="41" t="s">
        <v>601</v>
      </c>
      <c r="K258" s="41" t="s">
        <v>602</v>
      </c>
      <c r="L258" s="40" t="s">
        <v>603</v>
      </c>
      <c r="O258" s="40" t="s">
        <v>104</v>
      </c>
      <c r="P258" s="41" t="s">
        <v>104</v>
      </c>
      <c r="Q258" s="41" t="s">
        <v>104</v>
      </c>
      <c r="R258" s="41" t="s">
        <v>104</v>
      </c>
      <c r="S258" s="40" t="s">
        <v>169</v>
      </c>
      <c r="U258" s="41" t="s">
        <v>104</v>
      </c>
      <c r="V258" s="41" t="s">
        <v>104</v>
      </c>
      <c r="W258" s="41" t="s">
        <v>104</v>
      </c>
      <c r="X258" s="41" t="s">
        <v>104</v>
      </c>
      <c r="Y258" s="40" t="s">
        <v>604</v>
      </c>
      <c r="Z258" s="41" t="s">
        <v>605</v>
      </c>
      <c r="AA258" s="41" t="s">
        <v>119</v>
      </c>
      <c r="AB258" s="41" t="s">
        <v>787</v>
      </c>
      <c r="AC258" s="40" t="s">
        <v>604</v>
      </c>
      <c r="AD258" s="41" t="s">
        <v>607</v>
      </c>
      <c r="AE258" s="41" t="s">
        <v>119</v>
      </c>
      <c r="AF258" s="41" t="s">
        <v>788</v>
      </c>
      <c r="AG258" s="41" t="s">
        <v>138</v>
      </c>
      <c r="AH258" s="41" t="s">
        <v>169</v>
      </c>
      <c r="AI258" s="41">
        <v>1</v>
      </c>
      <c r="AJ258" s="41">
        <v>1</v>
      </c>
      <c r="AK258" s="41">
        <v>0</v>
      </c>
      <c r="AL258" s="42">
        <v>0</v>
      </c>
      <c r="AM258" s="41" t="s">
        <v>144</v>
      </c>
      <c r="AN258" s="42">
        <v>0</v>
      </c>
      <c r="AO258" s="41" t="s">
        <v>104</v>
      </c>
      <c r="AP258" s="41" t="s">
        <v>541</v>
      </c>
      <c r="AQ258" s="41" t="s">
        <v>104</v>
      </c>
      <c r="AR258" s="41" t="s">
        <v>165</v>
      </c>
      <c r="AS258" s="41" t="s">
        <v>169</v>
      </c>
      <c r="AT258" s="41" t="s">
        <v>104</v>
      </c>
      <c r="AU258" s="41" t="s">
        <v>173</v>
      </c>
      <c r="AW258" s="41" t="s">
        <v>170</v>
      </c>
      <c r="AX258" s="41" t="s">
        <v>1689</v>
      </c>
      <c r="AY258" s="41" t="s">
        <v>2125</v>
      </c>
      <c r="AZ258" s="40"/>
      <c r="BA258" s="40"/>
    </row>
    <row r="259" spans="6:53" ht="29" x14ac:dyDescent="0.35">
      <c r="F259" s="40" t="s">
        <v>1254</v>
      </c>
      <c r="G259" s="85" t="s">
        <v>759</v>
      </c>
      <c r="H259" s="40" t="s">
        <v>759</v>
      </c>
      <c r="I259" s="41" t="s">
        <v>223</v>
      </c>
      <c r="J259" s="41" t="s">
        <v>601</v>
      </c>
      <c r="K259" s="41" t="s">
        <v>602</v>
      </c>
      <c r="L259" s="40" t="s">
        <v>603</v>
      </c>
      <c r="O259" s="40" t="s">
        <v>104</v>
      </c>
      <c r="P259" s="41" t="s">
        <v>104</v>
      </c>
      <c r="Q259" s="41" t="s">
        <v>104</v>
      </c>
      <c r="R259" s="41" t="s">
        <v>104</v>
      </c>
      <c r="S259" s="40" t="s">
        <v>169</v>
      </c>
      <c r="U259" s="41" t="s">
        <v>104</v>
      </c>
      <c r="V259" s="41" t="s">
        <v>104</v>
      </c>
      <c r="W259" s="41" t="s">
        <v>104</v>
      </c>
      <c r="X259" s="41" t="s">
        <v>104</v>
      </c>
      <c r="Y259" s="40" t="s">
        <v>604</v>
      </c>
      <c r="Z259" s="41" t="s">
        <v>605</v>
      </c>
      <c r="AA259" s="41" t="s">
        <v>119</v>
      </c>
      <c r="AB259" s="41" t="s">
        <v>787</v>
      </c>
      <c r="AC259" s="40" t="s">
        <v>604</v>
      </c>
      <c r="AD259" s="41" t="s">
        <v>607</v>
      </c>
      <c r="AE259" s="41" t="s">
        <v>119</v>
      </c>
      <c r="AF259" s="41" t="s">
        <v>788</v>
      </c>
      <c r="AG259" s="41" t="s">
        <v>138</v>
      </c>
      <c r="AH259" s="41" t="s">
        <v>169</v>
      </c>
      <c r="AI259" s="41">
        <v>1</v>
      </c>
      <c r="AJ259" s="41">
        <v>1</v>
      </c>
      <c r="AK259" s="41">
        <v>0</v>
      </c>
      <c r="AL259" s="42">
        <v>0</v>
      </c>
      <c r="AM259" s="41" t="s">
        <v>144</v>
      </c>
      <c r="AN259" s="42">
        <v>0</v>
      </c>
      <c r="AO259" s="41" t="s">
        <v>104</v>
      </c>
      <c r="AP259" s="41" t="s">
        <v>541</v>
      </c>
      <c r="AQ259" s="41" t="s">
        <v>104</v>
      </c>
      <c r="AR259" s="41" t="s">
        <v>165</v>
      </c>
      <c r="AS259" s="41" t="s">
        <v>169</v>
      </c>
      <c r="AT259" s="41" t="s">
        <v>104</v>
      </c>
      <c r="AU259" s="41" t="s">
        <v>173</v>
      </c>
      <c r="AW259" s="41" t="s">
        <v>170</v>
      </c>
      <c r="AX259" s="41" t="s">
        <v>1690</v>
      </c>
      <c r="AY259" s="41" t="s">
        <v>2126</v>
      </c>
      <c r="AZ259" s="40"/>
      <c r="BA259" s="40"/>
    </row>
    <row r="260" spans="6:53" ht="29" x14ac:dyDescent="0.35">
      <c r="F260" s="40" t="s">
        <v>1255</v>
      </c>
      <c r="G260" s="85" t="s">
        <v>760</v>
      </c>
      <c r="H260" s="40" t="s">
        <v>760</v>
      </c>
      <c r="I260" s="41" t="s">
        <v>223</v>
      </c>
      <c r="J260" s="41" t="s">
        <v>601</v>
      </c>
      <c r="K260" s="41" t="s">
        <v>602</v>
      </c>
      <c r="L260" s="40" t="s">
        <v>603</v>
      </c>
      <c r="O260" s="40" t="s">
        <v>104</v>
      </c>
      <c r="P260" s="41" t="s">
        <v>104</v>
      </c>
      <c r="Q260" s="41" t="s">
        <v>104</v>
      </c>
      <c r="R260" s="41" t="s">
        <v>104</v>
      </c>
      <c r="S260" s="40" t="s">
        <v>169</v>
      </c>
      <c r="U260" s="41" t="s">
        <v>104</v>
      </c>
      <c r="V260" s="41" t="s">
        <v>104</v>
      </c>
      <c r="W260" s="41" t="s">
        <v>112</v>
      </c>
      <c r="X260" s="41" t="s">
        <v>104</v>
      </c>
      <c r="Y260" s="40" t="s">
        <v>604</v>
      </c>
      <c r="Z260" s="41" t="s">
        <v>605</v>
      </c>
      <c r="AA260" s="41" t="s">
        <v>119</v>
      </c>
      <c r="AB260" s="41" t="s">
        <v>787</v>
      </c>
      <c r="AC260" s="40" t="s">
        <v>604</v>
      </c>
      <c r="AD260" s="41" t="s">
        <v>607</v>
      </c>
      <c r="AE260" s="41" t="s">
        <v>119</v>
      </c>
      <c r="AF260" s="41" t="s">
        <v>788</v>
      </c>
      <c r="AG260" s="41" t="s">
        <v>138</v>
      </c>
      <c r="AH260" s="41" t="s">
        <v>169</v>
      </c>
      <c r="AI260" s="41">
        <v>2</v>
      </c>
      <c r="AJ260" s="41">
        <v>2</v>
      </c>
      <c r="AK260" s="41">
        <v>0</v>
      </c>
      <c r="AL260" s="42">
        <v>0</v>
      </c>
      <c r="AM260" s="41" t="s">
        <v>144</v>
      </c>
      <c r="AN260" s="42">
        <v>0</v>
      </c>
      <c r="AO260" s="41" t="s">
        <v>104</v>
      </c>
      <c r="AP260" s="41" t="s">
        <v>541</v>
      </c>
      <c r="AQ260" s="41" t="s">
        <v>104</v>
      </c>
      <c r="AR260" s="41" t="s">
        <v>165</v>
      </c>
      <c r="AS260" s="41" t="s">
        <v>169</v>
      </c>
      <c r="AT260" s="41" t="s">
        <v>104</v>
      </c>
      <c r="AU260" s="41" t="s">
        <v>173</v>
      </c>
      <c r="AW260" s="41" t="s">
        <v>170</v>
      </c>
      <c r="AX260" s="41" t="s">
        <v>1691</v>
      </c>
      <c r="AY260" s="41" t="s">
        <v>2127</v>
      </c>
      <c r="AZ260" s="40"/>
      <c r="BA260" s="40"/>
    </row>
    <row r="261" spans="6:53" ht="29" x14ac:dyDescent="0.35">
      <c r="F261" s="40" t="s">
        <v>1256</v>
      </c>
      <c r="G261" s="85" t="s">
        <v>753</v>
      </c>
      <c r="H261" s="40" t="s">
        <v>753</v>
      </c>
      <c r="I261" s="41" t="s">
        <v>223</v>
      </c>
      <c r="J261" s="41" t="s">
        <v>601</v>
      </c>
      <c r="K261" s="41" t="s">
        <v>602</v>
      </c>
      <c r="L261" s="40" t="s">
        <v>603</v>
      </c>
      <c r="O261" s="40" t="s">
        <v>104</v>
      </c>
      <c r="P261" s="41" t="s">
        <v>104</v>
      </c>
      <c r="Q261" s="41" t="s">
        <v>104</v>
      </c>
      <c r="R261" s="41" t="s">
        <v>104</v>
      </c>
      <c r="S261" s="40" t="s">
        <v>169</v>
      </c>
      <c r="T261" s="41" t="s">
        <v>754</v>
      </c>
      <c r="U261" s="41" t="s">
        <v>104</v>
      </c>
      <c r="V261" s="41" t="s">
        <v>104</v>
      </c>
      <c r="W261" s="41" t="s">
        <v>104</v>
      </c>
      <c r="X261" s="41" t="s">
        <v>104</v>
      </c>
      <c r="Y261" s="40" t="s">
        <v>604</v>
      </c>
      <c r="Z261" s="41" t="s">
        <v>605</v>
      </c>
      <c r="AA261" s="41" t="s">
        <v>119</v>
      </c>
      <c r="AB261" s="41" t="s">
        <v>789</v>
      </c>
      <c r="AC261" s="40" t="s">
        <v>604</v>
      </c>
      <c r="AD261" s="41" t="s">
        <v>607</v>
      </c>
      <c r="AE261" s="41" t="s">
        <v>119</v>
      </c>
      <c r="AF261" s="41" t="s">
        <v>790</v>
      </c>
      <c r="AG261" s="41" t="s">
        <v>138</v>
      </c>
      <c r="AH261" s="41" t="s">
        <v>169</v>
      </c>
      <c r="AI261" s="41">
        <v>1</v>
      </c>
      <c r="AJ261" s="41">
        <v>1</v>
      </c>
      <c r="AK261" s="41">
        <v>0</v>
      </c>
      <c r="AL261" s="42">
        <v>0</v>
      </c>
      <c r="AM261" s="41" t="s">
        <v>144</v>
      </c>
      <c r="AN261" s="42">
        <v>0</v>
      </c>
      <c r="AO261" s="41" t="s">
        <v>104</v>
      </c>
      <c r="AP261" s="41" t="s">
        <v>541</v>
      </c>
      <c r="AQ261" s="41" t="s">
        <v>104</v>
      </c>
      <c r="AR261" s="41" t="s">
        <v>165</v>
      </c>
      <c r="AS261" s="41" t="s">
        <v>169</v>
      </c>
      <c r="AT261" s="41" t="s">
        <v>104</v>
      </c>
      <c r="AU261" s="41" t="s">
        <v>173</v>
      </c>
      <c r="AW261" s="41" t="s">
        <v>170</v>
      </c>
      <c r="AX261" s="41" t="s">
        <v>1692</v>
      </c>
      <c r="AY261" s="41" t="s">
        <v>2128</v>
      </c>
      <c r="AZ261" s="40"/>
      <c r="BA261" s="40"/>
    </row>
    <row r="262" spans="6:53" ht="29" x14ac:dyDescent="0.35">
      <c r="F262" s="40" t="s">
        <v>1257</v>
      </c>
      <c r="G262" s="85" t="s">
        <v>757</v>
      </c>
      <c r="H262" s="40" t="s">
        <v>757</v>
      </c>
      <c r="I262" s="41" t="s">
        <v>223</v>
      </c>
      <c r="J262" s="41" t="s">
        <v>601</v>
      </c>
      <c r="K262" s="41" t="s">
        <v>602</v>
      </c>
      <c r="L262" s="40" t="s">
        <v>603</v>
      </c>
      <c r="O262" s="40" t="s">
        <v>104</v>
      </c>
      <c r="P262" s="41" t="s">
        <v>104</v>
      </c>
      <c r="Q262" s="41" t="s">
        <v>104</v>
      </c>
      <c r="R262" s="41" t="s">
        <v>104</v>
      </c>
      <c r="S262" s="40" t="s">
        <v>169</v>
      </c>
      <c r="T262" s="41" t="s">
        <v>758</v>
      </c>
      <c r="U262" s="41" t="s">
        <v>104</v>
      </c>
      <c r="V262" s="41" t="s">
        <v>104</v>
      </c>
      <c r="W262" s="41" t="s">
        <v>104</v>
      </c>
      <c r="X262" s="41" t="s">
        <v>104</v>
      </c>
      <c r="Y262" s="40" t="s">
        <v>604</v>
      </c>
      <c r="Z262" s="41" t="s">
        <v>605</v>
      </c>
      <c r="AA262" s="41" t="s">
        <v>119</v>
      </c>
      <c r="AB262" s="41" t="s">
        <v>789</v>
      </c>
      <c r="AC262" s="40" t="s">
        <v>604</v>
      </c>
      <c r="AD262" s="41" t="s">
        <v>607</v>
      </c>
      <c r="AE262" s="41" t="s">
        <v>119</v>
      </c>
      <c r="AF262" s="41" t="s">
        <v>790</v>
      </c>
      <c r="AG262" s="41" t="s">
        <v>138</v>
      </c>
      <c r="AH262" s="41" t="s">
        <v>169</v>
      </c>
      <c r="AI262" s="41">
        <v>0</v>
      </c>
      <c r="AJ262" s="41">
        <v>0</v>
      </c>
      <c r="AK262" s="41">
        <v>0</v>
      </c>
      <c r="AL262" s="42">
        <v>0</v>
      </c>
      <c r="AM262" s="41" t="s">
        <v>144</v>
      </c>
      <c r="AN262" s="42">
        <v>0</v>
      </c>
      <c r="AO262" s="41" t="s">
        <v>104</v>
      </c>
      <c r="AP262" s="41" t="s">
        <v>541</v>
      </c>
      <c r="AQ262" s="41" t="s">
        <v>104</v>
      </c>
      <c r="AR262" s="41" t="s">
        <v>165</v>
      </c>
      <c r="AS262" s="41" t="s">
        <v>169</v>
      </c>
      <c r="AT262" s="41" t="s">
        <v>104</v>
      </c>
      <c r="AU262" s="41" t="s">
        <v>173</v>
      </c>
      <c r="AW262" s="41" t="s">
        <v>170</v>
      </c>
      <c r="AX262" s="41" t="s">
        <v>1693</v>
      </c>
      <c r="AY262" s="41" t="s">
        <v>2129</v>
      </c>
      <c r="AZ262" s="40"/>
      <c r="BA262" s="40"/>
    </row>
    <row r="263" spans="6:53" ht="29" x14ac:dyDescent="0.35">
      <c r="F263" s="40" t="s">
        <v>1258</v>
      </c>
      <c r="G263" s="85" t="s">
        <v>616</v>
      </c>
      <c r="H263" s="40" t="s">
        <v>616</v>
      </c>
      <c r="I263" s="41" t="s">
        <v>223</v>
      </c>
      <c r="J263" s="41" t="s">
        <v>601</v>
      </c>
      <c r="K263" s="41" t="s">
        <v>602</v>
      </c>
      <c r="L263" s="40" t="s">
        <v>603</v>
      </c>
      <c r="O263" s="40" t="s">
        <v>104</v>
      </c>
      <c r="P263" s="41" t="s">
        <v>104</v>
      </c>
      <c r="Q263" s="41" t="s">
        <v>104</v>
      </c>
      <c r="R263" s="41" t="s">
        <v>104</v>
      </c>
      <c r="S263" s="40" t="s">
        <v>169</v>
      </c>
      <c r="U263" s="41" t="s">
        <v>104</v>
      </c>
      <c r="V263" s="41" t="s">
        <v>104</v>
      </c>
      <c r="W263" s="41" t="s">
        <v>104</v>
      </c>
      <c r="X263" s="41" t="s">
        <v>104</v>
      </c>
      <c r="Y263" s="40" t="s">
        <v>604</v>
      </c>
      <c r="Z263" s="41" t="s">
        <v>605</v>
      </c>
      <c r="AA263" s="41" t="s">
        <v>119</v>
      </c>
      <c r="AB263" s="41" t="s">
        <v>789</v>
      </c>
      <c r="AC263" s="40" t="s">
        <v>604</v>
      </c>
      <c r="AD263" s="41" t="s">
        <v>607</v>
      </c>
      <c r="AE263" s="41" t="s">
        <v>119</v>
      </c>
      <c r="AF263" s="41" t="s">
        <v>790</v>
      </c>
      <c r="AG263" s="41" t="s">
        <v>138</v>
      </c>
      <c r="AH263" s="41" t="s">
        <v>169</v>
      </c>
      <c r="AI263" s="41">
        <v>1</v>
      </c>
      <c r="AJ263" s="41">
        <v>1</v>
      </c>
      <c r="AK263" s="41">
        <v>0</v>
      </c>
      <c r="AL263" s="42">
        <v>0</v>
      </c>
      <c r="AM263" s="41" t="s">
        <v>144</v>
      </c>
      <c r="AN263" s="42">
        <v>0</v>
      </c>
      <c r="AO263" s="41" t="s">
        <v>104</v>
      </c>
      <c r="AP263" s="41" t="s">
        <v>541</v>
      </c>
      <c r="AQ263" s="41" t="s">
        <v>104</v>
      </c>
      <c r="AR263" s="41" t="s">
        <v>165</v>
      </c>
      <c r="AS263" s="41" t="s">
        <v>169</v>
      </c>
      <c r="AT263" s="41" t="s">
        <v>104</v>
      </c>
      <c r="AU263" s="41" t="s">
        <v>173</v>
      </c>
      <c r="AW263" s="41" t="s">
        <v>170</v>
      </c>
      <c r="AX263" s="41" t="s">
        <v>1694</v>
      </c>
      <c r="AY263" s="41" t="s">
        <v>2130</v>
      </c>
      <c r="AZ263" s="40"/>
      <c r="BA263" s="40"/>
    </row>
    <row r="264" spans="6:53" ht="29" x14ac:dyDescent="0.35">
      <c r="F264" s="40" t="s">
        <v>1259</v>
      </c>
      <c r="G264" s="85" t="s">
        <v>759</v>
      </c>
      <c r="H264" s="40" t="s">
        <v>759</v>
      </c>
      <c r="I264" s="41" t="s">
        <v>223</v>
      </c>
      <c r="J264" s="41" t="s">
        <v>601</v>
      </c>
      <c r="K264" s="41" t="s">
        <v>602</v>
      </c>
      <c r="L264" s="40" t="s">
        <v>603</v>
      </c>
      <c r="O264" s="40" t="s">
        <v>104</v>
      </c>
      <c r="P264" s="41" t="s">
        <v>104</v>
      </c>
      <c r="Q264" s="41" t="s">
        <v>104</v>
      </c>
      <c r="R264" s="41" t="s">
        <v>104</v>
      </c>
      <c r="S264" s="40" t="s">
        <v>169</v>
      </c>
      <c r="U264" s="41" t="s">
        <v>104</v>
      </c>
      <c r="V264" s="41" t="s">
        <v>104</v>
      </c>
      <c r="W264" s="41" t="s">
        <v>104</v>
      </c>
      <c r="X264" s="41" t="s">
        <v>104</v>
      </c>
      <c r="Y264" s="40" t="s">
        <v>604</v>
      </c>
      <c r="Z264" s="41" t="s">
        <v>605</v>
      </c>
      <c r="AA264" s="41" t="s">
        <v>119</v>
      </c>
      <c r="AB264" s="41" t="s">
        <v>789</v>
      </c>
      <c r="AC264" s="40" t="s">
        <v>604</v>
      </c>
      <c r="AD264" s="41" t="s">
        <v>607</v>
      </c>
      <c r="AE264" s="41" t="s">
        <v>119</v>
      </c>
      <c r="AF264" s="41" t="s">
        <v>790</v>
      </c>
      <c r="AG264" s="41" t="s">
        <v>138</v>
      </c>
      <c r="AH264" s="41" t="s">
        <v>169</v>
      </c>
      <c r="AI264" s="41">
        <v>0</v>
      </c>
      <c r="AJ264" s="41">
        <v>0</v>
      </c>
      <c r="AK264" s="41">
        <v>0</v>
      </c>
      <c r="AL264" s="42">
        <v>0</v>
      </c>
      <c r="AM264" s="41" t="s">
        <v>144</v>
      </c>
      <c r="AN264" s="42">
        <v>0</v>
      </c>
      <c r="AO264" s="41" t="s">
        <v>104</v>
      </c>
      <c r="AP264" s="41" t="s">
        <v>541</v>
      </c>
      <c r="AQ264" s="41" t="s">
        <v>104</v>
      </c>
      <c r="AR264" s="41" t="s">
        <v>165</v>
      </c>
      <c r="AS264" s="41" t="s">
        <v>169</v>
      </c>
      <c r="AT264" s="41" t="s">
        <v>104</v>
      </c>
      <c r="AU264" s="41" t="s">
        <v>173</v>
      </c>
      <c r="AW264" s="41" t="s">
        <v>170</v>
      </c>
      <c r="AX264" s="41" t="s">
        <v>1695</v>
      </c>
      <c r="AY264" s="41" t="s">
        <v>2131</v>
      </c>
      <c r="AZ264" s="40"/>
      <c r="BA264" s="40"/>
    </row>
    <row r="265" spans="6:53" ht="29" x14ac:dyDescent="0.35">
      <c r="F265" s="40" t="s">
        <v>1260</v>
      </c>
      <c r="G265" s="85" t="s">
        <v>690</v>
      </c>
      <c r="H265" s="40" t="s">
        <v>690</v>
      </c>
      <c r="I265" s="41" t="s">
        <v>223</v>
      </c>
      <c r="J265" s="41" t="s">
        <v>601</v>
      </c>
      <c r="K265" s="41" t="s">
        <v>602</v>
      </c>
      <c r="L265" s="40" t="s">
        <v>603</v>
      </c>
      <c r="O265" s="40" t="s">
        <v>104</v>
      </c>
      <c r="P265" s="41" t="s">
        <v>104</v>
      </c>
      <c r="Q265" s="41" t="s">
        <v>104</v>
      </c>
      <c r="R265" s="41" t="s">
        <v>104</v>
      </c>
      <c r="S265" s="40" t="s">
        <v>169</v>
      </c>
      <c r="U265" s="41" t="s">
        <v>104</v>
      </c>
      <c r="V265" s="41" t="s">
        <v>104</v>
      </c>
      <c r="W265" s="41" t="s">
        <v>104</v>
      </c>
      <c r="X265" s="41" t="s">
        <v>104</v>
      </c>
      <c r="Y265" s="40" t="s">
        <v>604</v>
      </c>
      <c r="Z265" s="41" t="s">
        <v>607</v>
      </c>
      <c r="AA265" s="41" t="s">
        <v>121</v>
      </c>
      <c r="AB265" s="41" t="s">
        <v>721</v>
      </c>
      <c r="AC265" s="40" t="s">
        <v>604</v>
      </c>
      <c r="AD265" s="41" t="s">
        <v>607</v>
      </c>
      <c r="AE265" s="41" t="s">
        <v>121</v>
      </c>
      <c r="AF265" s="41" t="s">
        <v>721</v>
      </c>
      <c r="AG265" s="41" t="s">
        <v>138</v>
      </c>
      <c r="AH265" s="41" t="s">
        <v>169</v>
      </c>
      <c r="AI265" s="41">
        <v>1</v>
      </c>
      <c r="AJ265" s="41">
        <v>1</v>
      </c>
      <c r="AK265" s="41">
        <v>0</v>
      </c>
      <c r="AL265" s="42">
        <v>0</v>
      </c>
      <c r="AM265" s="41" t="s">
        <v>144</v>
      </c>
      <c r="AN265" s="42">
        <v>0</v>
      </c>
      <c r="AO265" s="41" t="s">
        <v>104</v>
      </c>
      <c r="AP265" s="41" t="s">
        <v>541</v>
      </c>
      <c r="AQ265" s="41" t="s">
        <v>104</v>
      </c>
      <c r="AR265" s="41" t="s">
        <v>165</v>
      </c>
      <c r="AS265" s="41" t="s">
        <v>169</v>
      </c>
      <c r="AT265" s="41" t="s">
        <v>104</v>
      </c>
      <c r="AU265" s="41" t="s">
        <v>173</v>
      </c>
      <c r="AW265" s="41" t="s">
        <v>170</v>
      </c>
      <c r="AX265" s="41" t="s">
        <v>1696</v>
      </c>
      <c r="AY265" s="41" t="s">
        <v>2132</v>
      </c>
      <c r="AZ265" s="40"/>
      <c r="BA265" s="40"/>
    </row>
    <row r="266" spans="6:53" ht="29" x14ac:dyDescent="0.35">
      <c r="F266" s="40" t="s">
        <v>1261</v>
      </c>
      <c r="G266" s="85" t="s">
        <v>761</v>
      </c>
      <c r="H266" s="40" t="s">
        <v>761</v>
      </c>
      <c r="I266" s="41" t="s">
        <v>223</v>
      </c>
      <c r="J266" s="41" t="s">
        <v>601</v>
      </c>
      <c r="K266" s="41" t="s">
        <v>602</v>
      </c>
      <c r="L266" s="40" t="s">
        <v>603</v>
      </c>
      <c r="O266" s="40" t="s">
        <v>104</v>
      </c>
      <c r="P266" s="41" t="s">
        <v>104</v>
      </c>
      <c r="Q266" s="41" t="s">
        <v>104</v>
      </c>
      <c r="R266" s="41" t="s">
        <v>104</v>
      </c>
      <c r="S266" s="40" t="s">
        <v>169</v>
      </c>
      <c r="T266" s="41" t="s">
        <v>754</v>
      </c>
      <c r="U266" s="41" t="s">
        <v>104</v>
      </c>
      <c r="V266" s="41" t="s">
        <v>104</v>
      </c>
      <c r="W266" s="41" t="s">
        <v>104</v>
      </c>
      <c r="X266" s="41" t="s">
        <v>104</v>
      </c>
      <c r="Y266" s="40" t="s">
        <v>604</v>
      </c>
      <c r="Z266" s="41" t="s">
        <v>605</v>
      </c>
      <c r="AA266" s="41" t="s">
        <v>119</v>
      </c>
      <c r="AB266" s="41" t="s">
        <v>791</v>
      </c>
      <c r="AC266" s="40" t="s">
        <v>604</v>
      </c>
      <c r="AD266" s="41" t="s">
        <v>607</v>
      </c>
      <c r="AE266" s="41" t="s">
        <v>119</v>
      </c>
      <c r="AF266" s="41" t="s">
        <v>792</v>
      </c>
      <c r="AG266" s="41" t="s">
        <v>138</v>
      </c>
      <c r="AH266" s="41" t="s">
        <v>169</v>
      </c>
      <c r="AI266" s="41">
        <v>1</v>
      </c>
      <c r="AJ266" s="41">
        <v>1</v>
      </c>
      <c r="AK266" s="41">
        <v>0</v>
      </c>
      <c r="AL266" s="42">
        <v>0</v>
      </c>
      <c r="AM266" s="41" t="s">
        <v>144</v>
      </c>
      <c r="AN266" s="42">
        <v>0</v>
      </c>
      <c r="AO266" s="41" t="s">
        <v>104</v>
      </c>
      <c r="AP266" s="41" t="s">
        <v>541</v>
      </c>
      <c r="AQ266" s="41" t="s">
        <v>104</v>
      </c>
      <c r="AR266" s="41" t="s">
        <v>165</v>
      </c>
      <c r="AS266" s="41" t="s">
        <v>169</v>
      </c>
      <c r="AT266" s="41" t="s">
        <v>104</v>
      </c>
      <c r="AU266" s="41" t="s">
        <v>173</v>
      </c>
      <c r="AW266" s="41" t="s">
        <v>170</v>
      </c>
      <c r="AX266" s="41" t="s">
        <v>1697</v>
      </c>
      <c r="AY266" s="41" t="s">
        <v>2133</v>
      </c>
      <c r="AZ266" s="40"/>
      <c r="BA266" s="40"/>
    </row>
    <row r="267" spans="6:53" ht="29" x14ac:dyDescent="0.35">
      <c r="F267" s="40" t="s">
        <v>1262</v>
      </c>
      <c r="G267" s="85" t="s">
        <v>764</v>
      </c>
      <c r="H267" s="40" t="s">
        <v>764</v>
      </c>
      <c r="I267" s="41" t="s">
        <v>223</v>
      </c>
      <c r="J267" s="41" t="s">
        <v>601</v>
      </c>
      <c r="K267" s="41" t="s">
        <v>602</v>
      </c>
      <c r="L267" s="40" t="s">
        <v>603</v>
      </c>
      <c r="O267" s="40" t="s">
        <v>104</v>
      </c>
      <c r="P267" s="41" t="s">
        <v>104</v>
      </c>
      <c r="Q267" s="41" t="s">
        <v>104</v>
      </c>
      <c r="R267" s="41" t="s">
        <v>104</v>
      </c>
      <c r="S267" s="40" t="s">
        <v>169</v>
      </c>
      <c r="T267" s="41" t="s">
        <v>758</v>
      </c>
      <c r="U267" s="41" t="s">
        <v>104</v>
      </c>
      <c r="V267" s="41" t="s">
        <v>104</v>
      </c>
      <c r="W267" s="41" t="s">
        <v>104</v>
      </c>
      <c r="X267" s="41" t="s">
        <v>104</v>
      </c>
      <c r="Y267" s="40" t="s">
        <v>604</v>
      </c>
      <c r="Z267" s="41" t="s">
        <v>605</v>
      </c>
      <c r="AA267" s="41" t="s">
        <v>119</v>
      </c>
      <c r="AB267" s="41" t="s">
        <v>791</v>
      </c>
      <c r="AC267" s="40" t="s">
        <v>604</v>
      </c>
      <c r="AD267" s="41" t="s">
        <v>607</v>
      </c>
      <c r="AE267" s="41" t="s">
        <v>119</v>
      </c>
      <c r="AF267" s="41" t="s">
        <v>792</v>
      </c>
      <c r="AG267" s="41" t="s">
        <v>138</v>
      </c>
      <c r="AH267" s="41" t="s">
        <v>169</v>
      </c>
      <c r="AI267" s="41">
        <v>1</v>
      </c>
      <c r="AJ267" s="41">
        <v>1</v>
      </c>
      <c r="AK267" s="41">
        <v>0</v>
      </c>
      <c r="AL267" s="42">
        <v>0</v>
      </c>
      <c r="AM267" s="41" t="s">
        <v>144</v>
      </c>
      <c r="AN267" s="42">
        <v>0</v>
      </c>
      <c r="AO267" s="41" t="s">
        <v>104</v>
      </c>
      <c r="AP267" s="41" t="s">
        <v>541</v>
      </c>
      <c r="AQ267" s="41" t="s">
        <v>104</v>
      </c>
      <c r="AR267" s="41" t="s">
        <v>165</v>
      </c>
      <c r="AS267" s="41" t="s">
        <v>169</v>
      </c>
      <c r="AT267" s="41" t="s">
        <v>104</v>
      </c>
      <c r="AU267" s="41" t="s">
        <v>173</v>
      </c>
      <c r="AW267" s="41" t="s">
        <v>170</v>
      </c>
      <c r="AX267" s="41" t="s">
        <v>1698</v>
      </c>
      <c r="AY267" s="41" t="s">
        <v>2134</v>
      </c>
      <c r="AZ267" s="40"/>
      <c r="BA267" s="40"/>
    </row>
    <row r="268" spans="6:53" ht="29" x14ac:dyDescent="0.35">
      <c r="F268" s="40" t="s">
        <v>1263</v>
      </c>
      <c r="G268" s="85" t="s">
        <v>616</v>
      </c>
      <c r="H268" s="40" t="s">
        <v>616</v>
      </c>
      <c r="I268" s="41" t="s">
        <v>223</v>
      </c>
      <c r="J268" s="41" t="s">
        <v>601</v>
      </c>
      <c r="K268" s="41" t="s">
        <v>602</v>
      </c>
      <c r="L268" s="40" t="s">
        <v>603</v>
      </c>
      <c r="O268" s="40" t="s">
        <v>104</v>
      </c>
      <c r="P268" s="41" t="s">
        <v>104</v>
      </c>
      <c r="Q268" s="41" t="s">
        <v>104</v>
      </c>
      <c r="R268" s="41" t="s">
        <v>104</v>
      </c>
      <c r="S268" s="40" t="s">
        <v>169</v>
      </c>
      <c r="U268" s="41" t="s">
        <v>104</v>
      </c>
      <c r="V268" s="41" t="s">
        <v>104</v>
      </c>
      <c r="W268" s="41" t="s">
        <v>104</v>
      </c>
      <c r="X268" s="41" t="s">
        <v>104</v>
      </c>
      <c r="Y268" s="40" t="s">
        <v>604</v>
      </c>
      <c r="Z268" s="41" t="s">
        <v>605</v>
      </c>
      <c r="AA268" s="41" t="s">
        <v>119</v>
      </c>
      <c r="AB268" s="41" t="s">
        <v>791</v>
      </c>
      <c r="AC268" s="40" t="s">
        <v>604</v>
      </c>
      <c r="AD268" s="41" t="s">
        <v>607</v>
      </c>
      <c r="AE268" s="41" t="s">
        <v>119</v>
      </c>
      <c r="AF268" s="41" t="s">
        <v>792</v>
      </c>
      <c r="AG268" s="41" t="s">
        <v>138</v>
      </c>
      <c r="AH268" s="41" t="s">
        <v>169</v>
      </c>
      <c r="AI268" s="41">
        <v>1</v>
      </c>
      <c r="AJ268" s="41">
        <v>1</v>
      </c>
      <c r="AK268" s="41">
        <v>0</v>
      </c>
      <c r="AL268" s="42">
        <v>0</v>
      </c>
      <c r="AM268" s="41" t="s">
        <v>144</v>
      </c>
      <c r="AN268" s="42">
        <v>0</v>
      </c>
      <c r="AO268" s="41" t="s">
        <v>104</v>
      </c>
      <c r="AP268" s="41" t="s">
        <v>541</v>
      </c>
      <c r="AQ268" s="41" t="s">
        <v>104</v>
      </c>
      <c r="AR268" s="41" t="s">
        <v>165</v>
      </c>
      <c r="AS268" s="41" t="s">
        <v>169</v>
      </c>
      <c r="AT268" s="41" t="s">
        <v>104</v>
      </c>
      <c r="AU268" s="41" t="s">
        <v>173</v>
      </c>
      <c r="AW268" s="41" t="s">
        <v>170</v>
      </c>
      <c r="AX268" s="41" t="s">
        <v>1699</v>
      </c>
      <c r="AY268" s="41" t="s">
        <v>2135</v>
      </c>
      <c r="AZ268" s="40"/>
      <c r="BA268" s="40"/>
    </row>
    <row r="269" spans="6:53" ht="29" x14ac:dyDescent="0.35">
      <c r="F269" s="40" t="s">
        <v>1264</v>
      </c>
      <c r="G269" s="85" t="s">
        <v>759</v>
      </c>
      <c r="H269" s="40" t="s">
        <v>759</v>
      </c>
      <c r="I269" s="41" t="s">
        <v>223</v>
      </c>
      <c r="J269" s="41" t="s">
        <v>601</v>
      </c>
      <c r="K269" s="41" t="s">
        <v>602</v>
      </c>
      <c r="L269" s="40" t="s">
        <v>603</v>
      </c>
      <c r="O269" s="40" t="s">
        <v>104</v>
      </c>
      <c r="P269" s="41" t="s">
        <v>104</v>
      </c>
      <c r="Q269" s="41" t="s">
        <v>104</v>
      </c>
      <c r="R269" s="41" t="s">
        <v>104</v>
      </c>
      <c r="S269" s="40" t="s">
        <v>169</v>
      </c>
      <c r="U269" s="41" t="s">
        <v>104</v>
      </c>
      <c r="V269" s="41" t="s">
        <v>104</v>
      </c>
      <c r="W269" s="41" t="s">
        <v>104</v>
      </c>
      <c r="X269" s="41" t="s">
        <v>104</v>
      </c>
      <c r="Y269" s="40" t="s">
        <v>604</v>
      </c>
      <c r="Z269" s="41" t="s">
        <v>605</v>
      </c>
      <c r="AA269" s="41" t="s">
        <v>119</v>
      </c>
      <c r="AB269" s="41" t="s">
        <v>791</v>
      </c>
      <c r="AC269" s="40" t="s">
        <v>604</v>
      </c>
      <c r="AD269" s="41" t="s">
        <v>607</v>
      </c>
      <c r="AE269" s="41" t="s">
        <v>119</v>
      </c>
      <c r="AF269" s="41" t="s">
        <v>792</v>
      </c>
      <c r="AG269" s="41" t="s">
        <v>138</v>
      </c>
      <c r="AH269" s="41" t="s">
        <v>169</v>
      </c>
      <c r="AI269" s="41">
        <v>1</v>
      </c>
      <c r="AJ269" s="41">
        <v>1</v>
      </c>
      <c r="AK269" s="41">
        <v>0</v>
      </c>
      <c r="AL269" s="42">
        <v>0</v>
      </c>
      <c r="AM269" s="41" t="s">
        <v>144</v>
      </c>
      <c r="AN269" s="42">
        <v>0</v>
      </c>
      <c r="AO269" s="41" t="s">
        <v>104</v>
      </c>
      <c r="AP269" s="41" t="s">
        <v>541</v>
      </c>
      <c r="AQ269" s="41" t="s">
        <v>104</v>
      </c>
      <c r="AR269" s="41" t="s">
        <v>165</v>
      </c>
      <c r="AS269" s="41" t="s">
        <v>169</v>
      </c>
      <c r="AT269" s="41" t="s">
        <v>104</v>
      </c>
      <c r="AU269" s="41" t="s">
        <v>173</v>
      </c>
      <c r="AW269" s="41" t="s">
        <v>170</v>
      </c>
      <c r="AX269" s="41" t="s">
        <v>1700</v>
      </c>
      <c r="AY269" s="41" t="s">
        <v>2136</v>
      </c>
      <c r="AZ269" s="40"/>
      <c r="BA269" s="40"/>
    </row>
    <row r="270" spans="6:53" ht="29" x14ac:dyDescent="0.35">
      <c r="F270" s="40" t="s">
        <v>1265</v>
      </c>
      <c r="G270" s="85" t="s">
        <v>760</v>
      </c>
      <c r="H270" s="40" t="s">
        <v>760</v>
      </c>
      <c r="I270" s="41" t="s">
        <v>223</v>
      </c>
      <c r="J270" s="41" t="s">
        <v>601</v>
      </c>
      <c r="K270" s="41" t="s">
        <v>602</v>
      </c>
      <c r="L270" s="40" t="s">
        <v>603</v>
      </c>
      <c r="O270" s="40" t="s">
        <v>104</v>
      </c>
      <c r="P270" s="41" t="s">
        <v>104</v>
      </c>
      <c r="Q270" s="41" t="s">
        <v>104</v>
      </c>
      <c r="R270" s="41" t="s">
        <v>104</v>
      </c>
      <c r="S270" s="40" t="s">
        <v>169</v>
      </c>
      <c r="U270" s="41" t="s">
        <v>104</v>
      </c>
      <c r="V270" s="41" t="s">
        <v>104</v>
      </c>
      <c r="W270" s="41" t="s">
        <v>112</v>
      </c>
      <c r="X270" s="41" t="s">
        <v>104</v>
      </c>
      <c r="Y270" s="40" t="s">
        <v>604</v>
      </c>
      <c r="Z270" s="41" t="s">
        <v>605</v>
      </c>
      <c r="AA270" s="41" t="s">
        <v>119</v>
      </c>
      <c r="AB270" s="41" t="s">
        <v>791</v>
      </c>
      <c r="AC270" s="40" t="s">
        <v>604</v>
      </c>
      <c r="AD270" s="41" t="s">
        <v>607</v>
      </c>
      <c r="AE270" s="41" t="s">
        <v>119</v>
      </c>
      <c r="AF270" s="41" t="s">
        <v>792</v>
      </c>
      <c r="AG270" s="41" t="s">
        <v>138</v>
      </c>
      <c r="AH270" s="41" t="s">
        <v>169</v>
      </c>
      <c r="AI270" s="41">
        <v>2</v>
      </c>
      <c r="AJ270" s="41">
        <v>2</v>
      </c>
      <c r="AK270" s="41">
        <v>0</v>
      </c>
      <c r="AL270" s="42">
        <v>0</v>
      </c>
      <c r="AM270" s="41" t="s">
        <v>144</v>
      </c>
      <c r="AN270" s="42">
        <v>0</v>
      </c>
      <c r="AO270" s="41" t="s">
        <v>104</v>
      </c>
      <c r="AP270" s="41" t="s">
        <v>541</v>
      </c>
      <c r="AQ270" s="41" t="s">
        <v>104</v>
      </c>
      <c r="AR270" s="41" t="s">
        <v>165</v>
      </c>
      <c r="AS270" s="41" t="s">
        <v>169</v>
      </c>
      <c r="AT270" s="41" t="s">
        <v>104</v>
      </c>
      <c r="AU270" s="41" t="s">
        <v>173</v>
      </c>
      <c r="AW270" s="41" t="s">
        <v>170</v>
      </c>
      <c r="AX270" s="41" t="s">
        <v>1701</v>
      </c>
      <c r="AY270" s="41" t="s">
        <v>2137</v>
      </c>
      <c r="AZ270" s="40"/>
      <c r="BA270" s="40"/>
    </row>
    <row r="271" spans="6:53" ht="29" x14ac:dyDescent="0.35">
      <c r="F271" s="40" t="s">
        <v>1266</v>
      </c>
      <c r="G271" s="85" t="s">
        <v>690</v>
      </c>
      <c r="H271" s="40" t="s">
        <v>690</v>
      </c>
      <c r="I271" s="41" t="s">
        <v>223</v>
      </c>
      <c r="J271" s="41" t="s">
        <v>601</v>
      </c>
      <c r="K271" s="41" t="s">
        <v>602</v>
      </c>
      <c r="L271" s="40" t="s">
        <v>603</v>
      </c>
      <c r="O271" s="40" t="s">
        <v>104</v>
      </c>
      <c r="P271" s="41" t="s">
        <v>104</v>
      </c>
      <c r="Q271" s="41" t="s">
        <v>104</v>
      </c>
      <c r="R271" s="41" t="s">
        <v>104</v>
      </c>
      <c r="S271" s="40" t="s">
        <v>169</v>
      </c>
      <c r="U271" s="41" t="s">
        <v>104</v>
      </c>
      <c r="V271" s="41" t="s">
        <v>104</v>
      </c>
      <c r="W271" s="41" t="s">
        <v>104</v>
      </c>
      <c r="X271" s="41" t="s">
        <v>104</v>
      </c>
      <c r="Y271" s="40" t="s">
        <v>604</v>
      </c>
      <c r="Z271" s="41" t="s">
        <v>607</v>
      </c>
      <c r="AA271" s="41" t="s">
        <v>121</v>
      </c>
      <c r="AB271" s="41" t="s">
        <v>721</v>
      </c>
      <c r="AC271" s="40" t="s">
        <v>604</v>
      </c>
      <c r="AD271" s="41" t="s">
        <v>607</v>
      </c>
      <c r="AE271" s="41" t="s">
        <v>121</v>
      </c>
      <c r="AF271" s="41" t="s">
        <v>721</v>
      </c>
      <c r="AG271" s="41" t="s">
        <v>138</v>
      </c>
      <c r="AH271" s="41" t="s">
        <v>169</v>
      </c>
      <c r="AI271" s="41">
        <v>1</v>
      </c>
      <c r="AJ271" s="41">
        <v>1</v>
      </c>
      <c r="AK271" s="41">
        <v>0</v>
      </c>
      <c r="AL271" s="42">
        <v>0</v>
      </c>
      <c r="AM271" s="41" t="s">
        <v>144</v>
      </c>
      <c r="AN271" s="42">
        <v>0</v>
      </c>
      <c r="AO271" s="41" t="s">
        <v>104</v>
      </c>
      <c r="AP271" s="41" t="s">
        <v>541</v>
      </c>
      <c r="AQ271" s="41" t="s">
        <v>104</v>
      </c>
      <c r="AR271" s="41" t="s">
        <v>165</v>
      </c>
      <c r="AS271" s="41" t="s">
        <v>169</v>
      </c>
      <c r="AT271" s="41" t="s">
        <v>104</v>
      </c>
      <c r="AU271" s="41" t="s">
        <v>173</v>
      </c>
      <c r="AW271" s="41" t="s">
        <v>170</v>
      </c>
      <c r="AX271" s="41" t="s">
        <v>1702</v>
      </c>
      <c r="AY271" s="41" t="s">
        <v>2138</v>
      </c>
      <c r="AZ271" s="40"/>
      <c r="BA271" s="40"/>
    </row>
    <row r="272" spans="6:53" ht="29" x14ac:dyDescent="0.35">
      <c r="F272" s="40" t="s">
        <v>1267</v>
      </c>
      <c r="G272" s="85" t="s">
        <v>678</v>
      </c>
      <c r="H272" s="40" t="s">
        <v>678</v>
      </c>
      <c r="I272" s="41" t="s">
        <v>223</v>
      </c>
      <c r="J272" s="41" t="s">
        <v>601</v>
      </c>
      <c r="K272" s="41" t="s">
        <v>602</v>
      </c>
      <c r="L272" s="40" t="s">
        <v>603</v>
      </c>
      <c r="O272" s="40" t="s">
        <v>104</v>
      </c>
      <c r="P272" s="41" t="s">
        <v>104</v>
      </c>
      <c r="Q272" s="41" t="s">
        <v>104</v>
      </c>
      <c r="R272" s="41" t="s">
        <v>104</v>
      </c>
      <c r="S272" s="40" t="s">
        <v>169</v>
      </c>
      <c r="U272" s="41" t="s">
        <v>104</v>
      </c>
      <c r="V272" s="41" t="s">
        <v>104</v>
      </c>
      <c r="W272" s="41" t="s">
        <v>104</v>
      </c>
      <c r="X272" s="41" t="s">
        <v>104</v>
      </c>
      <c r="Y272" s="40" t="s">
        <v>604</v>
      </c>
      <c r="Z272" s="41" t="s">
        <v>605</v>
      </c>
      <c r="AA272" s="41" t="s">
        <v>119</v>
      </c>
      <c r="AB272" s="41" t="s">
        <v>791</v>
      </c>
      <c r="AC272" s="40" t="s">
        <v>604</v>
      </c>
      <c r="AD272" s="41" t="s">
        <v>607</v>
      </c>
      <c r="AE272" s="41" t="s">
        <v>119</v>
      </c>
      <c r="AF272" s="41" t="s">
        <v>792</v>
      </c>
      <c r="AG272" s="41" t="s">
        <v>138</v>
      </c>
      <c r="AH272" s="41" t="s">
        <v>169</v>
      </c>
      <c r="AI272" s="41">
        <v>1</v>
      </c>
      <c r="AJ272" s="41">
        <v>1</v>
      </c>
      <c r="AK272" s="41">
        <v>0</v>
      </c>
      <c r="AL272" s="42">
        <v>0</v>
      </c>
      <c r="AM272" s="41" t="s">
        <v>144</v>
      </c>
      <c r="AN272" s="42">
        <v>0</v>
      </c>
      <c r="AO272" s="41" t="s">
        <v>104</v>
      </c>
      <c r="AP272" s="41" t="s">
        <v>541</v>
      </c>
      <c r="AQ272" s="41" t="s">
        <v>104</v>
      </c>
      <c r="AR272" s="41" t="s">
        <v>165</v>
      </c>
      <c r="AS272" s="41" t="s">
        <v>169</v>
      </c>
      <c r="AT272" s="41" t="s">
        <v>104</v>
      </c>
      <c r="AU272" s="41" t="s">
        <v>173</v>
      </c>
      <c r="AW272" s="41" t="s">
        <v>170</v>
      </c>
      <c r="AX272" s="41" t="s">
        <v>1703</v>
      </c>
      <c r="AY272" s="41" t="s">
        <v>2139</v>
      </c>
      <c r="AZ272" s="40"/>
      <c r="BA272" s="40"/>
    </row>
    <row r="273" spans="6:53" ht="29" x14ac:dyDescent="0.35">
      <c r="F273" s="40" t="s">
        <v>1268</v>
      </c>
      <c r="G273" s="85" t="s">
        <v>753</v>
      </c>
      <c r="H273" s="40" t="s">
        <v>753</v>
      </c>
      <c r="I273" s="41" t="s">
        <v>223</v>
      </c>
      <c r="J273" s="41" t="s">
        <v>601</v>
      </c>
      <c r="K273" s="41" t="s">
        <v>602</v>
      </c>
      <c r="L273" s="40" t="s">
        <v>603</v>
      </c>
      <c r="O273" s="40" t="s">
        <v>104</v>
      </c>
      <c r="P273" s="41" t="s">
        <v>104</v>
      </c>
      <c r="Q273" s="41" t="s">
        <v>104</v>
      </c>
      <c r="R273" s="41" t="s">
        <v>104</v>
      </c>
      <c r="S273" s="40" t="s">
        <v>169</v>
      </c>
      <c r="T273" s="41" t="s">
        <v>754</v>
      </c>
      <c r="U273" s="41" t="s">
        <v>104</v>
      </c>
      <c r="V273" s="41" t="s">
        <v>104</v>
      </c>
      <c r="W273" s="41" t="s">
        <v>104</v>
      </c>
      <c r="X273" s="41" t="s">
        <v>104</v>
      </c>
      <c r="Y273" s="40" t="s">
        <v>604</v>
      </c>
      <c r="Z273" s="41" t="s">
        <v>605</v>
      </c>
      <c r="AA273" s="41" t="s">
        <v>119</v>
      </c>
      <c r="AB273" s="41" t="s">
        <v>793</v>
      </c>
      <c r="AC273" s="40" t="s">
        <v>604</v>
      </c>
      <c r="AD273" s="41" t="s">
        <v>607</v>
      </c>
      <c r="AE273" s="41" t="s">
        <v>119</v>
      </c>
      <c r="AF273" s="41" t="s">
        <v>794</v>
      </c>
      <c r="AG273" s="41" t="s">
        <v>138</v>
      </c>
      <c r="AH273" s="41" t="s">
        <v>169</v>
      </c>
      <c r="AI273" s="41">
        <v>1</v>
      </c>
      <c r="AJ273" s="41">
        <v>1</v>
      </c>
      <c r="AK273" s="41">
        <v>0</v>
      </c>
      <c r="AL273" s="42">
        <v>0</v>
      </c>
      <c r="AM273" s="41" t="s">
        <v>144</v>
      </c>
      <c r="AN273" s="42">
        <v>0</v>
      </c>
      <c r="AO273" s="41" t="s">
        <v>104</v>
      </c>
      <c r="AP273" s="41" t="s">
        <v>541</v>
      </c>
      <c r="AQ273" s="41" t="s">
        <v>104</v>
      </c>
      <c r="AR273" s="41" t="s">
        <v>165</v>
      </c>
      <c r="AS273" s="41" t="s">
        <v>169</v>
      </c>
      <c r="AT273" s="41" t="s">
        <v>104</v>
      </c>
      <c r="AU273" s="41" t="s">
        <v>173</v>
      </c>
      <c r="AW273" s="41" t="s">
        <v>170</v>
      </c>
      <c r="AX273" s="41" t="s">
        <v>1704</v>
      </c>
      <c r="AY273" s="41" t="s">
        <v>2140</v>
      </c>
      <c r="AZ273" s="40"/>
      <c r="BA273" s="40"/>
    </row>
    <row r="274" spans="6:53" ht="29" x14ac:dyDescent="0.35">
      <c r="F274" s="40" t="s">
        <v>1269</v>
      </c>
      <c r="G274" s="85" t="s">
        <v>757</v>
      </c>
      <c r="H274" s="40" t="s">
        <v>757</v>
      </c>
      <c r="I274" s="41" t="s">
        <v>223</v>
      </c>
      <c r="J274" s="41" t="s">
        <v>601</v>
      </c>
      <c r="K274" s="41" t="s">
        <v>602</v>
      </c>
      <c r="L274" s="40" t="s">
        <v>603</v>
      </c>
      <c r="O274" s="40" t="s">
        <v>104</v>
      </c>
      <c r="P274" s="41" t="s">
        <v>104</v>
      </c>
      <c r="Q274" s="41" t="s">
        <v>104</v>
      </c>
      <c r="R274" s="41" t="s">
        <v>104</v>
      </c>
      <c r="S274" s="40" t="s">
        <v>169</v>
      </c>
      <c r="T274" s="41" t="s">
        <v>758</v>
      </c>
      <c r="U274" s="41" t="s">
        <v>104</v>
      </c>
      <c r="V274" s="41" t="s">
        <v>104</v>
      </c>
      <c r="W274" s="41" t="s">
        <v>104</v>
      </c>
      <c r="X274" s="41" t="s">
        <v>104</v>
      </c>
      <c r="Y274" s="40" t="s">
        <v>604</v>
      </c>
      <c r="Z274" s="41" t="s">
        <v>605</v>
      </c>
      <c r="AA274" s="41" t="s">
        <v>119</v>
      </c>
      <c r="AB274" s="41" t="s">
        <v>793</v>
      </c>
      <c r="AC274" s="40" t="s">
        <v>604</v>
      </c>
      <c r="AD274" s="41" t="s">
        <v>607</v>
      </c>
      <c r="AE274" s="41" t="s">
        <v>119</v>
      </c>
      <c r="AF274" s="41" t="s">
        <v>794</v>
      </c>
      <c r="AG274" s="41" t="s">
        <v>138</v>
      </c>
      <c r="AH274" s="41" t="s">
        <v>169</v>
      </c>
      <c r="AI274" s="41">
        <v>1</v>
      </c>
      <c r="AJ274" s="41">
        <v>1</v>
      </c>
      <c r="AK274" s="41">
        <v>0</v>
      </c>
      <c r="AL274" s="42">
        <v>0</v>
      </c>
      <c r="AM274" s="41" t="s">
        <v>144</v>
      </c>
      <c r="AN274" s="42">
        <v>0</v>
      </c>
      <c r="AO274" s="41" t="s">
        <v>104</v>
      </c>
      <c r="AP274" s="41" t="s">
        <v>541</v>
      </c>
      <c r="AQ274" s="41" t="s">
        <v>104</v>
      </c>
      <c r="AR274" s="41" t="s">
        <v>165</v>
      </c>
      <c r="AS274" s="41" t="s">
        <v>169</v>
      </c>
      <c r="AT274" s="41" t="s">
        <v>104</v>
      </c>
      <c r="AU274" s="41" t="s">
        <v>173</v>
      </c>
      <c r="AW274" s="41" t="s">
        <v>170</v>
      </c>
      <c r="AX274" s="41" t="s">
        <v>1705</v>
      </c>
      <c r="AY274" s="41" t="s">
        <v>2141</v>
      </c>
      <c r="AZ274" s="40"/>
      <c r="BA274" s="40"/>
    </row>
    <row r="275" spans="6:53" ht="29" x14ac:dyDescent="0.35">
      <c r="F275" s="40" t="s">
        <v>1270</v>
      </c>
      <c r="G275" s="85" t="s">
        <v>616</v>
      </c>
      <c r="H275" s="40" t="s">
        <v>616</v>
      </c>
      <c r="I275" s="41" t="s">
        <v>223</v>
      </c>
      <c r="J275" s="41" t="s">
        <v>601</v>
      </c>
      <c r="K275" s="41" t="s">
        <v>602</v>
      </c>
      <c r="L275" s="40" t="s">
        <v>603</v>
      </c>
      <c r="O275" s="40" t="s">
        <v>104</v>
      </c>
      <c r="P275" s="41" t="s">
        <v>104</v>
      </c>
      <c r="Q275" s="41" t="s">
        <v>104</v>
      </c>
      <c r="R275" s="41" t="s">
        <v>104</v>
      </c>
      <c r="S275" s="40" t="s">
        <v>169</v>
      </c>
      <c r="U275" s="41" t="s">
        <v>104</v>
      </c>
      <c r="V275" s="41" t="s">
        <v>104</v>
      </c>
      <c r="W275" s="41" t="s">
        <v>104</v>
      </c>
      <c r="X275" s="41" t="s">
        <v>104</v>
      </c>
      <c r="Y275" s="40" t="s">
        <v>604</v>
      </c>
      <c r="Z275" s="41" t="s">
        <v>605</v>
      </c>
      <c r="AA275" s="41" t="s">
        <v>119</v>
      </c>
      <c r="AB275" s="41" t="s">
        <v>793</v>
      </c>
      <c r="AC275" s="40" t="s">
        <v>604</v>
      </c>
      <c r="AD275" s="41" t="s">
        <v>607</v>
      </c>
      <c r="AE275" s="41" t="s">
        <v>119</v>
      </c>
      <c r="AF275" s="41" t="s">
        <v>794</v>
      </c>
      <c r="AG275" s="41" t="s">
        <v>138</v>
      </c>
      <c r="AH275" s="41" t="s">
        <v>169</v>
      </c>
      <c r="AI275" s="41">
        <v>1</v>
      </c>
      <c r="AJ275" s="41">
        <v>1</v>
      </c>
      <c r="AK275" s="41">
        <v>0</v>
      </c>
      <c r="AL275" s="42">
        <v>0</v>
      </c>
      <c r="AM275" s="41" t="s">
        <v>144</v>
      </c>
      <c r="AN275" s="42">
        <v>0</v>
      </c>
      <c r="AO275" s="41" t="s">
        <v>104</v>
      </c>
      <c r="AP275" s="41" t="s">
        <v>541</v>
      </c>
      <c r="AQ275" s="41" t="s">
        <v>104</v>
      </c>
      <c r="AR275" s="41" t="s">
        <v>165</v>
      </c>
      <c r="AS275" s="41" t="s">
        <v>169</v>
      </c>
      <c r="AT275" s="41" t="s">
        <v>104</v>
      </c>
      <c r="AU275" s="41" t="s">
        <v>173</v>
      </c>
      <c r="AW275" s="41" t="s">
        <v>170</v>
      </c>
      <c r="AX275" s="41" t="s">
        <v>1706</v>
      </c>
      <c r="AY275" s="41" t="s">
        <v>2142</v>
      </c>
      <c r="AZ275" s="40"/>
      <c r="BA275" s="40"/>
    </row>
    <row r="276" spans="6:53" ht="29" x14ac:dyDescent="0.35">
      <c r="F276" s="40" t="s">
        <v>1271</v>
      </c>
      <c r="G276" s="85" t="s">
        <v>759</v>
      </c>
      <c r="H276" s="40" t="s">
        <v>759</v>
      </c>
      <c r="I276" s="41" t="s">
        <v>223</v>
      </c>
      <c r="J276" s="41" t="s">
        <v>601</v>
      </c>
      <c r="K276" s="41" t="s">
        <v>602</v>
      </c>
      <c r="L276" s="40" t="s">
        <v>603</v>
      </c>
      <c r="O276" s="40" t="s">
        <v>104</v>
      </c>
      <c r="P276" s="41" t="s">
        <v>104</v>
      </c>
      <c r="Q276" s="41" t="s">
        <v>104</v>
      </c>
      <c r="R276" s="41" t="s">
        <v>104</v>
      </c>
      <c r="S276" s="40" t="s">
        <v>169</v>
      </c>
      <c r="U276" s="41" t="s">
        <v>104</v>
      </c>
      <c r="V276" s="41" t="s">
        <v>104</v>
      </c>
      <c r="W276" s="41" t="s">
        <v>104</v>
      </c>
      <c r="X276" s="41" t="s">
        <v>104</v>
      </c>
      <c r="Y276" s="40" t="s">
        <v>604</v>
      </c>
      <c r="Z276" s="41" t="s">
        <v>605</v>
      </c>
      <c r="AA276" s="41" t="s">
        <v>119</v>
      </c>
      <c r="AB276" s="41" t="s">
        <v>793</v>
      </c>
      <c r="AC276" s="40" t="s">
        <v>604</v>
      </c>
      <c r="AD276" s="41" t="s">
        <v>607</v>
      </c>
      <c r="AE276" s="41" t="s">
        <v>119</v>
      </c>
      <c r="AF276" s="41" t="s">
        <v>794</v>
      </c>
      <c r="AG276" s="41" t="s">
        <v>138</v>
      </c>
      <c r="AH276" s="41" t="s">
        <v>169</v>
      </c>
      <c r="AI276" s="41">
        <v>0</v>
      </c>
      <c r="AJ276" s="41">
        <v>0</v>
      </c>
      <c r="AK276" s="41">
        <v>0</v>
      </c>
      <c r="AL276" s="42">
        <v>0</v>
      </c>
      <c r="AM276" s="41" t="s">
        <v>144</v>
      </c>
      <c r="AN276" s="42">
        <v>0</v>
      </c>
      <c r="AO276" s="41" t="s">
        <v>104</v>
      </c>
      <c r="AP276" s="41" t="s">
        <v>541</v>
      </c>
      <c r="AQ276" s="41" t="s">
        <v>104</v>
      </c>
      <c r="AR276" s="41" t="s">
        <v>165</v>
      </c>
      <c r="AS276" s="41" t="s">
        <v>169</v>
      </c>
      <c r="AT276" s="41" t="s">
        <v>104</v>
      </c>
      <c r="AU276" s="41" t="s">
        <v>173</v>
      </c>
      <c r="AW276" s="41" t="s">
        <v>170</v>
      </c>
      <c r="AX276" s="41" t="s">
        <v>1707</v>
      </c>
      <c r="AY276" s="41" t="s">
        <v>2143</v>
      </c>
      <c r="AZ276" s="40"/>
      <c r="BA276" s="40"/>
    </row>
    <row r="277" spans="6:53" ht="29" x14ac:dyDescent="0.35">
      <c r="F277" s="40" t="s">
        <v>1272</v>
      </c>
      <c r="G277" s="85" t="s">
        <v>654</v>
      </c>
      <c r="H277" s="40" t="s">
        <v>654</v>
      </c>
      <c r="I277" s="41" t="s">
        <v>223</v>
      </c>
      <c r="J277" s="41" t="s">
        <v>601</v>
      </c>
      <c r="K277" s="41" t="s">
        <v>602</v>
      </c>
      <c r="L277" s="40" t="s">
        <v>603</v>
      </c>
      <c r="O277" s="40" t="s">
        <v>104</v>
      </c>
      <c r="P277" s="41" t="s">
        <v>104</v>
      </c>
      <c r="Q277" s="41" t="s">
        <v>104</v>
      </c>
      <c r="R277" s="41" t="s">
        <v>104</v>
      </c>
      <c r="S277" s="40" t="s">
        <v>169</v>
      </c>
      <c r="U277" s="41" t="s">
        <v>104</v>
      </c>
      <c r="V277" s="41" t="s">
        <v>104</v>
      </c>
      <c r="W277" s="41" t="s">
        <v>104</v>
      </c>
      <c r="X277" s="41" t="s">
        <v>104</v>
      </c>
      <c r="Y277" s="40" t="s">
        <v>604</v>
      </c>
      <c r="Z277" s="41" t="s">
        <v>605</v>
      </c>
      <c r="AA277" s="41" t="s">
        <v>119</v>
      </c>
      <c r="AB277" s="41" t="s">
        <v>793</v>
      </c>
      <c r="AC277" s="40" t="s">
        <v>604</v>
      </c>
      <c r="AD277" s="41" t="s">
        <v>607</v>
      </c>
      <c r="AE277" s="41" t="s">
        <v>119</v>
      </c>
      <c r="AF277" s="41" t="s">
        <v>794</v>
      </c>
      <c r="AG277" s="41" t="s">
        <v>138</v>
      </c>
      <c r="AH277" s="41" t="s">
        <v>169</v>
      </c>
      <c r="AI277" s="41">
        <v>1</v>
      </c>
      <c r="AJ277" s="41">
        <v>1</v>
      </c>
      <c r="AK277" s="41">
        <v>0</v>
      </c>
      <c r="AL277" s="42">
        <v>0</v>
      </c>
      <c r="AM277" s="41" t="s">
        <v>144</v>
      </c>
      <c r="AN277" s="42">
        <v>0</v>
      </c>
      <c r="AO277" s="41" t="s">
        <v>104</v>
      </c>
      <c r="AP277" s="41" t="s">
        <v>541</v>
      </c>
      <c r="AQ277" s="41" t="s">
        <v>104</v>
      </c>
      <c r="AR277" s="41" t="s">
        <v>165</v>
      </c>
      <c r="AS277" s="41" t="s">
        <v>169</v>
      </c>
      <c r="AT277" s="41" t="s">
        <v>104</v>
      </c>
      <c r="AU277" s="41" t="s">
        <v>173</v>
      </c>
      <c r="AW277" s="41" t="s">
        <v>170</v>
      </c>
      <c r="AX277" s="41" t="s">
        <v>1708</v>
      </c>
      <c r="AY277" s="41" t="s">
        <v>2144</v>
      </c>
      <c r="AZ277" s="40"/>
      <c r="BA277" s="40"/>
    </row>
    <row r="278" spans="6:53" ht="29" x14ac:dyDescent="0.35">
      <c r="F278" s="40" t="s">
        <v>1273</v>
      </c>
      <c r="G278" s="85" t="s">
        <v>732</v>
      </c>
      <c r="H278" s="40" t="s">
        <v>732</v>
      </c>
      <c r="I278" s="41" t="s">
        <v>223</v>
      </c>
      <c r="J278" s="41" t="s">
        <v>601</v>
      </c>
      <c r="K278" s="41" t="s">
        <v>602</v>
      </c>
      <c r="L278" s="40" t="s">
        <v>603</v>
      </c>
      <c r="O278" s="40" t="s">
        <v>104</v>
      </c>
      <c r="P278" s="41" t="s">
        <v>104</v>
      </c>
      <c r="Q278" s="41" t="s">
        <v>104</v>
      </c>
      <c r="R278" s="41" t="s">
        <v>104</v>
      </c>
      <c r="S278" s="40" t="s">
        <v>169</v>
      </c>
      <c r="U278" s="41" t="s">
        <v>104</v>
      </c>
      <c r="V278" s="41" t="s">
        <v>104</v>
      </c>
      <c r="W278" s="41" t="s">
        <v>104</v>
      </c>
      <c r="X278" s="41" t="s">
        <v>104</v>
      </c>
      <c r="Y278" s="40" t="s">
        <v>604</v>
      </c>
      <c r="Z278" s="41" t="s">
        <v>605</v>
      </c>
      <c r="AA278" s="41" t="s">
        <v>119</v>
      </c>
      <c r="AB278" s="41" t="s">
        <v>793</v>
      </c>
      <c r="AC278" s="40" t="s">
        <v>604</v>
      </c>
      <c r="AD278" s="41" t="s">
        <v>607</v>
      </c>
      <c r="AE278" s="41" t="s">
        <v>119</v>
      </c>
      <c r="AF278" s="41" t="s">
        <v>794</v>
      </c>
      <c r="AG278" s="41" t="s">
        <v>138</v>
      </c>
      <c r="AH278" s="41" t="s">
        <v>169</v>
      </c>
      <c r="AI278" s="41">
        <v>2</v>
      </c>
      <c r="AJ278" s="41">
        <v>2</v>
      </c>
      <c r="AK278" s="41">
        <v>0</v>
      </c>
      <c r="AL278" s="42">
        <v>0</v>
      </c>
      <c r="AM278" s="41" t="s">
        <v>144</v>
      </c>
      <c r="AN278" s="42">
        <v>0</v>
      </c>
      <c r="AO278" s="41" t="s">
        <v>104</v>
      </c>
      <c r="AP278" s="41" t="s">
        <v>541</v>
      </c>
      <c r="AQ278" s="41" t="s">
        <v>104</v>
      </c>
      <c r="AR278" s="41" t="s">
        <v>165</v>
      </c>
      <c r="AS278" s="41" t="s">
        <v>169</v>
      </c>
      <c r="AT278" s="41" t="s">
        <v>104</v>
      </c>
      <c r="AU278" s="41" t="s">
        <v>173</v>
      </c>
      <c r="AW278" s="41" t="s">
        <v>170</v>
      </c>
      <c r="AX278" s="41" t="s">
        <v>1709</v>
      </c>
      <c r="AY278" s="41" t="s">
        <v>2145</v>
      </c>
      <c r="AZ278" s="40"/>
      <c r="BA278" s="40"/>
    </row>
    <row r="279" spans="6:53" ht="29" x14ac:dyDescent="0.35">
      <c r="F279" s="40" t="s">
        <v>1274</v>
      </c>
      <c r="G279" s="85" t="s">
        <v>795</v>
      </c>
      <c r="H279" s="40" t="s">
        <v>795</v>
      </c>
      <c r="I279" s="41" t="s">
        <v>223</v>
      </c>
      <c r="J279" s="41" t="s">
        <v>601</v>
      </c>
      <c r="K279" s="41" t="s">
        <v>602</v>
      </c>
      <c r="L279" s="40" t="s">
        <v>603</v>
      </c>
      <c r="O279" s="40" t="s">
        <v>104</v>
      </c>
      <c r="P279" s="41" t="s">
        <v>104</v>
      </c>
      <c r="Q279" s="41" t="s">
        <v>104</v>
      </c>
      <c r="R279" s="41" t="s">
        <v>104</v>
      </c>
      <c r="S279" s="40" t="s">
        <v>169</v>
      </c>
      <c r="U279" s="41" t="s">
        <v>104</v>
      </c>
      <c r="V279" s="41" t="s">
        <v>104</v>
      </c>
      <c r="W279" s="41" t="s">
        <v>104</v>
      </c>
      <c r="X279" s="41" t="s">
        <v>104</v>
      </c>
      <c r="Y279" s="40" t="s">
        <v>604</v>
      </c>
      <c r="Z279" s="41" t="s">
        <v>605</v>
      </c>
      <c r="AA279" s="41" t="s">
        <v>119</v>
      </c>
      <c r="AB279" s="41" t="s">
        <v>793</v>
      </c>
      <c r="AC279" s="40" t="s">
        <v>604</v>
      </c>
      <c r="AD279" s="41" t="s">
        <v>607</v>
      </c>
      <c r="AE279" s="41" t="s">
        <v>119</v>
      </c>
      <c r="AF279" s="41" t="s">
        <v>794</v>
      </c>
      <c r="AG279" s="41" t="s">
        <v>138</v>
      </c>
      <c r="AH279" s="41" t="s">
        <v>169</v>
      </c>
      <c r="AI279" s="41">
        <v>2</v>
      </c>
      <c r="AJ279" s="41">
        <v>2</v>
      </c>
      <c r="AK279" s="41">
        <v>0</v>
      </c>
      <c r="AL279" s="42">
        <v>0</v>
      </c>
      <c r="AM279" s="41" t="s">
        <v>144</v>
      </c>
      <c r="AN279" s="42">
        <v>0</v>
      </c>
      <c r="AO279" s="41" t="s">
        <v>104</v>
      </c>
      <c r="AP279" s="41" t="s">
        <v>541</v>
      </c>
      <c r="AQ279" s="41" t="s">
        <v>104</v>
      </c>
      <c r="AR279" s="41" t="s">
        <v>165</v>
      </c>
      <c r="AS279" s="41" t="s">
        <v>169</v>
      </c>
      <c r="AT279" s="41" t="s">
        <v>104</v>
      </c>
      <c r="AU279" s="41" t="s">
        <v>173</v>
      </c>
      <c r="AW279" s="41" t="s">
        <v>170</v>
      </c>
      <c r="AX279" s="41" t="s">
        <v>1710</v>
      </c>
      <c r="AY279" s="41" t="s">
        <v>2146</v>
      </c>
      <c r="AZ279" s="40"/>
      <c r="BA279" s="40"/>
    </row>
    <row r="280" spans="6:53" ht="29" x14ac:dyDescent="0.35">
      <c r="F280" s="40" t="s">
        <v>1275</v>
      </c>
      <c r="G280" s="85" t="s">
        <v>678</v>
      </c>
      <c r="H280" s="40" t="s">
        <v>678</v>
      </c>
      <c r="I280" s="41" t="s">
        <v>223</v>
      </c>
      <c r="J280" s="41" t="s">
        <v>601</v>
      </c>
      <c r="K280" s="41" t="s">
        <v>602</v>
      </c>
      <c r="L280" s="40" t="s">
        <v>603</v>
      </c>
      <c r="O280" s="40" t="s">
        <v>104</v>
      </c>
      <c r="P280" s="41" t="s">
        <v>104</v>
      </c>
      <c r="Q280" s="41" t="s">
        <v>104</v>
      </c>
      <c r="R280" s="41" t="s">
        <v>104</v>
      </c>
      <c r="S280" s="40" t="s">
        <v>169</v>
      </c>
      <c r="U280" s="41" t="s">
        <v>104</v>
      </c>
      <c r="V280" s="41" t="s">
        <v>104</v>
      </c>
      <c r="W280" s="41" t="s">
        <v>104</v>
      </c>
      <c r="X280" s="41" t="s">
        <v>104</v>
      </c>
      <c r="Y280" s="40" t="s">
        <v>604</v>
      </c>
      <c r="Z280" s="41" t="s">
        <v>605</v>
      </c>
      <c r="AA280" s="41" t="s">
        <v>119</v>
      </c>
      <c r="AB280" s="41" t="s">
        <v>793</v>
      </c>
      <c r="AC280" s="40" t="s">
        <v>604</v>
      </c>
      <c r="AD280" s="41" t="s">
        <v>607</v>
      </c>
      <c r="AE280" s="41" t="s">
        <v>119</v>
      </c>
      <c r="AF280" s="41" t="s">
        <v>794</v>
      </c>
      <c r="AG280" s="41" t="s">
        <v>138</v>
      </c>
      <c r="AH280" s="41" t="s">
        <v>169</v>
      </c>
      <c r="AI280" s="41">
        <v>1</v>
      </c>
      <c r="AJ280" s="41">
        <v>1</v>
      </c>
      <c r="AK280" s="41">
        <v>0</v>
      </c>
      <c r="AL280" s="42">
        <v>0</v>
      </c>
      <c r="AM280" s="41" t="s">
        <v>144</v>
      </c>
      <c r="AN280" s="42">
        <v>0</v>
      </c>
      <c r="AO280" s="41" t="s">
        <v>104</v>
      </c>
      <c r="AP280" s="41" t="s">
        <v>541</v>
      </c>
      <c r="AQ280" s="41" t="s">
        <v>104</v>
      </c>
      <c r="AR280" s="41" t="s">
        <v>165</v>
      </c>
      <c r="AS280" s="41" t="s">
        <v>169</v>
      </c>
      <c r="AT280" s="41" t="s">
        <v>104</v>
      </c>
      <c r="AU280" s="41" t="s">
        <v>173</v>
      </c>
      <c r="AW280" s="41" t="s">
        <v>170</v>
      </c>
      <c r="AX280" s="41" t="s">
        <v>1711</v>
      </c>
      <c r="AY280" s="41" t="s">
        <v>2147</v>
      </c>
      <c r="AZ280" s="40"/>
      <c r="BA280" s="40"/>
    </row>
    <row r="281" spans="6:53" ht="29" x14ac:dyDescent="0.35">
      <c r="F281" s="40" t="s">
        <v>1276</v>
      </c>
      <c r="G281" s="85" t="s">
        <v>690</v>
      </c>
      <c r="H281" s="40" t="s">
        <v>690</v>
      </c>
      <c r="I281" s="41" t="s">
        <v>223</v>
      </c>
      <c r="J281" s="41" t="s">
        <v>601</v>
      </c>
      <c r="K281" s="41" t="s">
        <v>602</v>
      </c>
      <c r="L281" s="40" t="s">
        <v>603</v>
      </c>
      <c r="O281" s="40" t="s">
        <v>104</v>
      </c>
      <c r="P281" s="41" t="s">
        <v>104</v>
      </c>
      <c r="Q281" s="41" t="s">
        <v>104</v>
      </c>
      <c r="R281" s="41" t="s">
        <v>104</v>
      </c>
      <c r="S281" s="40" t="s">
        <v>169</v>
      </c>
      <c r="U281" s="41" t="s">
        <v>104</v>
      </c>
      <c r="V281" s="41" t="s">
        <v>104</v>
      </c>
      <c r="W281" s="41" t="s">
        <v>104</v>
      </c>
      <c r="X281" s="41" t="s">
        <v>104</v>
      </c>
      <c r="Y281" s="40" t="s">
        <v>604</v>
      </c>
      <c r="Z281" s="41" t="s">
        <v>607</v>
      </c>
      <c r="AA281" s="41" t="s">
        <v>121</v>
      </c>
      <c r="AB281" s="41" t="s">
        <v>721</v>
      </c>
      <c r="AC281" s="40" t="s">
        <v>604</v>
      </c>
      <c r="AD281" s="41" t="s">
        <v>607</v>
      </c>
      <c r="AE281" s="41" t="s">
        <v>121</v>
      </c>
      <c r="AF281" s="41" t="s">
        <v>721</v>
      </c>
      <c r="AG281" s="41" t="s">
        <v>138</v>
      </c>
      <c r="AH281" s="41" t="s">
        <v>169</v>
      </c>
      <c r="AI281" s="41">
        <v>1</v>
      </c>
      <c r="AJ281" s="41">
        <v>1</v>
      </c>
      <c r="AK281" s="41">
        <v>0</v>
      </c>
      <c r="AL281" s="42">
        <v>0</v>
      </c>
      <c r="AM281" s="41" t="s">
        <v>144</v>
      </c>
      <c r="AN281" s="42">
        <v>0</v>
      </c>
      <c r="AO281" s="41" t="s">
        <v>104</v>
      </c>
      <c r="AP281" s="41" t="s">
        <v>541</v>
      </c>
      <c r="AQ281" s="41" t="s">
        <v>104</v>
      </c>
      <c r="AR281" s="41" t="s">
        <v>165</v>
      </c>
      <c r="AS281" s="41" t="s">
        <v>169</v>
      </c>
      <c r="AT281" s="41" t="s">
        <v>104</v>
      </c>
      <c r="AU281" s="41" t="s">
        <v>173</v>
      </c>
      <c r="AW281" s="41" t="s">
        <v>170</v>
      </c>
      <c r="AX281" s="41" t="s">
        <v>1712</v>
      </c>
      <c r="AY281" s="41" t="s">
        <v>2148</v>
      </c>
      <c r="AZ281" s="40"/>
      <c r="BA281" s="40"/>
    </row>
    <row r="282" spans="6:53" ht="29" x14ac:dyDescent="0.35">
      <c r="F282" s="40" t="s">
        <v>1277</v>
      </c>
      <c r="G282" s="85" t="s">
        <v>761</v>
      </c>
      <c r="H282" s="40" t="s">
        <v>761</v>
      </c>
      <c r="I282" s="41" t="s">
        <v>223</v>
      </c>
      <c r="J282" s="41" t="s">
        <v>601</v>
      </c>
      <c r="K282" s="41" t="s">
        <v>602</v>
      </c>
      <c r="L282" s="40" t="s">
        <v>603</v>
      </c>
      <c r="O282" s="40" t="s">
        <v>104</v>
      </c>
      <c r="P282" s="41" t="s">
        <v>104</v>
      </c>
      <c r="Q282" s="41" t="s">
        <v>104</v>
      </c>
      <c r="R282" s="41" t="s">
        <v>104</v>
      </c>
      <c r="S282" s="40" t="s">
        <v>169</v>
      </c>
      <c r="T282" s="41" t="s">
        <v>754</v>
      </c>
      <c r="U282" s="41" t="s">
        <v>104</v>
      </c>
      <c r="V282" s="41" t="s">
        <v>104</v>
      </c>
      <c r="W282" s="41" t="s">
        <v>104</v>
      </c>
      <c r="X282" s="41" t="s">
        <v>104</v>
      </c>
      <c r="Y282" s="40" t="s">
        <v>604</v>
      </c>
      <c r="Z282" s="41" t="s">
        <v>605</v>
      </c>
      <c r="AA282" s="41" t="s">
        <v>119</v>
      </c>
      <c r="AB282" s="41" t="s">
        <v>793</v>
      </c>
      <c r="AC282" s="40" t="s">
        <v>604</v>
      </c>
      <c r="AD282" s="41" t="s">
        <v>607</v>
      </c>
      <c r="AE282" s="41" t="s">
        <v>119</v>
      </c>
      <c r="AF282" s="41" t="s">
        <v>794</v>
      </c>
      <c r="AG282" s="41" t="s">
        <v>138</v>
      </c>
      <c r="AH282" s="41" t="s">
        <v>169</v>
      </c>
      <c r="AI282" s="41">
        <v>1</v>
      </c>
      <c r="AJ282" s="41">
        <v>1</v>
      </c>
      <c r="AK282" s="41">
        <v>0</v>
      </c>
      <c r="AL282" s="42">
        <v>0</v>
      </c>
      <c r="AM282" s="41" t="s">
        <v>144</v>
      </c>
      <c r="AN282" s="42">
        <v>0</v>
      </c>
      <c r="AO282" s="41" t="s">
        <v>104</v>
      </c>
      <c r="AP282" s="41" t="s">
        <v>541</v>
      </c>
      <c r="AQ282" s="41" t="s">
        <v>104</v>
      </c>
      <c r="AR282" s="41" t="s">
        <v>165</v>
      </c>
      <c r="AS282" s="41" t="s">
        <v>169</v>
      </c>
      <c r="AT282" s="41" t="s">
        <v>104</v>
      </c>
      <c r="AU282" s="41" t="s">
        <v>173</v>
      </c>
      <c r="AW282" s="41" t="s">
        <v>170</v>
      </c>
      <c r="AX282" s="41" t="s">
        <v>1713</v>
      </c>
      <c r="AY282" s="41" t="s">
        <v>2149</v>
      </c>
      <c r="AZ282" s="40"/>
      <c r="BA282" s="40"/>
    </row>
    <row r="283" spans="6:53" ht="29" x14ac:dyDescent="0.35">
      <c r="F283" s="40" t="s">
        <v>1278</v>
      </c>
      <c r="G283" s="85" t="s">
        <v>764</v>
      </c>
      <c r="H283" s="40" t="s">
        <v>764</v>
      </c>
      <c r="I283" s="41" t="s">
        <v>223</v>
      </c>
      <c r="J283" s="41" t="s">
        <v>601</v>
      </c>
      <c r="K283" s="41" t="s">
        <v>602</v>
      </c>
      <c r="L283" s="40" t="s">
        <v>603</v>
      </c>
      <c r="O283" s="40" t="s">
        <v>104</v>
      </c>
      <c r="P283" s="41" t="s">
        <v>104</v>
      </c>
      <c r="Q283" s="41" t="s">
        <v>104</v>
      </c>
      <c r="R283" s="41" t="s">
        <v>104</v>
      </c>
      <c r="S283" s="40" t="s">
        <v>169</v>
      </c>
      <c r="T283" s="41" t="s">
        <v>758</v>
      </c>
      <c r="U283" s="41" t="s">
        <v>104</v>
      </c>
      <c r="V283" s="41" t="s">
        <v>104</v>
      </c>
      <c r="W283" s="41" t="s">
        <v>104</v>
      </c>
      <c r="X283" s="41" t="s">
        <v>104</v>
      </c>
      <c r="Y283" s="40" t="s">
        <v>604</v>
      </c>
      <c r="Z283" s="41" t="s">
        <v>605</v>
      </c>
      <c r="AA283" s="41" t="s">
        <v>119</v>
      </c>
      <c r="AB283" s="41" t="s">
        <v>796</v>
      </c>
      <c r="AC283" s="40" t="s">
        <v>604</v>
      </c>
      <c r="AD283" s="41" t="s">
        <v>607</v>
      </c>
      <c r="AE283" s="41" t="s">
        <v>119</v>
      </c>
      <c r="AG283" s="41" t="s">
        <v>138</v>
      </c>
      <c r="AH283" s="41" t="s">
        <v>169</v>
      </c>
      <c r="AI283" s="41">
        <v>1</v>
      </c>
      <c r="AJ283" s="41">
        <v>1</v>
      </c>
      <c r="AK283" s="41">
        <v>0</v>
      </c>
      <c r="AL283" s="42">
        <v>0</v>
      </c>
      <c r="AM283" s="41" t="s">
        <v>144</v>
      </c>
      <c r="AN283" s="42">
        <v>0</v>
      </c>
      <c r="AO283" s="41" t="s">
        <v>104</v>
      </c>
      <c r="AP283" s="41" t="s">
        <v>541</v>
      </c>
      <c r="AQ283" s="41" t="s">
        <v>104</v>
      </c>
      <c r="AR283" s="41" t="s">
        <v>165</v>
      </c>
      <c r="AS283" s="41" t="s">
        <v>169</v>
      </c>
      <c r="AT283" s="41" t="s">
        <v>104</v>
      </c>
      <c r="AU283" s="41" t="s">
        <v>173</v>
      </c>
      <c r="AW283" s="41" t="s">
        <v>170</v>
      </c>
      <c r="AX283" s="41" t="s">
        <v>1714</v>
      </c>
      <c r="AY283" s="41" t="s">
        <v>2150</v>
      </c>
      <c r="AZ283" s="40"/>
      <c r="BA283" s="40"/>
    </row>
    <row r="284" spans="6:53" ht="29" x14ac:dyDescent="0.35">
      <c r="F284" s="40" t="s">
        <v>1279</v>
      </c>
      <c r="G284" s="85" t="s">
        <v>616</v>
      </c>
      <c r="H284" s="40" t="s">
        <v>616</v>
      </c>
      <c r="I284" s="41" t="s">
        <v>223</v>
      </c>
      <c r="J284" s="41" t="s">
        <v>601</v>
      </c>
      <c r="K284" s="41" t="s">
        <v>602</v>
      </c>
      <c r="L284" s="40" t="s">
        <v>603</v>
      </c>
      <c r="O284" s="40" t="s">
        <v>104</v>
      </c>
      <c r="P284" s="41" t="s">
        <v>104</v>
      </c>
      <c r="Q284" s="41" t="s">
        <v>104</v>
      </c>
      <c r="R284" s="41" t="s">
        <v>104</v>
      </c>
      <c r="S284" s="40" t="s">
        <v>169</v>
      </c>
      <c r="U284" s="41" t="s">
        <v>104</v>
      </c>
      <c r="V284" s="41" t="s">
        <v>104</v>
      </c>
      <c r="W284" s="41" t="s">
        <v>104</v>
      </c>
      <c r="X284" s="41" t="s">
        <v>104</v>
      </c>
      <c r="Y284" s="40" t="s">
        <v>604</v>
      </c>
      <c r="Z284" s="41" t="s">
        <v>605</v>
      </c>
      <c r="AA284" s="41" t="s">
        <v>119</v>
      </c>
      <c r="AB284" s="41" t="s">
        <v>796</v>
      </c>
      <c r="AC284" s="40" t="s">
        <v>604</v>
      </c>
      <c r="AD284" s="41" t="s">
        <v>607</v>
      </c>
      <c r="AE284" s="41" t="s">
        <v>119</v>
      </c>
      <c r="AG284" s="41" t="s">
        <v>138</v>
      </c>
      <c r="AH284" s="41" t="s">
        <v>169</v>
      </c>
      <c r="AI284" s="41">
        <v>1</v>
      </c>
      <c r="AJ284" s="41">
        <v>1</v>
      </c>
      <c r="AK284" s="41">
        <v>0</v>
      </c>
      <c r="AL284" s="42">
        <v>0</v>
      </c>
      <c r="AM284" s="41" t="s">
        <v>144</v>
      </c>
      <c r="AN284" s="42">
        <v>0</v>
      </c>
      <c r="AO284" s="41" t="s">
        <v>104</v>
      </c>
      <c r="AP284" s="41" t="s">
        <v>541</v>
      </c>
      <c r="AQ284" s="41" t="s">
        <v>104</v>
      </c>
      <c r="AR284" s="41" t="s">
        <v>165</v>
      </c>
      <c r="AS284" s="41" t="s">
        <v>169</v>
      </c>
      <c r="AT284" s="41" t="s">
        <v>104</v>
      </c>
      <c r="AU284" s="41" t="s">
        <v>173</v>
      </c>
      <c r="AW284" s="41" t="s">
        <v>170</v>
      </c>
      <c r="AX284" s="41" t="s">
        <v>1715</v>
      </c>
      <c r="AY284" s="41" t="s">
        <v>2151</v>
      </c>
      <c r="AZ284" s="40"/>
      <c r="BA284" s="40"/>
    </row>
    <row r="285" spans="6:53" ht="29" x14ac:dyDescent="0.35">
      <c r="F285" s="40" t="s">
        <v>1280</v>
      </c>
      <c r="G285" s="85" t="s">
        <v>759</v>
      </c>
      <c r="H285" s="40" t="s">
        <v>759</v>
      </c>
      <c r="I285" s="41" t="s">
        <v>223</v>
      </c>
      <c r="J285" s="41" t="s">
        <v>601</v>
      </c>
      <c r="K285" s="41" t="s">
        <v>602</v>
      </c>
      <c r="L285" s="40" t="s">
        <v>603</v>
      </c>
      <c r="O285" s="40" t="s">
        <v>104</v>
      </c>
      <c r="P285" s="41" t="s">
        <v>104</v>
      </c>
      <c r="Q285" s="41" t="s">
        <v>104</v>
      </c>
      <c r="R285" s="41" t="s">
        <v>104</v>
      </c>
      <c r="S285" s="40" t="s">
        <v>169</v>
      </c>
      <c r="U285" s="41" t="s">
        <v>104</v>
      </c>
      <c r="V285" s="41" t="s">
        <v>104</v>
      </c>
      <c r="W285" s="41" t="s">
        <v>104</v>
      </c>
      <c r="X285" s="41" t="s">
        <v>104</v>
      </c>
      <c r="Y285" s="40" t="s">
        <v>604</v>
      </c>
      <c r="Z285" s="41" t="s">
        <v>605</v>
      </c>
      <c r="AA285" s="41" t="s">
        <v>119</v>
      </c>
      <c r="AB285" s="41" t="s">
        <v>796</v>
      </c>
      <c r="AC285" s="40" t="s">
        <v>604</v>
      </c>
      <c r="AD285" s="41" t="s">
        <v>607</v>
      </c>
      <c r="AE285" s="41" t="s">
        <v>119</v>
      </c>
      <c r="AG285" s="41" t="s">
        <v>138</v>
      </c>
      <c r="AH285" s="41" t="s">
        <v>169</v>
      </c>
      <c r="AI285" s="41">
        <v>1</v>
      </c>
      <c r="AJ285" s="41">
        <v>1</v>
      </c>
      <c r="AK285" s="41">
        <v>0</v>
      </c>
      <c r="AL285" s="42">
        <v>0</v>
      </c>
      <c r="AM285" s="41" t="s">
        <v>144</v>
      </c>
      <c r="AN285" s="42">
        <v>0</v>
      </c>
      <c r="AO285" s="41" t="s">
        <v>104</v>
      </c>
      <c r="AP285" s="41" t="s">
        <v>541</v>
      </c>
      <c r="AQ285" s="41" t="s">
        <v>104</v>
      </c>
      <c r="AR285" s="41" t="s">
        <v>165</v>
      </c>
      <c r="AS285" s="41" t="s">
        <v>169</v>
      </c>
      <c r="AT285" s="41" t="s">
        <v>104</v>
      </c>
      <c r="AU285" s="41" t="s">
        <v>173</v>
      </c>
      <c r="AW285" s="41" t="s">
        <v>170</v>
      </c>
      <c r="AX285" s="41" t="s">
        <v>1716</v>
      </c>
      <c r="AY285" s="41" t="s">
        <v>2152</v>
      </c>
      <c r="AZ285" s="40"/>
      <c r="BA285" s="40"/>
    </row>
    <row r="286" spans="6:53" ht="29" x14ac:dyDescent="0.35">
      <c r="F286" s="40" t="s">
        <v>1281</v>
      </c>
      <c r="G286" s="85" t="s">
        <v>760</v>
      </c>
      <c r="H286" s="40" t="s">
        <v>760</v>
      </c>
      <c r="I286" s="41" t="s">
        <v>223</v>
      </c>
      <c r="J286" s="41" t="s">
        <v>601</v>
      </c>
      <c r="K286" s="41" t="s">
        <v>602</v>
      </c>
      <c r="L286" s="40" t="s">
        <v>603</v>
      </c>
      <c r="O286" s="40" t="s">
        <v>104</v>
      </c>
      <c r="P286" s="41" t="s">
        <v>104</v>
      </c>
      <c r="Q286" s="41" t="s">
        <v>104</v>
      </c>
      <c r="R286" s="41" t="s">
        <v>104</v>
      </c>
      <c r="S286" s="40" t="s">
        <v>169</v>
      </c>
      <c r="U286" s="41" t="s">
        <v>104</v>
      </c>
      <c r="V286" s="41" t="s">
        <v>104</v>
      </c>
      <c r="W286" s="41" t="s">
        <v>112</v>
      </c>
      <c r="X286" s="41" t="s">
        <v>104</v>
      </c>
      <c r="Y286" s="40" t="s">
        <v>604</v>
      </c>
      <c r="Z286" s="41" t="s">
        <v>605</v>
      </c>
      <c r="AA286" s="41" t="s">
        <v>119</v>
      </c>
      <c r="AB286" s="41" t="s">
        <v>796</v>
      </c>
      <c r="AC286" s="40" t="s">
        <v>604</v>
      </c>
      <c r="AD286" s="41" t="s">
        <v>607</v>
      </c>
      <c r="AE286" s="41" t="s">
        <v>119</v>
      </c>
      <c r="AG286" s="41" t="s">
        <v>138</v>
      </c>
      <c r="AH286" s="41" t="s">
        <v>169</v>
      </c>
      <c r="AI286" s="41">
        <v>0</v>
      </c>
      <c r="AJ286" s="41">
        <v>0</v>
      </c>
      <c r="AK286" s="41">
        <v>0</v>
      </c>
      <c r="AL286" s="42">
        <v>0</v>
      </c>
      <c r="AM286" s="41" t="s">
        <v>144</v>
      </c>
      <c r="AN286" s="42">
        <v>0</v>
      </c>
      <c r="AO286" s="41" t="s">
        <v>104</v>
      </c>
      <c r="AP286" s="41" t="s">
        <v>541</v>
      </c>
      <c r="AQ286" s="41" t="s">
        <v>104</v>
      </c>
      <c r="AR286" s="41" t="s">
        <v>165</v>
      </c>
      <c r="AS286" s="41" t="s">
        <v>169</v>
      </c>
      <c r="AT286" s="41" t="s">
        <v>104</v>
      </c>
      <c r="AU286" s="41" t="s">
        <v>173</v>
      </c>
      <c r="AW286" s="41" t="s">
        <v>170</v>
      </c>
      <c r="AX286" s="41" t="s">
        <v>1717</v>
      </c>
      <c r="AY286" s="41" t="s">
        <v>2153</v>
      </c>
      <c r="AZ286" s="40"/>
      <c r="BA286" s="40"/>
    </row>
    <row r="287" spans="6:53" ht="29" x14ac:dyDescent="0.35">
      <c r="F287" s="40" t="s">
        <v>1282</v>
      </c>
      <c r="G287" s="85" t="s">
        <v>656</v>
      </c>
      <c r="H287" s="40" t="s">
        <v>656</v>
      </c>
      <c r="I287" s="41" t="s">
        <v>223</v>
      </c>
      <c r="J287" s="41" t="s">
        <v>601</v>
      </c>
      <c r="K287" s="41" t="s">
        <v>602</v>
      </c>
      <c r="L287" s="40" t="s">
        <v>603</v>
      </c>
      <c r="O287" s="40" t="s">
        <v>104</v>
      </c>
      <c r="P287" s="41" t="s">
        <v>104</v>
      </c>
      <c r="Q287" s="41" t="s">
        <v>104</v>
      </c>
      <c r="R287" s="41" t="s">
        <v>104</v>
      </c>
      <c r="S287" s="40" t="s">
        <v>169</v>
      </c>
      <c r="U287" s="41" t="s">
        <v>104</v>
      </c>
      <c r="V287" s="41" t="s">
        <v>104</v>
      </c>
      <c r="W287" s="41" t="s">
        <v>104</v>
      </c>
      <c r="X287" s="41" t="s">
        <v>104</v>
      </c>
      <c r="Y287" s="40" t="s">
        <v>604</v>
      </c>
      <c r="Z287" s="41" t="s">
        <v>605</v>
      </c>
      <c r="AA287" s="41" t="s">
        <v>119</v>
      </c>
      <c r="AB287" s="41" t="s">
        <v>796</v>
      </c>
      <c r="AC287" s="40" t="s">
        <v>604</v>
      </c>
      <c r="AD287" s="41" t="s">
        <v>607</v>
      </c>
      <c r="AE287" s="41" t="s">
        <v>119</v>
      </c>
      <c r="AG287" s="41" t="s">
        <v>138</v>
      </c>
      <c r="AH287" s="41" t="s">
        <v>169</v>
      </c>
      <c r="AI287" s="41">
        <v>1</v>
      </c>
      <c r="AJ287" s="41">
        <v>1</v>
      </c>
      <c r="AK287" s="41">
        <v>0</v>
      </c>
      <c r="AL287" s="42">
        <v>0</v>
      </c>
      <c r="AM287" s="41" t="s">
        <v>144</v>
      </c>
      <c r="AN287" s="42">
        <v>0</v>
      </c>
      <c r="AO287" s="41" t="s">
        <v>104</v>
      </c>
      <c r="AP287" s="41" t="s">
        <v>541</v>
      </c>
      <c r="AQ287" s="41" t="s">
        <v>104</v>
      </c>
      <c r="AR287" s="41" t="s">
        <v>165</v>
      </c>
      <c r="AS287" s="41" t="s">
        <v>169</v>
      </c>
      <c r="AT287" s="41" t="s">
        <v>104</v>
      </c>
      <c r="AU287" s="41" t="s">
        <v>173</v>
      </c>
      <c r="AW287" s="41" t="s">
        <v>170</v>
      </c>
      <c r="AX287" s="41" t="s">
        <v>1718</v>
      </c>
      <c r="AY287" s="41" t="s">
        <v>2154</v>
      </c>
      <c r="AZ287" s="40"/>
      <c r="BA287" s="40"/>
    </row>
    <row r="288" spans="6:53" ht="29" x14ac:dyDescent="0.35">
      <c r="F288" s="40" t="s">
        <v>1283</v>
      </c>
      <c r="G288" s="85" t="s">
        <v>797</v>
      </c>
      <c r="H288" s="40" t="s">
        <v>797</v>
      </c>
      <c r="I288" s="41" t="s">
        <v>223</v>
      </c>
      <c r="J288" s="41" t="s">
        <v>601</v>
      </c>
      <c r="K288" s="41" t="s">
        <v>602</v>
      </c>
      <c r="L288" s="40" t="s">
        <v>603</v>
      </c>
      <c r="O288" s="40" t="s">
        <v>104</v>
      </c>
      <c r="P288" s="41" t="s">
        <v>104</v>
      </c>
      <c r="Q288" s="41" t="s">
        <v>104</v>
      </c>
      <c r="R288" s="41" t="s">
        <v>104</v>
      </c>
      <c r="S288" s="40" t="s">
        <v>169</v>
      </c>
      <c r="U288" s="41" t="s">
        <v>104</v>
      </c>
      <c r="V288" s="41" t="s">
        <v>104</v>
      </c>
      <c r="W288" s="41" t="s">
        <v>104</v>
      </c>
      <c r="X288" s="41" t="s">
        <v>104</v>
      </c>
      <c r="Y288" s="40" t="s">
        <v>604</v>
      </c>
      <c r="Z288" s="41" t="s">
        <v>605</v>
      </c>
      <c r="AA288" s="41" t="s">
        <v>119</v>
      </c>
      <c r="AB288" s="41" t="s">
        <v>796</v>
      </c>
      <c r="AC288" s="40" t="s">
        <v>604</v>
      </c>
      <c r="AD288" s="41" t="s">
        <v>607</v>
      </c>
      <c r="AE288" s="41" t="s">
        <v>119</v>
      </c>
      <c r="AF288" s="41" t="s">
        <v>798</v>
      </c>
      <c r="AG288" s="41" t="s">
        <v>138</v>
      </c>
      <c r="AH288" s="41" t="s">
        <v>169</v>
      </c>
      <c r="AI288" s="41">
        <v>1</v>
      </c>
      <c r="AJ288" s="41">
        <v>1</v>
      </c>
      <c r="AK288" s="41">
        <v>0</v>
      </c>
      <c r="AL288" s="42">
        <v>0</v>
      </c>
      <c r="AM288" s="41" t="s">
        <v>144</v>
      </c>
      <c r="AN288" s="42">
        <v>0</v>
      </c>
      <c r="AO288" s="41" t="s">
        <v>104</v>
      </c>
      <c r="AP288" s="41" t="s">
        <v>541</v>
      </c>
      <c r="AQ288" s="41" t="s">
        <v>104</v>
      </c>
      <c r="AR288" s="41" t="s">
        <v>165</v>
      </c>
      <c r="AS288" s="41" t="s">
        <v>169</v>
      </c>
      <c r="AT288" s="41" t="s">
        <v>104</v>
      </c>
      <c r="AU288" s="41" t="s">
        <v>173</v>
      </c>
      <c r="AW288" s="41" t="s">
        <v>170</v>
      </c>
      <c r="AX288" s="41" t="s">
        <v>1719</v>
      </c>
      <c r="AY288" s="41" t="s">
        <v>2155</v>
      </c>
      <c r="AZ288" s="40"/>
      <c r="BA288" s="40"/>
    </row>
    <row r="289" spans="6:53" ht="29" x14ac:dyDescent="0.35">
      <c r="F289" s="40" t="s">
        <v>1284</v>
      </c>
      <c r="G289" s="85" t="s">
        <v>799</v>
      </c>
      <c r="H289" s="40" t="s">
        <v>799</v>
      </c>
      <c r="I289" s="41" t="s">
        <v>223</v>
      </c>
      <c r="J289" s="41" t="s">
        <v>601</v>
      </c>
      <c r="K289" s="41" t="s">
        <v>602</v>
      </c>
      <c r="L289" s="40" t="s">
        <v>603</v>
      </c>
      <c r="O289" s="40" t="s">
        <v>104</v>
      </c>
      <c r="P289" s="41" t="s">
        <v>104</v>
      </c>
      <c r="Q289" s="41" t="s">
        <v>104</v>
      </c>
      <c r="R289" s="41" t="s">
        <v>104</v>
      </c>
      <c r="S289" s="40" t="s">
        <v>169</v>
      </c>
      <c r="U289" s="41" t="s">
        <v>104</v>
      </c>
      <c r="V289" s="41" t="s">
        <v>104</v>
      </c>
      <c r="W289" s="41" t="s">
        <v>104</v>
      </c>
      <c r="X289" s="41" t="s">
        <v>104</v>
      </c>
      <c r="Y289" s="40" t="s">
        <v>604</v>
      </c>
      <c r="Z289" s="41" t="s">
        <v>605</v>
      </c>
      <c r="AA289" s="41" t="s">
        <v>119</v>
      </c>
      <c r="AB289" s="41" t="s">
        <v>800</v>
      </c>
      <c r="AC289" s="40" t="s">
        <v>604</v>
      </c>
      <c r="AD289" s="41" t="s">
        <v>607</v>
      </c>
      <c r="AE289" s="41" t="s">
        <v>119</v>
      </c>
      <c r="AF289" s="41" t="s">
        <v>800</v>
      </c>
      <c r="AG289" s="41" t="s">
        <v>138</v>
      </c>
      <c r="AH289" s="41" t="s">
        <v>169</v>
      </c>
      <c r="AI289" s="41">
        <v>1</v>
      </c>
      <c r="AJ289" s="41">
        <v>1</v>
      </c>
      <c r="AK289" s="41">
        <v>0</v>
      </c>
      <c r="AL289" s="42">
        <v>0</v>
      </c>
      <c r="AM289" s="41" t="s">
        <v>144</v>
      </c>
      <c r="AN289" s="42">
        <v>0</v>
      </c>
      <c r="AO289" s="41" t="s">
        <v>104</v>
      </c>
      <c r="AP289" s="41" t="s">
        <v>541</v>
      </c>
      <c r="AQ289" s="41" t="s">
        <v>104</v>
      </c>
      <c r="AR289" s="41" t="s">
        <v>165</v>
      </c>
      <c r="AS289" s="41" t="s">
        <v>169</v>
      </c>
      <c r="AT289" s="41" t="s">
        <v>104</v>
      </c>
      <c r="AU289" s="41" t="s">
        <v>173</v>
      </c>
      <c r="AW289" s="41" t="s">
        <v>170</v>
      </c>
      <c r="AX289" s="41" t="s">
        <v>1720</v>
      </c>
      <c r="AY289" s="41" t="s">
        <v>2156</v>
      </c>
      <c r="AZ289" s="40"/>
      <c r="BA289" s="40"/>
    </row>
    <row r="290" spans="6:53" ht="29" x14ac:dyDescent="0.35">
      <c r="F290" s="40" t="s">
        <v>1285</v>
      </c>
      <c r="G290" s="85" t="s">
        <v>801</v>
      </c>
      <c r="H290" s="40" t="s">
        <v>801</v>
      </c>
      <c r="I290" s="41" t="s">
        <v>223</v>
      </c>
      <c r="J290" s="41" t="s">
        <v>601</v>
      </c>
      <c r="K290" s="41" t="s">
        <v>602</v>
      </c>
      <c r="L290" s="40" t="s">
        <v>603</v>
      </c>
      <c r="O290" s="40" t="s">
        <v>104</v>
      </c>
      <c r="P290" s="41" t="s">
        <v>104</v>
      </c>
      <c r="Q290" s="41" t="s">
        <v>104</v>
      </c>
      <c r="R290" s="41" t="s">
        <v>104</v>
      </c>
      <c r="S290" s="40" t="s">
        <v>169</v>
      </c>
      <c r="T290" s="41" t="s">
        <v>611</v>
      </c>
      <c r="U290" s="41" t="s">
        <v>104</v>
      </c>
      <c r="V290" s="41" t="s">
        <v>104</v>
      </c>
      <c r="W290" s="41" t="s">
        <v>104</v>
      </c>
      <c r="X290" s="41" t="s">
        <v>104</v>
      </c>
      <c r="Y290" s="40" t="s">
        <v>604</v>
      </c>
      <c r="Z290" s="41" t="s">
        <v>605</v>
      </c>
      <c r="AA290" s="41" t="s">
        <v>102</v>
      </c>
      <c r="AB290" s="41" t="s">
        <v>802</v>
      </c>
      <c r="AC290" s="40" t="s">
        <v>604</v>
      </c>
      <c r="AD290" s="41" t="s">
        <v>607</v>
      </c>
      <c r="AE290" s="41" t="s">
        <v>102</v>
      </c>
      <c r="AF290" s="41" t="s">
        <v>802</v>
      </c>
      <c r="AG290" s="41" t="s">
        <v>138</v>
      </c>
      <c r="AH290" s="41" t="s">
        <v>169</v>
      </c>
      <c r="AI290" s="41">
        <v>1</v>
      </c>
      <c r="AJ290" s="41">
        <v>1</v>
      </c>
      <c r="AK290" s="41">
        <v>0</v>
      </c>
      <c r="AL290" s="42">
        <v>0</v>
      </c>
      <c r="AM290" s="41" t="s">
        <v>144</v>
      </c>
      <c r="AN290" s="42">
        <v>0</v>
      </c>
      <c r="AO290" s="41" t="s">
        <v>104</v>
      </c>
      <c r="AP290" s="41" t="s">
        <v>541</v>
      </c>
      <c r="AQ290" s="41" t="s">
        <v>104</v>
      </c>
      <c r="AR290" s="41" t="s">
        <v>165</v>
      </c>
      <c r="AS290" s="41" t="s">
        <v>169</v>
      </c>
      <c r="AT290" s="41" t="s">
        <v>104</v>
      </c>
      <c r="AU290" s="41" t="s">
        <v>173</v>
      </c>
      <c r="AW290" s="41" t="s">
        <v>170</v>
      </c>
      <c r="AX290" s="41" t="s">
        <v>1721</v>
      </c>
      <c r="AY290" s="41" t="s">
        <v>2157</v>
      </c>
      <c r="AZ290" s="40"/>
      <c r="BA290" s="40"/>
    </row>
    <row r="291" spans="6:53" ht="72.5" x14ac:dyDescent="0.35">
      <c r="F291" s="40" t="s">
        <v>1286</v>
      </c>
      <c r="G291" s="85" t="s">
        <v>636</v>
      </c>
      <c r="H291" s="40" t="s">
        <v>803</v>
      </c>
      <c r="I291" s="41" t="s">
        <v>223</v>
      </c>
      <c r="J291" s="41" t="s">
        <v>804</v>
      </c>
      <c r="K291" s="41" t="s">
        <v>805</v>
      </c>
      <c r="L291" s="40" t="s">
        <v>603</v>
      </c>
      <c r="O291" s="40" t="s">
        <v>104</v>
      </c>
      <c r="P291" s="41" t="s">
        <v>806</v>
      </c>
      <c r="Q291" s="41" t="s">
        <v>104</v>
      </c>
      <c r="R291" s="41" t="s">
        <v>104</v>
      </c>
      <c r="S291" s="40" t="s">
        <v>169</v>
      </c>
      <c r="U291" s="41" t="s">
        <v>104</v>
      </c>
      <c r="V291" s="41" t="s">
        <v>104</v>
      </c>
      <c r="W291" s="41" t="s">
        <v>104</v>
      </c>
      <c r="X291" s="41" t="s">
        <v>104</v>
      </c>
      <c r="Y291" s="40" t="s">
        <v>104</v>
      </c>
      <c r="Z291" s="41" t="s">
        <v>104</v>
      </c>
      <c r="AA291" s="41" t="s">
        <v>102</v>
      </c>
      <c r="AB291" s="41" t="s">
        <v>104</v>
      </c>
      <c r="AC291" s="40" t="s">
        <v>604</v>
      </c>
      <c r="AD291" s="41" t="s">
        <v>607</v>
      </c>
      <c r="AE291" s="41" t="s">
        <v>102</v>
      </c>
      <c r="AF291" s="41" t="s">
        <v>807</v>
      </c>
      <c r="AG291" s="41" t="s">
        <v>139</v>
      </c>
      <c r="AH291" s="41" t="s">
        <v>141</v>
      </c>
      <c r="AI291" s="41">
        <v>12</v>
      </c>
      <c r="AJ291" s="41">
        <v>0</v>
      </c>
      <c r="AK291" s="41">
        <v>12</v>
      </c>
      <c r="AL291" s="42">
        <v>158.91</v>
      </c>
      <c r="AM291" s="41" t="s">
        <v>144</v>
      </c>
      <c r="AN291" s="42">
        <v>1906.92</v>
      </c>
      <c r="AO291" s="41">
        <v>45920</v>
      </c>
      <c r="AP291" s="41" t="s">
        <v>155</v>
      </c>
      <c r="AR291" s="41" t="s">
        <v>164</v>
      </c>
      <c r="AS291" s="41" t="s">
        <v>170</v>
      </c>
      <c r="AT291" s="41" t="s">
        <v>219</v>
      </c>
      <c r="AU291" s="41" t="s">
        <v>173</v>
      </c>
      <c r="AW291" s="41" t="s">
        <v>171</v>
      </c>
      <c r="AX291" s="41" t="s">
        <v>1722</v>
      </c>
      <c r="AY291" s="41"/>
      <c r="AZ291" s="40" t="s">
        <v>2158</v>
      </c>
      <c r="BA291" s="40" t="s">
        <v>2159</v>
      </c>
    </row>
    <row r="292" spans="6:53" ht="72.5" x14ac:dyDescent="0.35">
      <c r="F292" s="40" t="s">
        <v>1287</v>
      </c>
      <c r="G292" s="85" t="s">
        <v>808</v>
      </c>
      <c r="H292" s="40" t="s">
        <v>809</v>
      </c>
      <c r="I292" s="41" t="s">
        <v>223</v>
      </c>
      <c r="J292" s="41" t="s">
        <v>804</v>
      </c>
      <c r="K292" s="41" t="s">
        <v>805</v>
      </c>
      <c r="L292" s="40" t="s">
        <v>603</v>
      </c>
      <c r="O292" s="40" t="s">
        <v>104</v>
      </c>
      <c r="P292" s="41" t="s">
        <v>810</v>
      </c>
      <c r="Q292" s="41" t="s">
        <v>104</v>
      </c>
      <c r="R292" s="41" t="s">
        <v>104</v>
      </c>
      <c r="S292" s="40" t="s">
        <v>169</v>
      </c>
      <c r="T292" s="41" t="s">
        <v>811</v>
      </c>
      <c r="U292" s="41" t="s">
        <v>104</v>
      </c>
      <c r="V292" s="41" t="s">
        <v>104</v>
      </c>
      <c r="W292" s="41" t="s">
        <v>104</v>
      </c>
      <c r="X292" s="41" t="s">
        <v>104</v>
      </c>
      <c r="Y292" s="40" t="s">
        <v>104</v>
      </c>
      <c r="Z292" s="41" t="s">
        <v>104</v>
      </c>
      <c r="AA292" s="41" t="s">
        <v>102</v>
      </c>
      <c r="AB292" s="41" t="s">
        <v>104</v>
      </c>
      <c r="AC292" s="40" t="s">
        <v>604</v>
      </c>
      <c r="AD292" s="41" t="s">
        <v>607</v>
      </c>
      <c r="AE292" s="41" t="s">
        <v>102</v>
      </c>
      <c r="AF292" s="41" t="s">
        <v>807</v>
      </c>
      <c r="AG292" s="41" t="s">
        <v>139</v>
      </c>
      <c r="AH292" s="41" t="s">
        <v>141</v>
      </c>
      <c r="AI292" s="41">
        <v>1</v>
      </c>
      <c r="AJ292" s="41">
        <v>0</v>
      </c>
      <c r="AK292" s="41">
        <v>1</v>
      </c>
      <c r="AL292" s="42">
        <v>6279.1</v>
      </c>
      <c r="AM292" s="41" t="s">
        <v>144</v>
      </c>
      <c r="AN292" s="42">
        <v>6279.1</v>
      </c>
      <c r="AO292" s="41">
        <v>45920</v>
      </c>
      <c r="AP292" s="41" t="s">
        <v>155</v>
      </c>
      <c r="AR292" s="41" t="s">
        <v>164</v>
      </c>
      <c r="AS292" s="41" t="s">
        <v>170</v>
      </c>
      <c r="AT292" s="41" t="s">
        <v>219</v>
      </c>
      <c r="AU292" s="41" t="s">
        <v>173</v>
      </c>
      <c r="AW292" s="41" t="s">
        <v>171</v>
      </c>
      <c r="AX292" s="41" t="s">
        <v>1723</v>
      </c>
      <c r="AY292" s="41"/>
      <c r="AZ292" s="40" t="s">
        <v>2158</v>
      </c>
      <c r="BA292" s="40"/>
    </row>
    <row r="293" spans="6:53" ht="72.5" x14ac:dyDescent="0.35">
      <c r="F293" s="40" t="s">
        <v>1288</v>
      </c>
      <c r="G293" s="85" t="s">
        <v>621</v>
      </c>
      <c r="H293" s="40" t="s">
        <v>812</v>
      </c>
      <c r="I293" s="41" t="s">
        <v>223</v>
      </c>
      <c r="J293" s="41" t="s">
        <v>804</v>
      </c>
      <c r="K293" s="41" t="s">
        <v>805</v>
      </c>
      <c r="L293" s="40" t="s">
        <v>603</v>
      </c>
      <c r="O293" s="40" t="s">
        <v>104</v>
      </c>
      <c r="P293" s="41" t="s">
        <v>813</v>
      </c>
      <c r="Q293" s="41" t="s">
        <v>104</v>
      </c>
      <c r="R293" s="41" t="s">
        <v>104</v>
      </c>
      <c r="S293" s="40" t="s">
        <v>169</v>
      </c>
      <c r="T293" s="41" t="s">
        <v>104</v>
      </c>
      <c r="U293" s="41" t="s">
        <v>104</v>
      </c>
      <c r="V293" s="41" t="s">
        <v>104</v>
      </c>
      <c r="W293" s="41" t="s">
        <v>104</v>
      </c>
      <c r="X293" s="41" t="s">
        <v>104</v>
      </c>
      <c r="Y293" s="40" t="s">
        <v>104</v>
      </c>
      <c r="Z293" s="41" t="s">
        <v>104</v>
      </c>
      <c r="AA293" s="41" t="s">
        <v>102</v>
      </c>
      <c r="AB293" s="41" t="s">
        <v>104</v>
      </c>
      <c r="AC293" s="40" t="s">
        <v>604</v>
      </c>
      <c r="AD293" s="41" t="s">
        <v>607</v>
      </c>
      <c r="AE293" s="41" t="s">
        <v>102</v>
      </c>
      <c r="AF293" s="41" t="s">
        <v>807</v>
      </c>
      <c r="AG293" s="41" t="s">
        <v>139</v>
      </c>
      <c r="AH293" s="41" t="s">
        <v>141</v>
      </c>
      <c r="AI293" s="41">
        <v>19</v>
      </c>
      <c r="AJ293" s="41">
        <v>0</v>
      </c>
      <c r="AK293" s="41">
        <v>19</v>
      </c>
      <c r="AL293" s="42">
        <v>526.92999999999995</v>
      </c>
      <c r="AM293" s="41" t="s">
        <v>144</v>
      </c>
      <c r="AN293" s="42">
        <v>10011.669999999998</v>
      </c>
      <c r="AO293" s="41">
        <v>45920</v>
      </c>
      <c r="AP293" s="41" t="s">
        <v>155</v>
      </c>
      <c r="AR293" s="41" t="s">
        <v>164</v>
      </c>
      <c r="AS293" s="41" t="s">
        <v>170</v>
      </c>
      <c r="AT293" s="41" t="s">
        <v>219</v>
      </c>
      <c r="AU293" s="41" t="s">
        <v>173</v>
      </c>
      <c r="AW293" s="41" t="s">
        <v>171</v>
      </c>
      <c r="AX293" s="41" t="s">
        <v>1724</v>
      </c>
      <c r="AY293" s="41"/>
      <c r="AZ293" s="40" t="s">
        <v>2158</v>
      </c>
      <c r="BA293" s="40"/>
    </row>
    <row r="294" spans="6:53" ht="72.5" x14ac:dyDescent="0.35">
      <c r="F294" s="40" t="s">
        <v>1289</v>
      </c>
      <c r="G294" s="85" t="s">
        <v>814</v>
      </c>
      <c r="H294" s="40" t="s">
        <v>815</v>
      </c>
      <c r="I294" s="41" t="s">
        <v>223</v>
      </c>
      <c r="J294" s="41" t="s">
        <v>804</v>
      </c>
      <c r="K294" s="41" t="s">
        <v>805</v>
      </c>
      <c r="L294" s="40" t="s">
        <v>603</v>
      </c>
      <c r="O294" s="40" t="s">
        <v>104</v>
      </c>
      <c r="P294" s="41" t="s">
        <v>816</v>
      </c>
      <c r="Q294" s="41" t="s">
        <v>104</v>
      </c>
      <c r="R294" s="41" t="s">
        <v>104</v>
      </c>
      <c r="S294" s="40" t="s">
        <v>169</v>
      </c>
      <c r="T294" s="41" t="s">
        <v>817</v>
      </c>
      <c r="U294" s="41" t="s">
        <v>104</v>
      </c>
      <c r="V294" s="41" t="s">
        <v>104</v>
      </c>
      <c r="W294" s="41" t="s">
        <v>104</v>
      </c>
      <c r="X294" s="41" t="s">
        <v>104</v>
      </c>
      <c r="Y294" s="40" t="s">
        <v>104</v>
      </c>
      <c r="Z294" s="41" t="s">
        <v>104</v>
      </c>
      <c r="AA294" s="41" t="s">
        <v>102</v>
      </c>
      <c r="AB294" s="41" t="s">
        <v>104</v>
      </c>
      <c r="AC294" s="40" t="s">
        <v>604</v>
      </c>
      <c r="AD294" s="41" t="s">
        <v>607</v>
      </c>
      <c r="AE294" s="41" t="s">
        <v>102</v>
      </c>
      <c r="AF294" s="41" t="s">
        <v>818</v>
      </c>
      <c r="AG294" s="41" t="s">
        <v>139</v>
      </c>
      <c r="AH294" s="41" t="s">
        <v>141</v>
      </c>
      <c r="AI294" s="41">
        <v>1</v>
      </c>
      <c r="AJ294" s="41">
        <v>0</v>
      </c>
      <c r="AK294" s="41">
        <v>1</v>
      </c>
      <c r="AL294" s="42">
        <v>615.6</v>
      </c>
      <c r="AM294" s="41" t="s">
        <v>144</v>
      </c>
      <c r="AN294" s="42">
        <v>615.6</v>
      </c>
      <c r="AO294" s="41">
        <v>45920</v>
      </c>
      <c r="AP294" s="41" t="s">
        <v>155</v>
      </c>
      <c r="AR294" s="41" t="s">
        <v>164</v>
      </c>
      <c r="AS294" s="41" t="s">
        <v>170</v>
      </c>
      <c r="AT294" s="41" t="s">
        <v>219</v>
      </c>
      <c r="AU294" s="41" t="s">
        <v>173</v>
      </c>
      <c r="AW294" s="41" t="s">
        <v>171</v>
      </c>
      <c r="AX294" s="41" t="s">
        <v>1725</v>
      </c>
      <c r="AY294" s="41"/>
      <c r="AZ294" s="40" t="s">
        <v>2158</v>
      </c>
      <c r="BA294" s="40"/>
    </row>
    <row r="295" spans="6:53" ht="72.5" x14ac:dyDescent="0.35">
      <c r="F295" s="40" t="s">
        <v>1290</v>
      </c>
      <c r="G295" s="85" t="s">
        <v>621</v>
      </c>
      <c r="H295" s="40" t="s">
        <v>812</v>
      </c>
      <c r="I295" s="41" t="s">
        <v>223</v>
      </c>
      <c r="J295" s="41" t="s">
        <v>804</v>
      </c>
      <c r="K295" s="41" t="s">
        <v>805</v>
      </c>
      <c r="L295" s="40" t="s">
        <v>603</v>
      </c>
      <c r="O295" s="40" t="s">
        <v>104</v>
      </c>
      <c r="P295" s="41" t="s">
        <v>813</v>
      </c>
      <c r="Q295" s="41" t="s">
        <v>104</v>
      </c>
      <c r="R295" s="41" t="s">
        <v>104</v>
      </c>
      <c r="S295" s="40" t="s">
        <v>169</v>
      </c>
      <c r="T295" s="41" t="s">
        <v>104</v>
      </c>
      <c r="U295" s="41" t="s">
        <v>104</v>
      </c>
      <c r="V295" s="41" t="s">
        <v>104</v>
      </c>
      <c r="W295" s="41" t="s">
        <v>104</v>
      </c>
      <c r="X295" s="41" t="s">
        <v>104</v>
      </c>
      <c r="Y295" s="40" t="s">
        <v>104</v>
      </c>
      <c r="Z295" s="41" t="s">
        <v>104</v>
      </c>
      <c r="AA295" s="41" t="s">
        <v>102</v>
      </c>
      <c r="AB295" s="41" t="s">
        <v>104</v>
      </c>
      <c r="AC295" s="40" t="s">
        <v>604</v>
      </c>
      <c r="AD295" s="41" t="s">
        <v>607</v>
      </c>
      <c r="AE295" s="41" t="s">
        <v>102</v>
      </c>
      <c r="AF295" s="41" t="s">
        <v>818</v>
      </c>
      <c r="AG295" s="41" t="s">
        <v>139</v>
      </c>
      <c r="AH295" s="41" t="s">
        <v>141</v>
      </c>
      <c r="AI295" s="41">
        <v>12</v>
      </c>
      <c r="AJ295" s="41">
        <v>0</v>
      </c>
      <c r="AK295" s="41">
        <v>12</v>
      </c>
      <c r="AL295" s="42">
        <v>428.65</v>
      </c>
      <c r="AM295" s="41" t="s">
        <v>144</v>
      </c>
      <c r="AN295" s="42">
        <v>5143.7999999999993</v>
      </c>
      <c r="AO295" s="41">
        <v>45920</v>
      </c>
      <c r="AP295" s="41" t="s">
        <v>155</v>
      </c>
      <c r="AR295" s="41" t="s">
        <v>164</v>
      </c>
      <c r="AS295" s="41" t="s">
        <v>170</v>
      </c>
      <c r="AT295" s="41" t="s">
        <v>219</v>
      </c>
      <c r="AU295" s="41" t="s">
        <v>173</v>
      </c>
      <c r="AW295" s="41" t="s">
        <v>171</v>
      </c>
      <c r="AX295" s="41" t="s">
        <v>1726</v>
      </c>
      <c r="AY295" s="41"/>
      <c r="AZ295" s="40" t="s">
        <v>2158</v>
      </c>
      <c r="BA295" s="40"/>
    </row>
    <row r="296" spans="6:53" ht="72.5" x14ac:dyDescent="0.35">
      <c r="F296" s="40" t="s">
        <v>1291</v>
      </c>
      <c r="G296" s="85" t="s">
        <v>819</v>
      </c>
      <c r="H296" s="40" t="s">
        <v>820</v>
      </c>
      <c r="I296" s="41" t="s">
        <v>223</v>
      </c>
      <c r="J296" s="41" t="s">
        <v>804</v>
      </c>
      <c r="K296" s="41" t="s">
        <v>805</v>
      </c>
      <c r="L296" s="40" t="s">
        <v>603</v>
      </c>
      <c r="O296" s="40" t="s">
        <v>104</v>
      </c>
      <c r="P296" s="41" t="s">
        <v>821</v>
      </c>
      <c r="Q296" s="41" t="s">
        <v>104</v>
      </c>
      <c r="R296" s="41" t="s">
        <v>104</v>
      </c>
      <c r="S296" s="40" t="s">
        <v>169</v>
      </c>
      <c r="T296" s="41" t="s">
        <v>822</v>
      </c>
      <c r="U296" s="41" t="s">
        <v>104</v>
      </c>
      <c r="V296" s="41" t="s">
        <v>104</v>
      </c>
      <c r="W296" s="41" t="s">
        <v>104</v>
      </c>
      <c r="X296" s="41" t="s">
        <v>104</v>
      </c>
      <c r="Y296" s="40" t="s">
        <v>104</v>
      </c>
      <c r="Z296" s="41" t="s">
        <v>104</v>
      </c>
      <c r="AA296" s="41" t="s">
        <v>102</v>
      </c>
      <c r="AB296" s="41" t="s">
        <v>104</v>
      </c>
      <c r="AC296" s="40" t="s">
        <v>604</v>
      </c>
      <c r="AD296" s="41" t="s">
        <v>607</v>
      </c>
      <c r="AE296" s="41" t="s">
        <v>102</v>
      </c>
      <c r="AF296" s="41" t="s">
        <v>818</v>
      </c>
      <c r="AG296" s="41" t="s">
        <v>139</v>
      </c>
      <c r="AH296" s="41" t="s">
        <v>141</v>
      </c>
      <c r="AI296" s="41">
        <v>1</v>
      </c>
      <c r="AJ296" s="41">
        <v>0</v>
      </c>
      <c r="AK296" s="41">
        <v>1</v>
      </c>
      <c r="AL296" s="42">
        <v>3391.42</v>
      </c>
      <c r="AM296" s="41" t="s">
        <v>144</v>
      </c>
      <c r="AN296" s="42">
        <v>3391.42</v>
      </c>
      <c r="AO296" s="41">
        <v>45920</v>
      </c>
      <c r="AP296" s="41" t="s">
        <v>155</v>
      </c>
      <c r="AR296" s="41" t="s">
        <v>164</v>
      </c>
      <c r="AS296" s="41" t="s">
        <v>170</v>
      </c>
      <c r="AT296" s="41" t="s">
        <v>219</v>
      </c>
      <c r="AU296" s="41" t="s">
        <v>173</v>
      </c>
      <c r="AW296" s="41" t="s">
        <v>171</v>
      </c>
      <c r="AX296" s="41" t="s">
        <v>1727</v>
      </c>
      <c r="AY296" s="41"/>
      <c r="AZ296" s="40" t="s">
        <v>2158</v>
      </c>
      <c r="BA296" s="40"/>
    </row>
    <row r="297" spans="6:53" ht="72.5" x14ac:dyDescent="0.35">
      <c r="F297" s="40" t="s">
        <v>1292</v>
      </c>
      <c r="G297" s="85" t="s">
        <v>823</v>
      </c>
      <c r="H297" s="40" t="s">
        <v>824</v>
      </c>
      <c r="I297" s="41" t="s">
        <v>223</v>
      </c>
      <c r="J297" s="41" t="s">
        <v>804</v>
      </c>
      <c r="K297" s="41" t="s">
        <v>805</v>
      </c>
      <c r="L297" s="40" t="s">
        <v>603</v>
      </c>
      <c r="O297" s="40" t="s">
        <v>104</v>
      </c>
      <c r="P297" s="41" t="s">
        <v>825</v>
      </c>
      <c r="Q297" s="41" t="s">
        <v>104</v>
      </c>
      <c r="R297" s="41" t="s">
        <v>104</v>
      </c>
      <c r="S297" s="40" t="s">
        <v>169</v>
      </c>
      <c r="T297" s="41" t="s">
        <v>826</v>
      </c>
      <c r="U297" s="41" t="s">
        <v>104</v>
      </c>
      <c r="V297" s="41" t="s">
        <v>104</v>
      </c>
      <c r="W297" s="41" t="s">
        <v>104</v>
      </c>
      <c r="X297" s="41" t="s">
        <v>104</v>
      </c>
      <c r="Y297" s="40" t="s">
        <v>104</v>
      </c>
      <c r="Z297" s="41" t="s">
        <v>104</v>
      </c>
      <c r="AA297" s="41" t="s">
        <v>102</v>
      </c>
      <c r="AB297" s="41" t="s">
        <v>104</v>
      </c>
      <c r="AC297" s="40" t="s">
        <v>604</v>
      </c>
      <c r="AD297" s="41" t="s">
        <v>607</v>
      </c>
      <c r="AE297" s="41" t="s">
        <v>102</v>
      </c>
      <c r="AF297" s="41" t="s">
        <v>827</v>
      </c>
      <c r="AG297" s="41" t="s">
        <v>139</v>
      </c>
      <c r="AH297" s="41" t="s">
        <v>141</v>
      </c>
      <c r="AI297" s="41">
        <v>1</v>
      </c>
      <c r="AJ297" s="41">
        <v>0</v>
      </c>
      <c r="AK297" s="41">
        <v>1</v>
      </c>
      <c r="AL297" s="42">
        <v>1269.28</v>
      </c>
      <c r="AM297" s="41" t="s">
        <v>144</v>
      </c>
      <c r="AN297" s="42">
        <v>1269.28</v>
      </c>
      <c r="AO297" s="41">
        <v>45920</v>
      </c>
      <c r="AP297" s="41" t="s">
        <v>155</v>
      </c>
      <c r="AR297" s="41" t="s">
        <v>164</v>
      </c>
      <c r="AS297" s="41" t="s">
        <v>170</v>
      </c>
      <c r="AT297" s="41" t="s">
        <v>219</v>
      </c>
      <c r="AU297" s="41" t="s">
        <v>173</v>
      </c>
      <c r="AW297" s="41" t="s">
        <v>171</v>
      </c>
      <c r="AX297" s="41" t="s">
        <v>1728</v>
      </c>
      <c r="AY297" s="41"/>
      <c r="AZ297" s="40" t="s">
        <v>2158</v>
      </c>
      <c r="BA297" s="40"/>
    </row>
    <row r="298" spans="6:53" ht="72.5" x14ac:dyDescent="0.35">
      <c r="F298" s="40" t="s">
        <v>1293</v>
      </c>
      <c r="G298" s="85" t="s">
        <v>828</v>
      </c>
      <c r="H298" s="40" t="s">
        <v>829</v>
      </c>
      <c r="I298" s="41" t="s">
        <v>223</v>
      </c>
      <c r="J298" s="41" t="s">
        <v>804</v>
      </c>
      <c r="K298" s="41" t="s">
        <v>805</v>
      </c>
      <c r="L298" s="40" t="s">
        <v>603</v>
      </c>
      <c r="O298" s="40" t="s">
        <v>104</v>
      </c>
      <c r="P298" s="41" t="s">
        <v>830</v>
      </c>
      <c r="Q298" s="41" t="s">
        <v>104</v>
      </c>
      <c r="R298" s="41" t="s">
        <v>104</v>
      </c>
      <c r="S298" s="40" t="s">
        <v>169</v>
      </c>
      <c r="T298" s="41" t="s">
        <v>104</v>
      </c>
      <c r="U298" s="41" t="s">
        <v>104</v>
      </c>
      <c r="V298" s="41" t="s">
        <v>104</v>
      </c>
      <c r="W298" s="41" t="s">
        <v>104</v>
      </c>
      <c r="X298" s="41" t="s">
        <v>104</v>
      </c>
      <c r="Y298" s="40" t="s">
        <v>104</v>
      </c>
      <c r="Z298" s="41" t="s">
        <v>104</v>
      </c>
      <c r="AA298" s="41" t="s">
        <v>102</v>
      </c>
      <c r="AB298" s="41" t="s">
        <v>104</v>
      </c>
      <c r="AC298" s="40" t="s">
        <v>604</v>
      </c>
      <c r="AD298" s="41" t="s">
        <v>607</v>
      </c>
      <c r="AE298" s="41" t="s">
        <v>102</v>
      </c>
      <c r="AF298" s="41" t="s">
        <v>831</v>
      </c>
      <c r="AG298" s="41" t="s">
        <v>139</v>
      </c>
      <c r="AH298" s="41" t="s">
        <v>141</v>
      </c>
      <c r="AI298" s="41">
        <v>1</v>
      </c>
      <c r="AJ298" s="41">
        <v>0</v>
      </c>
      <c r="AK298" s="41">
        <v>1</v>
      </c>
      <c r="AL298" s="42">
        <v>2072.5700000000002</v>
      </c>
      <c r="AM298" s="41" t="s">
        <v>144</v>
      </c>
      <c r="AN298" s="42">
        <v>2072.5700000000002</v>
      </c>
      <c r="AO298" s="41">
        <v>45920</v>
      </c>
      <c r="AP298" s="41" t="s">
        <v>155</v>
      </c>
      <c r="AR298" s="41" t="s">
        <v>164</v>
      </c>
      <c r="AS298" s="41" t="s">
        <v>170</v>
      </c>
      <c r="AT298" s="41" t="s">
        <v>219</v>
      </c>
      <c r="AU298" s="41" t="s">
        <v>173</v>
      </c>
      <c r="AW298" s="41" t="s">
        <v>171</v>
      </c>
      <c r="AX298" s="41" t="s">
        <v>1729</v>
      </c>
      <c r="AY298" s="41"/>
      <c r="AZ298" s="40" t="s">
        <v>2158</v>
      </c>
      <c r="BA298" s="40"/>
    </row>
    <row r="299" spans="6:53" ht="72.5" x14ac:dyDescent="0.35">
      <c r="F299" s="40" t="s">
        <v>1294</v>
      </c>
      <c r="G299" s="85" t="s">
        <v>832</v>
      </c>
      <c r="H299" s="40" t="s">
        <v>833</v>
      </c>
      <c r="I299" s="41" t="s">
        <v>223</v>
      </c>
      <c r="J299" s="41" t="s">
        <v>804</v>
      </c>
      <c r="K299" s="41" t="s">
        <v>805</v>
      </c>
      <c r="L299" s="40" t="s">
        <v>603</v>
      </c>
      <c r="O299" s="40" t="s">
        <v>104</v>
      </c>
      <c r="P299" s="41" t="s">
        <v>834</v>
      </c>
      <c r="Q299" s="41" t="s">
        <v>104</v>
      </c>
      <c r="R299" s="41" t="s">
        <v>104</v>
      </c>
      <c r="S299" s="40" t="s">
        <v>169</v>
      </c>
      <c r="T299" s="41" t="s">
        <v>104</v>
      </c>
      <c r="U299" s="41" t="s">
        <v>104</v>
      </c>
      <c r="V299" s="41" t="s">
        <v>104</v>
      </c>
      <c r="W299" s="41" t="s">
        <v>104</v>
      </c>
      <c r="X299" s="41" t="s">
        <v>104</v>
      </c>
      <c r="Y299" s="40" t="s">
        <v>104</v>
      </c>
      <c r="Z299" s="41" t="s">
        <v>104</v>
      </c>
      <c r="AA299" s="41" t="s">
        <v>102</v>
      </c>
      <c r="AB299" s="41" t="s">
        <v>104</v>
      </c>
      <c r="AC299" s="40" t="s">
        <v>604</v>
      </c>
      <c r="AD299" s="41" t="s">
        <v>607</v>
      </c>
      <c r="AE299" s="41" t="s">
        <v>102</v>
      </c>
      <c r="AF299" s="41" t="s">
        <v>831</v>
      </c>
      <c r="AG299" s="41" t="s">
        <v>139</v>
      </c>
      <c r="AH299" s="41" t="s">
        <v>141</v>
      </c>
      <c r="AI299" s="41">
        <v>1</v>
      </c>
      <c r="AJ299" s="41">
        <v>0</v>
      </c>
      <c r="AK299" s="41">
        <v>1</v>
      </c>
      <c r="AL299" s="42">
        <v>1221.32</v>
      </c>
      <c r="AM299" s="41" t="s">
        <v>144</v>
      </c>
      <c r="AN299" s="42">
        <v>1221.32</v>
      </c>
      <c r="AO299" s="41">
        <v>45920</v>
      </c>
      <c r="AP299" s="41" t="s">
        <v>155</v>
      </c>
      <c r="AR299" s="41" t="s">
        <v>164</v>
      </c>
      <c r="AS299" s="41" t="s">
        <v>170</v>
      </c>
      <c r="AT299" s="41" t="s">
        <v>219</v>
      </c>
      <c r="AU299" s="41" t="s">
        <v>173</v>
      </c>
      <c r="AW299" s="41" t="s">
        <v>171</v>
      </c>
      <c r="AX299" s="41" t="s">
        <v>1730</v>
      </c>
      <c r="AY299" s="41"/>
      <c r="AZ299" s="40" t="s">
        <v>2158</v>
      </c>
      <c r="BA299" s="40"/>
    </row>
    <row r="300" spans="6:53" ht="72.5" x14ac:dyDescent="0.35">
      <c r="F300" s="40" t="s">
        <v>1295</v>
      </c>
      <c r="G300" s="85" t="s">
        <v>835</v>
      </c>
      <c r="H300" s="40" t="s">
        <v>836</v>
      </c>
      <c r="I300" s="41" t="s">
        <v>223</v>
      </c>
      <c r="J300" s="41" t="s">
        <v>804</v>
      </c>
      <c r="K300" s="41" t="s">
        <v>805</v>
      </c>
      <c r="L300" s="40" t="s">
        <v>603</v>
      </c>
      <c r="O300" s="40" t="s">
        <v>104</v>
      </c>
      <c r="P300" s="41" t="s">
        <v>837</v>
      </c>
      <c r="Q300" s="41" t="s">
        <v>104</v>
      </c>
      <c r="R300" s="41" t="s">
        <v>104</v>
      </c>
      <c r="S300" s="40" t="s">
        <v>169</v>
      </c>
      <c r="T300" s="41" t="s">
        <v>104</v>
      </c>
      <c r="U300" s="41" t="s">
        <v>104</v>
      </c>
      <c r="V300" s="41" t="s">
        <v>104</v>
      </c>
      <c r="W300" s="41" t="s">
        <v>104</v>
      </c>
      <c r="X300" s="41" t="s">
        <v>104</v>
      </c>
      <c r="Y300" s="40" t="s">
        <v>104</v>
      </c>
      <c r="Z300" s="41" t="s">
        <v>104</v>
      </c>
      <c r="AA300" s="41" t="s">
        <v>102</v>
      </c>
      <c r="AB300" s="41" t="s">
        <v>104</v>
      </c>
      <c r="AC300" s="40" t="s">
        <v>604</v>
      </c>
      <c r="AD300" s="41" t="s">
        <v>607</v>
      </c>
      <c r="AE300" s="41" t="s">
        <v>102</v>
      </c>
      <c r="AF300" s="41" t="s">
        <v>831</v>
      </c>
      <c r="AG300" s="41" t="s">
        <v>139</v>
      </c>
      <c r="AH300" s="41" t="s">
        <v>141</v>
      </c>
      <c r="AI300" s="41">
        <v>1</v>
      </c>
      <c r="AJ300" s="41">
        <v>0</v>
      </c>
      <c r="AK300" s="41">
        <v>1</v>
      </c>
      <c r="AL300" s="42">
        <v>613.87</v>
      </c>
      <c r="AM300" s="41" t="s">
        <v>144</v>
      </c>
      <c r="AN300" s="42">
        <v>613.87</v>
      </c>
      <c r="AO300" s="41">
        <v>45920</v>
      </c>
      <c r="AP300" s="41" t="s">
        <v>155</v>
      </c>
      <c r="AR300" s="41" t="s">
        <v>164</v>
      </c>
      <c r="AS300" s="41" t="s">
        <v>170</v>
      </c>
      <c r="AT300" s="41" t="s">
        <v>219</v>
      </c>
      <c r="AU300" s="41" t="s">
        <v>173</v>
      </c>
      <c r="AW300" s="41" t="s">
        <v>171</v>
      </c>
      <c r="AX300" s="41" t="s">
        <v>1731</v>
      </c>
      <c r="AY300" s="41"/>
      <c r="AZ300" s="40" t="s">
        <v>2158</v>
      </c>
      <c r="BA300" s="40"/>
    </row>
    <row r="301" spans="6:53" ht="72.5" x14ac:dyDescent="0.35">
      <c r="F301" s="40" t="s">
        <v>1296</v>
      </c>
      <c r="G301" s="85" t="s">
        <v>838</v>
      </c>
      <c r="H301" s="40" t="s">
        <v>839</v>
      </c>
      <c r="I301" s="41" t="s">
        <v>223</v>
      </c>
      <c r="J301" s="41" t="s">
        <v>804</v>
      </c>
      <c r="K301" s="41" t="s">
        <v>805</v>
      </c>
      <c r="L301" s="40" t="s">
        <v>603</v>
      </c>
      <c r="O301" s="40" t="s">
        <v>104</v>
      </c>
      <c r="P301" s="41" t="s">
        <v>840</v>
      </c>
      <c r="Q301" s="41" t="s">
        <v>104</v>
      </c>
      <c r="R301" s="41" t="s">
        <v>104</v>
      </c>
      <c r="S301" s="40" t="s">
        <v>169</v>
      </c>
      <c r="T301" s="41" t="s">
        <v>841</v>
      </c>
      <c r="U301" s="41" t="s">
        <v>104</v>
      </c>
      <c r="V301" s="41" t="s">
        <v>104</v>
      </c>
      <c r="W301" s="41" t="s">
        <v>104</v>
      </c>
      <c r="X301" s="41" t="s">
        <v>104</v>
      </c>
      <c r="Y301" s="40" t="s">
        <v>104</v>
      </c>
      <c r="Z301" s="41" t="s">
        <v>104</v>
      </c>
      <c r="AA301" s="41" t="s">
        <v>102</v>
      </c>
      <c r="AB301" s="41" t="s">
        <v>104</v>
      </c>
      <c r="AC301" s="40" t="s">
        <v>604</v>
      </c>
      <c r="AD301" s="41" t="s">
        <v>607</v>
      </c>
      <c r="AE301" s="41" t="s">
        <v>102</v>
      </c>
      <c r="AF301" s="41" t="s">
        <v>831</v>
      </c>
      <c r="AG301" s="41" t="s">
        <v>139</v>
      </c>
      <c r="AH301" s="41" t="s">
        <v>141</v>
      </c>
      <c r="AI301" s="41">
        <v>2</v>
      </c>
      <c r="AJ301" s="41">
        <v>0</v>
      </c>
      <c r="AK301" s="41">
        <v>2</v>
      </c>
      <c r="AL301" s="42">
        <v>717.45</v>
      </c>
      <c r="AM301" s="41" t="s">
        <v>144</v>
      </c>
      <c r="AN301" s="42">
        <v>1434.9</v>
      </c>
      <c r="AO301" s="41">
        <v>45920</v>
      </c>
      <c r="AP301" s="41" t="s">
        <v>155</v>
      </c>
      <c r="AR301" s="41" t="s">
        <v>164</v>
      </c>
      <c r="AS301" s="41" t="s">
        <v>170</v>
      </c>
      <c r="AT301" s="41" t="s">
        <v>219</v>
      </c>
      <c r="AU301" s="41" t="s">
        <v>173</v>
      </c>
      <c r="AW301" s="41" t="s">
        <v>171</v>
      </c>
      <c r="AX301" s="41" t="s">
        <v>1732</v>
      </c>
      <c r="AY301" s="41"/>
      <c r="AZ301" s="40" t="s">
        <v>2158</v>
      </c>
      <c r="BA301" s="40"/>
    </row>
    <row r="302" spans="6:53" ht="72.5" x14ac:dyDescent="0.35">
      <c r="F302" s="40" t="s">
        <v>1297</v>
      </c>
      <c r="G302" s="85" t="s">
        <v>842</v>
      </c>
      <c r="H302" s="40" t="s">
        <v>843</v>
      </c>
      <c r="I302" s="41" t="s">
        <v>223</v>
      </c>
      <c r="J302" s="41" t="s">
        <v>804</v>
      </c>
      <c r="K302" s="41" t="s">
        <v>805</v>
      </c>
      <c r="L302" s="40" t="s">
        <v>603</v>
      </c>
      <c r="O302" s="40" t="s">
        <v>104</v>
      </c>
      <c r="P302" s="41" t="s">
        <v>844</v>
      </c>
      <c r="Q302" s="41" t="s">
        <v>104</v>
      </c>
      <c r="R302" s="41" t="s">
        <v>104</v>
      </c>
      <c r="S302" s="40" t="s">
        <v>169</v>
      </c>
      <c r="T302" s="41" t="s">
        <v>104</v>
      </c>
      <c r="U302" s="41" t="s">
        <v>104</v>
      </c>
      <c r="V302" s="41" t="s">
        <v>104</v>
      </c>
      <c r="W302" s="41" t="s">
        <v>104</v>
      </c>
      <c r="X302" s="41" t="s">
        <v>104</v>
      </c>
      <c r="Y302" s="40" t="s">
        <v>104</v>
      </c>
      <c r="Z302" s="41" t="s">
        <v>104</v>
      </c>
      <c r="AA302" s="41" t="s">
        <v>102</v>
      </c>
      <c r="AB302" s="41" t="s">
        <v>104</v>
      </c>
      <c r="AC302" s="40" t="s">
        <v>604</v>
      </c>
      <c r="AD302" s="41" t="s">
        <v>607</v>
      </c>
      <c r="AE302" s="41" t="s">
        <v>102</v>
      </c>
      <c r="AF302" s="41" t="s">
        <v>845</v>
      </c>
      <c r="AG302" s="41" t="s">
        <v>139</v>
      </c>
      <c r="AH302" s="41" t="s">
        <v>141</v>
      </c>
      <c r="AI302" s="41">
        <v>4</v>
      </c>
      <c r="AJ302" s="41">
        <v>0</v>
      </c>
      <c r="AK302" s="41">
        <v>4</v>
      </c>
      <c r="AL302" s="42">
        <v>285.01</v>
      </c>
      <c r="AM302" s="41" t="s">
        <v>144</v>
      </c>
      <c r="AN302" s="42">
        <v>1140.04</v>
      </c>
      <c r="AO302" s="41">
        <v>45920</v>
      </c>
      <c r="AP302" s="41" t="s">
        <v>155</v>
      </c>
      <c r="AR302" s="41" t="s">
        <v>164</v>
      </c>
      <c r="AS302" s="41" t="s">
        <v>170</v>
      </c>
      <c r="AT302" s="41" t="s">
        <v>219</v>
      </c>
      <c r="AU302" s="41" t="s">
        <v>173</v>
      </c>
      <c r="AW302" s="41" t="s">
        <v>171</v>
      </c>
      <c r="AX302" s="41" t="s">
        <v>1733</v>
      </c>
      <c r="AY302" s="41"/>
      <c r="AZ302" s="40" t="s">
        <v>2158</v>
      </c>
      <c r="BA302" s="40" t="s">
        <v>2160</v>
      </c>
    </row>
    <row r="303" spans="6:53" ht="72.5" x14ac:dyDescent="0.35">
      <c r="F303" s="40" t="s">
        <v>1298</v>
      </c>
      <c r="G303" s="85" t="s">
        <v>846</v>
      </c>
      <c r="H303" s="40" t="s">
        <v>847</v>
      </c>
      <c r="I303" s="41" t="s">
        <v>223</v>
      </c>
      <c r="J303" s="41" t="s">
        <v>804</v>
      </c>
      <c r="K303" s="41" t="s">
        <v>805</v>
      </c>
      <c r="L303" s="40" t="s">
        <v>603</v>
      </c>
      <c r="O303" s="40" t="s">
        <v>104</v>
      </c>
      <c r="P303" s="41" t="s">
        <v>848</v>
      </c>
      <c r="Q303" s="41" t="s">
        <v>104</v>
      </c>
      <c r="R303" s="41" t="s">
        <v>104</v>
      </c>
      <c r="S303" s="40" t="s">
        <v>169</v>
      </c>
      <c r="T303" s="41" t="s">
        <v>849</v>
      </c>
      <c r="U303" s="41" t="s">
        <v>104</v>
      </c>
      <c r="V303" s="41" t="s">
        <v>107</v>
      </c>
      <c r="W303" s="41" t="s">
        <v>112</v>
      </c>
      <c r="X303" s="41" t="s">
        <v>104</v>
      </c>
      <c r="Y303" s="40" t="s">
        <v>104</v>
      </c>
      <c r="Z303" s="41" t="s">
        <v>104</v>
      </c>
      <c r="AA303" s="41" t="s">
        <v>102</v>
      </c>
      <c r="AB303" s="41" t="s">
        <v>104</v>
      </c>
      <c r="AC303" s="40" t="s">
        <v>604</v>
      </c>
      <c r="AD303" s="41" t="s">
        <v>607</v>
      </c>
      <c r="AE303" s="41" t="s">
        <v>102</v>
      </c>
      <c r="AF303" s="41" t="s">
        <v>845</v>
      </c>
      <c r="AG303" s="41" t="s">
        <v>139</v>
      </c>
      <c r="AH303" s="41" t="s">
        <v>141</v>
      </c>
      <c r="AI303" s="41">
        <v>1</v>
      </c>
      <c r="AJ303" s="41">
        <v>0</v>
      </c>
      <c r="AK303" s="41">
        <v>1</v>
      </c>
      <c r="AL303" s="42">
        <v>945.75</v>
      </c>
      <c r="AM303" s="41" t="s">
        <v>144</v>
      </c>
      <c r="AN303" s="42">
        <v>945.75</v>
      </c>
      <c r="AO303" s="41">
        <v>45920</v>
      </c>
      <c r="AP303" s="41" t="s">
        <v>155</v>
      </c>
      <c r="AR303" s="41" t="s">
        <v>164</v>
      </c>
      <c r="AS303" s="41" t="s">
        <v>170</v>
      </c>
      <c r="AT303" s="41" t="s">
        <v>219</v>
      </c>
      <c r="AU303" s="41" t="s">
        <v>173</v>
      </c>
      <c r="AW303" s="41" t="s">
        <v>171</v>
      </c>
      <c r="AX303" s="41" t="s">
        <v>1734</v>
      </c>
      <c r="AY303" s="41"/>
      <c r="AZ303" s="40" t="s">
        <v>2158</v>
      </c>
      <c r="BA303" s="40"/>
    </row>
    <row r="304" spans="6:53" ht="72.5" x14ac:dyDescent="0.35">
      <c r="F304" s="40" t="s">
        <v>1299</v>
      </c>
      <c r="G304" s="85" t="s">
        <v>850</v>
      </c>
      <c r="H304" s="40" t="s">
        <v>851</v>
      </c>
      <c r="I304" s="41" t="s">
        <v>223</v>
      </c>
      <c r="J304" s="41" t="s">
        <v>804</v>
      </c>
      <c r="K304" s="41" t="s">
        <v>805</v>
      </c>
      <c r="L304" s="40" t="s">
        <v>603</v>
      </c>
      <c r="O304" s="40" t="s">
        <v>104</v>
      </c>
      <c r="P304" s="41" t="s">
        <v>852</v>
      </c>
      <c r="Q304" s="41" t="s">
        <v>104</v>
      </c>
      <c r="R304" s="41" t="s">
        <v>104</v>
      </c>
      <c r="S304" s="40" t="s">
        <v>169</v>
      </c>
      <c r="T304" s="41" t="s">
        <v>853</v>
      </c>
      <c r="U304" s="41" t="s">
        <v>104</v>
      </c>
      <c r="V304" s="41" t="s">
        <v>104</v>
      </c>
      <c r="W304" s="41" t="s">
        <v>104</v>
      </c>
      <c r="X304" s="41" t="s">
        <v>104</v>
      </c>
      <c r="Y304" s="40" t="s">
        <v>104</v>
      </c>
      <c r="Z304" s="41" t="s">
        <v>104</v>
      </c>
      <c r="AA304" s="41" t="s">
        <v>102</v>
      </c>
      <c r="AB304" s="41" t="s">
        <v>104</v>
      </c>
      <c r="AC304" s="40" t="s">
        <v>604</v>
      </c>
      <c r="AD304" s="41" t="s">
        <v>607</v>
      </c>
      <c r="AE304" s="41" t="s">
        <v>102</v>
      </c>
      <c r="AF304" s="41" t="s">
        <v>845</v>
      </c>
      <c r="AG304" s="41" t="s">
        <v>139</v>
      </c>
      <c r="AH304" s="41" t="s">
        <v>141</v>
      </c>
      <c r="AI304" s="41">
        <v>1</v>
      </c>
      <c r="AJ304" s="41">
        <v>0</v>
      </c>
      <c r="AK304" s="41">
        <v>1</v>
      </c>
      <c r="AL304" s="42">
        <v>1122.19</v>
      </c>
      <c r="AM304" s="41" t="s">
        <v>144</v>
      </c>
      <c r="AN304" s="42">
        <v>1122.19</v>
      </c>
      <c r="AO304" s="41">
        <v>45920</v>
      </c>
      <c r="AP304" s="41" t="s">
        <v>155</v>
      </c>
      <c r="AR304" s="41" t="s">
        <v>164</v>
      </c>
      <c r="AS304" s="41" t="s">
        <v>170</v>
      </c>
      <c r="AT304" s="41" t="s">
        <v>219</v>
      </c>
      <c r="AU304" s="41" t="s">
        <v>173</v>
      </c>
      <c r="AW304" s="41" t="s">
        <v>171</v>
      </c>
      <c r="AX304" s="41" t="s">
        <v>1735</v>
      </c>
      <c r="AY304" s="41"/>
      <c r="AZ304" s="40" t="s">
        <v>2158</v>
      </c>
      <c r="BA304" s="40"/>
    </row>
    <row r="305" spans="6:53" ht="72.5" x14ac:dyDescent="0.35">
      <c r="F305" s="40" t="s">
        <v>1300</v>
      </c>
      <c r="G305" s="85" t="s">
        <v>854</v>
      </c>
      <c r="H305" s="40" t="s">
        <v>855</v>
      </c>
      <c r="I305" s="41" t="s">
        <v>223</v>
      </c>
      <c r="J305" s="41" t="s">
        <v>804</v>
      </c>
      <c r="K305" s="41" t="s">
        <v>805</v>
      </c>
      <c r="L305" s="40" t="s">
        <v>603</v>
      </c>
      <c r="O305" s="40" t="s">
        <v>104</v>
      </c>
      <c r="P305" s="41" t="s">
        <v>856</v>
      </c>
      <c r="Q305" s="41" t="s">
        <v>104</v>
      </c>
      <c r="R305" s="41" t="s">
        <v>104</v>
      </c>
      <c r="S305" s="40" t="s">
        <v>169</v>
      </c>
      <c r="T305" s="41" t="s">
        <v>649</v>
      </c>
      <c r="U305" s="41" t="s">
        <v>104</v>
      </c>
      <c r="V305" s="41" t="s">
        <v>104</v>
      </c>
      <c r="W305" s="41" t="s">
        <v>104</v>
      </c>
      <c r="X305" s="41" t="s">
        <v>104</v>
      </c>
      <c r="Y305" s="40" t="s">
        <v>104</v>
      </c>
      <c r="Z305" s="41" t="s">
        <v>104</v>
      </c>
      <c r="AA305" s="41" t="s">
        <v>102</v>
      </c>
      <c r="AB305" s="41" t="s">
        <v>104</v>
      </c>
      <c r="AC305" s="40" t="s">
        <v>604</v>
      </c>
      <c r="AD305" s="41" t="s">
        <v>607</v>
      </c>
      <c r="AE305" s="41" t="s">
        <v>102</v>
      </c>
      <c r="AF305" s="41" t="s">
        <v>845</v>
      </c>
      <c r="AG305" s="41" t="s">
        <v>139</v>
      </c>
      <c r="AH305" s="41" t="s">
        <v>141</v>
      </c>
      <c r="AI305" s="41">
        <v>1</v>
      </c>
      <c r="AJ305" s="41">
        <v>0</v>
      </c>
      <c r="AK305" s="41">
        <v>1</v>
      </c>
      <c r="AL305" s="42">
        <v>487.62</v>
      </c>
      <c r="AM305" s="41" t="s">
        <v>144</v>
      </c>
      <c r="AN305" s="42">
        <v>487.62</v>
      </c>
      <c r="AO305" s="41">
        <v>45920</v>
      </c>
      <c r="AP305" s="41" t="s">
        <v>155</v>
      </c>
      <c r="AR305" s="41" t="s">
        <v>164</v>
      </c>
      <c r="AS305" s="41" t="s">
        <v>170</v>
      </c>
      <c r="AT305" s="41" t="s">
        <v>219</v>
      </c>
      <c r="AU305" s="41" t="s">
        <v>173</v>
      </c>
      <c r="AW305" s="41" t="s">
        <v>171</v>
      </c>
      <c r="AX305" s="41" t="s">
        <v>1736</v>
      </c>
      <c r="AY305" s="41"/>
      <c r="AZ305" s="40" t="s">
        <v>2158</v>
      </c>
      <c r="BA305" s="40"/>
    </row>
    <row r="306" spans="6:53" ht="72.5" x14ac:dyDescent="0.35">
      <c r="F306" s="40" t="s">
        <v>1301</v>
      </c>
      <c r="G306" s="85" t="s">
        <v>842</v>
      </c>
      <c r="H306" s="40" t="s">
        <v>843</v>
      </c>
      <c r="I306" s="41" t="s">
        <v>223</v>
      </c>
      <c r="J306" s="41" t="s">
        <v>804</v>
      </c>
      <c r="K306" s="41" t="s">
        <v>805</v>
      </c>
      <c r="L306" s="40" t="s">
        <v>603</v>
      </c>
      <c r="O306" s="40" t="s">
        <v>104</v>
      </c>
      <c r="P306" s="41" t="s">
        <v>844</v>
      </c>
      <c r="Q306" s="41" t="s">
        <v>104</v>
      </c>
      <c r="R306" s="41" t="s">
        <v>104</v>
      </c>
      <c r="S306" s="40" t="s">
        <v>169</v>
      </c>
      <c r="T306" s="41" t="s">
        <v>104</v>
      </c>
      <c r="U306" s="41" t="s">
        <v>104</v>
      </c>
      <c r="V306" s="41" t="s">
        <v>104</v>
      </c>
      <c r="W306" s="41" t="s">
        <v>104</v>
      </c>
      <c r="X306" s="41" t="s">
        <v>104</v>
      </c>
      <c r="Y306" s="40" t="s">
        <v>104</v>
      </c>
      <c r="Z306" s="41" t="s">
        <v>104</v>
      </c>
      <c r="AA306" s="41" t="s">
        <v>102</v>
      </c>
      <c r="AB306" s="41" t="s">
        <v>104</v>
      </c>
      <c r="AC306" s="40" t="s">
        <v>604</v>
      </c>
      <c r="AD306" s="41" t="s">
        <v>607</v>
      </c>
      <c r="AE306" s="41" t="s">
        <v>102</v>
      </c>
      <c r="AF306" s="41" t="s">
        <v>857</v>
      </c>
      <c r="AG306" s="41" t="s">
        <v>139</v>
      </c>
      <c r="AH306" s="41" t="s">
        <v>141</v>
      </c>
      <c r="AI306" s="41">
        <v>4</v>
      </c>
      <c r="AJ306" s="41">
        <v>0</v>
      </c>
      <c r="AK306" s="41">
        <v>4</v>
      </c>
      <c r="AL306" s="42">
        <v>285.01</v>
      </c>
      <c r="AM306" s="41" t="s">
        <v>144</v>
      </c>
      <c r="AN306" s="42">
        <v>1140.04</v>
      </c>
      <c r="AO306" s="41">
        <v>45920</v>
      </c>
      <c r="AP306" s="41" t="s">
        <v>155</v>
      </c>
      <c r="AR306" s="41" t="s">
        <v>164</v>
      </c>
      <c r="AS306" s="41" t="s">
        <v>170</v>
      </c>
      <c r="AT306" s="41" t="s">
        <v>219</v>
      </c>
      <c r="AU306" s="41" t="s">
        <v>173</v>
      </c>
      <c r="AW306" s="41" t="s">
        <v>171</v>
      </c>
      <c r="AX306" s="41" t="s">
        <v>1737</v>
      </c>
      <c r="AY306" s="41"/>
      <c r="AZ306" s="40" t="s">
        <v>2158</v>
      </c>
      <c r="BA306" s="40" t="s">
        <v>2160</v>
      </c>
    </row>
    <row r="307" spans="6:53" ht="72.5" x14ac:dyDescent="0.35">
      <c r="F307" s="40" t="s">
        <v>1302</v>
      </c>
      <c r="G307" s="85" t="s">
        <v>846</v>
      </c>
      <c r="H307" s="40" t="s">
        <v>847</v>
      </c>
      <c r="I307" s="41" t="s">
        <v>223</v>
      </c>
      <c r="J307" s="41" t="s">
        <v>804</v>
      </c>
      <c r="K307" s="41" t="s">
        <v>805</v>
      </c>
      <c r="L307" s="40" t="s">
        <v>603</v>
      </c>
      <c r="O307" s="40" t="s">
        <v>104</v>
      </c>
      <c r="P307" s="41" t="s">
        <v>848</v>
      </c>
      <c r="Q307" s="41" t="s">
        <v>104</v>
      </c>
      <c r="R307" s="41" t="s">
        <v>104</v>
      </c>
      <c r="S307" s="40" t="s">
        <v>169</v>
      </c>
      <c r="T307" s="41" t="s">
        <v>849</v>
      </c>
      <c r="U307" s="41" t="s">
        <v>104</v>
      </c>
      <c r="V307" s="41" t="s">
        <v>107</v>
      </c>
      <c r="W307" s="41" t="s">
        <v>112</v>
      </c>
      <c r="X307" s="41" t="s">
        <v>104</v>
      </c>
      <c r="Y307" s="40" t="s">
        <v>104</v>
      </c>
      <c r="Z307" s="41" t="s">
        <v>104</v>
      </c>
      <c r="AA307" s="41" t="s">
        <v>102</v>
      </c>
      <c r="AB307" s="41" t="s">
        <v>104</v>
      </c>
      <c r="AC307" s="40" t="s">
        <v>604</v>
      </c>
      <c r="AD307" s="41" t="s">
        <v>607</v>
      </c>
      <c r="AE307" s="41" t="s">
        <v>102</v>
      </c>
      <c r="AF307" s="41" t="s">
        <v>857</v>
      </c>
      <c r="AG307" s="41" t="s">
        <v>139</v>
      </c>
      <c r="AH307" s="41" t="s">
        <v>141</v>
      </c>
      <c r="AI307" s="41">
        <v>1</v>
      </c>
      <c r="AJ307" s="41">
        <v>0</v>
      </c>
      <c r="AK307" s="41">
        <v>1</v>
      </c>
      <c r="AL307" s="42">
        <v>945.75</v>
      </c>
      <c r="AM307" s="41" t="s">
        <v>144</v>
      </c>
      <c r="AN307" s="42">
        <v>945.75</v>
      </c>
      <c r="AO307" s="41">
        <v>45920</v>
      </c>
      <c r="AP307" s="41" t="s">
        <v>155</v>
      </c>
      <c r="AR307" s="41" t="s">
        <v>164</v>
      </c>
      <c r="AS307" s="41" t="s">
        <v>170</v>
      </c>
      <c r="AT307" s="41" t="s">
        <v>219</v>
      </c>
      <c r="AU307" s="41" t="s">
        <v>173</v>
      </c>
      <c r="AW307" s="41" t="s">
        <v>171</v>
      </c>
      <c r="AX307" s="41" t="s">
        <v>1738</v>
      </c>
      <c r="AY307" s="41"/>
      <c r="AZ307" s="40" t="s">
        <v>2158</v>
      </c>
      <c r="BA307" s="40"/>
    </row>
    <row r="308" spans="6:53" ht="72.5" x14ac:dyDescent="0.35">
      <c r="F308" s="40" t="s">
        <v>1303</v>
      </c>
      <c r="G308" s="85" t="s">
        <v>850</v>
      </c>
      <c r="H308" s="40" t="s">
        <v>851</v>
      </c>
      <c r="I308" s="41" t="s">
        <v>223</v>
      </c>
      <c r="J308" s="41" t="s">
        <v>804</v>
      </c>
      <c r="K308" s="41" t="s">
        <v>805</v>
      </c>
      <c r="L308" s="40" t="s">
        <v>603</v>
      </c>
      <c r="O308" s="40" t="s">
        <v>104</v>
      </c>
      <c r="P308" s="41" t="s">
        <v>852</v>
      </c>
      <c r="Q308" s="41" t="s">
        <v>104</v>
      </c>
      <c r="R308" s="41" t="s">
        <v>104</v>
      </c>
      <c r="S308" s="40" t="s">
        <v>169</v>
      </c>
      <c r="T308" s="41" t="s">
        <v>853</v>
      </c>
      <c r="U308" s="41" t="s">
        <v>104</v>
      </c>
      <c r="V308" s="41" t="s">
        <v>104</v>
      </c>
      <c r="W308" s="41" t="s">
        <v>104</v>
      </c>
      <c r="X308" s="41" t="s">
        <v>104</v>
      </c>
      <c r="Y308" s="40" t="s">
        <v>104</v>
      </c>
      <c r="Z308" s="41" t="s">
        <v>104</v>
      </c>
      <c r="AA308" s="41" t="s">
        <v>102</v>
      </c>
      <c r="AB308" s="41" t="s">
        <v>104</v>
      </c>
      <c r="AC308" s="40" t="s">
        <v>604</v>
      </c>
      <c r="AD308" s="41" t="s">
        <v>607</v>
      </c>
      <c r="AE308" s="41" t="s">
        <v>102</v>
      </c>
      <c r="AF308" s="41" t="s">
        <v>857</v>
      </c>
      <c r="AG308" s="41" t="s">
        <v>139</v>
      </c>
      <c r="AH308" s="41" t="s">
        <v>141</v>
      </c>
      <c r="AI308" s="41">
        <v>1</v>
      </c>
      <c r="AJ308" s="41">
        <v>0</v>
      </c>
      <c r="AK308" s="41">
        <v>1</v>
      </c>
      <c r="AL308" s="42">
        <v>1122.19</v>
      </c>
      <c r="AM308" s="41" t="s">
        <v>144</v>
      </c>
      <c r="AN308" s="42">
        <v>1122.19</v>
      </c>
      <c r="AO308" s="41">
        <v>45920</v>
      </c>
      <c r="AP308" s="41" t="s">
        <v>155</v>
      </c>
      <c r="AR308" s="41" t="s">
        <v>164</v>
      </c>
      <c r="AS308" s="41" t="s">
        <v>170</v>
      </c>
      <c r="AT308" s="41" t="s">
        <v>219</v>
      </c>
      <c r="AU308" s="41" t="s">
        <v>173</v>
      </c>
      <c r="AW308" s="41" t="s">
        <v>171</v>
      </c>
      <c r="AX308" s="41" t="s">
        <v>1739</v>
      </c>
      <c r="AY308" s="41"/>
      <c r="AZ308" s="40" t="s">
        <v>2158</v>
      </c>
      <c r="BA308" s="40"/>
    </row>
    <row r="309" spans="6:53" ht="72.5" x14ac:dyDescent="0.35">
      <c r="F309" s="40" t="s">
        <v>1304</v>
      </c>
      <c r="G309" s="85" t="s">
        <v>854</v>
      </c>
      <c r="H309" s="40" t="s">
        <v>855</v>
      </c>
      <c r="I309" s="41" t="s">
        <v>223</v>
      </c>
      <c r="J309" s="41" t="s">
        <v>804</v>
      </c>
      <c r="K309" s="41" t="s">
        <v>805</v>
      </c>
      <c r="L309" s="40" t="s">
        <v>603</v>
      </c>
      <c r="O309" s="40" t="s">
        <v>104</v>
      </c>
      <c r="P309" s="41" t="s">
        <v>856</v>
      </c>
      <c r="Q309" s="41" t="s">
        <v>104</v>
      </c>
      <c r="R309" s="41" t="s">
        <v>104</v>
      </c>
      <c r="S309" s="40" t="s">
        <v>169</v>
      </c>
      <c r="T309" s="41" t="s">
        <v>649</v>
      </c>
      <c r="U309" s="41" t="s">
        <v>104</v>
      </c>
      <c r="V309" s="41" t="s">
        <v>104</v>
      </c>
      <c r="W309" s="41" t="s">
        <v>104</v>
      </c>
      <c r="X309" s="41" t="s">
        <v>104</v>
      </c>
      <c r="Y309" s="40" t="s">
        <v>104</v>
      </c>
      <c r="Z309" s="41" t="s">
        <v>104</v>
      </c>
      <c r="AA309" s="41" t="s">
        <v>102</v>
      </c>
      <c r="AB309" s="41" t="s">
        <v>104</v>
      </c>
      <c r="AC309" s="40" t="s">
        <v>604</v>
      </c>
      <c r="AD309" s="41" t="s">
        <v>607</v>
      </c>
      <c r="AE309" s="41" t="s">
        <v>102</v>
      </c>
      <c r="AF309" s="41" t="s">
        <v>857</v>
      </c>
      <c r="AG309" s="41" t="s">
        <v>139</v>
      </c>
      <c r="AH309" s="41" t="s">
        <v>141</v>
      </c>
      <c r="AI309" s="41">
        <v>1</v>
      </c>
      <c r="AJ309" s="41">
        <v>0</v>
      </c>
      <c r="AK309" s="41">
        <v>1</v>
      </c>
      <c r="AL309" s="42">
        <v>487.62</v>
      </c>
      <c r="AM309" s="41" t="s">
        <v>144</v>
      </c>
      <c r="AN309" s="42">
        <v>487.62</v>
      </c>
      <c r="AO309" s="41">
        <v>45920</v>
      </c>
      <c r="AP309" s="41" t="s">
        <v>155</v>
      </c>
      <c r="AR309" s="41" t="s">
        <v>164</v>
      </c>
      <c r="AS309" s="41" t="s">
        <v>170</v>
      </c>
      <c r="AT309" s="41" t="s">
        <v>219</v>
      </c>
      <c r="AU309" s="41" t="s">
        <v>173</v>
      </c>
      <c r="AW309" s="41" t="s">
        <v>171</v>
      </c>
      <c r="AX309" s="41" t="s">
        <v>1740</v>
      </c>
      <c r="AY309" s="41"/>
      <c r="AZ309" s="40" t="s">
        <v>2158</v>
      </c>
      <c r="BA309" s="40"/>
    </row>
    <row r="310" spans="6:53" ht="72.5" x14ac:dyDescent="0.35">
      <c r="F310" s="40" t="s">
        <v>1305</v>
      </c>
      <c r="G310" s="85" t="s">
        <v>842</v>
      </c>
      <c r="H310" s="40" t="s">
        <v>843</v>
      </c>
      <c r="I310" s="41" t="s">
        <v>223</v>
      </c>
      <c r="J310" s="41" t="s">
        <v>804</v>
      </c>
      <c r="K310" s="41" t="s">
        <v>805</v>
      </c>
      <c r="L310" s="40" t="s">
        <v>603</v>
      </c>
      <c r="O310" s="40" t="s">
        <v>104</v>
      </c>
      <c r="P310" s="41" t="s">
        <v>844</v>
      </c>
      <c r="Q310" s="41" t="s">
        <v>104</v>
      </c>
      <c r="R310" s="41" t="s">
        <v>104</v>
      </c>
      <c r="S310" s="40" t="s">
        <v>169</v>
      </c>
      <c r="T310" s="41" t="s">
        <v>104</v>
      </c>
      <c r="U310" s="41" t="s">
        <v>104</v>
      </c>
      <c r="V310" s="41" t="s">
        <v>104</v>
      </c>
      <c r="W310" s="41" t="s">
        <v>104</v>
      </c>
      <c r="X310" s="41" t="s">
        <v>104</v>
      </c>
      <c r="Y310" s="40" t="s">
        <v>104</v>
      </c>
      <c r="Z310" s="41" t="s">
        <v>104</v>
      </c>
      <c r="AA310" s="41" t="s">
        <v>102</v>
      </c>
      <c r="AB310" s="41" t="s">
        <v>104</v>
      </c>
      <c r="AC310" s="40" t="s">
        <v>604</v>
      </c>
      <c r="AD310" s="41" t="s">
        <v>607</v>
      </c>
      <c r="AE310" s="41" t="s">
        <v>102</v>
      </c>
      <c r="AF310" s="41" t="s">
        <v>858</v>
      </c>
      <c r="AG310" s="41" t="s">
        <v>139</v>
      </c>
      <c r="AH310" s="41" t="s">
        <v>141</v>
      </c>
      <c r="AI310" s="41">
        <v>4</v>
      </c>
      <c r="AJ310" s="41">
        <v>0</v>
      </c>
      <c r="AK310" s="41">
        <v>4</v>
      </c>
      <c r="AL310" s="42">
        <v>285.01</v>
      </c>
      <c r="AM310" s="41" t="s">
        <v>144</v>
      </c>
      <c r="AN310" s="42">
        <v>1140.04</v>
      </c>
      <c r="AO310" s="41">
        <v>45920</v>
      </c>
      <c r="AP310" s="41" t="s">
        <v>155</v>
      </c>
      <c r="AR310" s="41" t="s">
        <v>164</v>
      </c>
      <c r="AS310" s="41" t="s">
        <v>170</v>
      </c>
      <c r="AT310" s="41" t="s">
        <v>219</v>
      </c>
      <c r="AU310" s="41" t="s">
        <v>173</v>
      </c>
      <c r="AW310" s="41" t="s">
        <v>171</v>
      </c>
      <c r="AX310" s="41" t="s">
        <v>1741</v>
      </c>
      <c r="AY310" s="41"/>
      <c r="AZ310" s="40" t="s">
        <v>2158</v>
      </c>
      <c r="BA310" s="40" t="s">
        <v>2160</v>
      </c>
    </row>
    <row r="311" spans="6:53" ht="72.5" x14ac:dyDescent="0.35">
      <c r="F311" s="40" t="s">
        <v>1306</v>
      </c>
      <c r="G311" s="85" t="s">
        <v>846</v>
      </c>
      <c r="H311" s="40" t="s">
        <v>847</v>
      </c>
      <c r="I311" s="41" t="s">
        <v>223</v>
      </c>
      <c r="J311" s="41" t="s">
        <v>804</v>
      </c>
      <c r="K311" s="41" t="s">
        <v>805</v>
      </c>
      <c r="L311" s="40" t="s">
        <v>603</v>
      </c>
      <c r="O311" s="40" t="s">
        <v>104</v>
      </c>
      <c r="P311" s="41" t="s">
        <v>848</v>
      </c>
      <c r="Q311" s="41" t="s">
        <v>104</v>
      </c>
      <c r="R311" s="41" t="s">
        <v>104</v>
      </c>
      <c r="S311" s="40" t="s">
        <v>169</v>
      </c>
      <c r="T311" s="41" t="s">
        <v>849</v>
      </c>
      <c r="U311" s="41" t="s">
        <v>104</v>
      </c>
      <c r="V311" s="41" t="s">
        <v>107</v>
      </c>
      <c r="W311" s="41" t="s">
        <v>112</v>
      </c>
      <c r="X311" s="41" t="s">
        <v>104</v>
      </c>
      <c r="Y311" s="40" t="s">
        <v>104</v>
      </c>
      <c r="Z311" s="41" t="s">
        <v>104</v>
      </c>
      <c r="AA311" s="41" t="s">
        <v>102</v>
      </c>
      <c r="AB311" s="41" t="s">
        <v>104</v>
      </c>
      <c r="AC311" s="40" t="s">
        <v>604</v>
      </c>
      <c r="AD311" s="41" t="s">
        <v>607</v>
      </c>
      <c r="AE311" s="41" t="s">
        <v>102</v>
      </c>
      <c r="AF311" s="41" t="s">
        <v>858</v>
      </c>
      <c r="AG311" s="41" t="s">
        <v>139</v>
      </c>
      <c r="AH311" s="41" t="s">
        <v>141</v>
      </c>
      <c r="AI311" s="41">
        <v>1</v>
      </c>
      <c r="AJ311" s="41">
        <v>0</v>
      </c>
      <c r="AK311" s="41">
        <v>1</v>
      </c>
      <c r="AL311" s="42">
        <v>945.75</v>
      </c>
      <c r="AM311" s="41" t="s">
        <v>144</v>
      </c>
      <c r="AN311" s="42">
        <v>945.75</v>
      </c>
      <c r="AO311" s="41">
        <v>45920</v>
      </c>
      <c r="AP311" s="41" t="s">
        <v>155</v>
      </c>
      <c r="AR311" s="41" t="s">
        <v>164</v>
      </c>
      <c r="AS311" s="41" t="s">
        <v>170</v>
      </c>
      <c r="AT311" s="41" t="s">
        <v>219</v>
      </c>
      <c r="AU311" s="41" t="s">
        <v>173</v>
      </c>
      <c r="AW311" s="41" t="s">
        <v>171</v>
      </c>
      <c r="AX311" s="41" t="s">
        <v>1742</v>
      </c>
      <c r="AY311" s="41"/>
      <c r="AZ311" s="40" t="s">
        <v>2158</v>
      </c>
      <c r="BA311" s="40"/>
    </row>
    <row r="312" spans="6:53" ht="72.5" x14ac:dyDescent="0.35">
      <c r="F312" s="40" t="s">
        <v>1307</v>
      </c>
      <c r="G312" s="85" t="s">
        <v>850</v>
      </c>
      <c r="H312" s="40" t="s">
        <v>851</v>
      </c>
      <c r="I312" s="41" t="s">
        <v>223</v>
      </c>
      <c r="J312" s="41" t="s">
        <v>804</v>
      </c>
      <c r="K312" s="41" t="s">
        <v>805</v>
      </c>
      <c r="L312" s="40" t="s">
        <v>603</v>
      </c>
      <c r="O312" s="40" t="s">
        <v>104</v>
      </c>
      <c r="P312" s="41" t="s">
        <v>852</v>
      </c>
      <c r="Q312" s="41" t="s">
        <v>104</v>
      </c>
      <c r="R312" s="41" t="s">
        <v>104</v>
      </c>
      <c r="S312" s="40" t="s">
        <v>169</v>
      </c>
      <c r="T312" s="41" t="s">
        <v>853</v>
      </c>
      <c r="U312" s="41" t="s">
        <v>104</v>
      </c>
      <c r="V312" s="41" t="s">
        <v>104</v>
      </c>
      <c r="W312" s="41" t="s">
        <v>104</v>
      </c>
      <c r="X312" s="41" t="s">
        <v>104</v>
      </c>
      <c r="Y312" s="40" t="s">
        <v>104</v>
      </c>
      <c r="Z312" s="41" t="s">
        <v>104</v>
      </c>
      <c r="AA312" s="41" t="s">
        <v>102</v>
      </c>
      <c r="AB312" s="41" t="s">
        <v>104</v>
      </c>
      <c r="AC312" s="40" t="s">
        <v>604</v>
      </c>
      <c r="AD312" s="41" t="s">
        <v>607</v>
      </c>
      <c r="AE312" s="41" t="s">
        <v>102</v>
      </c>
      <c r="AF312" s="41" t="s">
        <v>858</v>
      </c>
      <c r="AG312" s="41" t="s">
        <v>139</v>
      </c>
      <c r="AH312" s="41" t="s">
        <v>141</v>
      </c>
      <c r="AI312" s="41">
        <v>1</v>
      </c>
      <c r="AJ312" s="41">
        <v>0</v>
      </c>
      <c r="AK312" s="41">
        <v>1</v>
      </c>
      <c r="AL312" s="42">
        <v>1122.19</v>
      </c>
      <c r="AM312" s="41" t="s">
        <v>144</v>
      </c>
      <c r="AN312" s="42">
        <v>1122.19</v>
      </c>
      <c r="AO312" s="41">
        <v>45920</v>
      </c>
      <c r="AP312" s="41" t="s">
        <v>155</v>
      </c>
      <c r="AR312" s="41" t="s">
        <v>164</v>
      </c>
      <c r="AS312" s="41" t="s">
        <v>170</v>
      </c>
      <c r="AT312" s="41" t="s">
        <v>219</v>
      </c>
      <c r="AU312" s="41" t="s">
        <v>173</v>
      </c>
      <c r="AW312" s="41" t="s">
        <v>171</v>
      </c>
      <c r="AX312" s="41" t="s">
        <v>1743</v>
      </c>
      <c r="AY312" s="41"/>
      <c r="AZ312" s="40" t="s">
        <v>2158</v>
      </c>
      <c r="BA312" s="40"/>
    </row>
    <row r="313" spans="6:53" ht="72.5" x14ac:dyDescent="0.35">
      <c r="F313" s="40" t="s">
        <v>1308</v>
      </c>
      <c r="G313" s="85" t="s">
        <v>854</v>
      </c>
      <c r="H313" s="40" t="s">
        <v>855</v>
      </c>
      <c r="I313" s="41" t="s">
        <v>223</v>
      </c>
      <c r="J313" s="41" t="s">
        <v>804</v>
      </c>
      <c r="K313" s="41" t="s">
        <v>805</v>
      </c>
      <c r="L313" s="40" t="s">
        <v>603</v>
      </c>
      <c r="O313" s="40" t="s">
        <v>104</v>
      </c>
      <c r="P313" s="41" t="s">
        <v>856</v>
      </c>
      <c r="Q313" s="41" t="s">
        <v>104</v>
      </c>
      <c r="R313" s="41" t="s">
        <v>104</v>
      </c>
      <c r="S313" s="40" t="s">
        <v>169</v>
      </c>
      <c r="T313" s="41" t="s">
        <v>649</v>
      </c>
      <c r="U313" s="41" t="s">
        <v>104</v>
      </c>
      <c r="V313" s="41" t="s">
        <v>104</v>
      </c>
      <c r="W313" s="41" t="s">
        <v>104</v>
      </c>
      <c r="X313" s="41" t="s">
        <v>104</v>
      </c>
      <c r="Y313" s="40" t="s">
        <v>104</v>
      </c>
      <c r="Z313" s="41" t="s">
        <v>104</v>
      </c>
      <c r="AA313" s="41" t="s">
        <v>102</v>
      </c>
      <c r="AB313" s="41" t="s">
        <v>104</v>
      </c>
      <c r="AC313" s="40" t="s">
        <v>604</v>
      </c>
      <c r="AD313" s="41" t="s">
        <v>607</v>
      </c>
      <c r="AE313" s="41" t="s">
        <v>102</v>
      </c>
      <c r="AF313" s="41" t="s">
        <v>858</v>
      </c>
      <c r="AG313" s="41" t="s">
        <v>139</v>
      </c>
      <c r="AH313" s="41" t="s">
        <v>141</v>
      </c>
      <c r="AI313" s="41">
        <v>1</v>
      </c>
      <c r="AJ313" s="41">
        <v>0</v>
      </c>
      <c r="AK313" s="41">
        <v>1</v>
      </c>
      <c r="AL313" s="42">
        <v>487.62</v>
      </c>
      <c r="AM313" s="41" t="s">
        <v>144</v>
      </c>
      <c r="AN313" s="42">
        <v>487.62</v>
      </c>
      <c r="AO313" s="41">
        <v>45920</v>
      </c>
      <c r="AP313" s="41" t="s">
        <v>155</v>
      </c>
      <c r="AR313" s="41" t="s">
        <v>164</v>
      </c>
      <c r="AS313" s="41" t="s">
        <v>170</v>
      </c>
      <c r="AT313" s="41" t="s">
        <v>219</v>
      </c>
      <c r="AU313" s="41" t="s">
        <v>173</v>
      </c>
      <c r="AW313" s="41" t="s">
        <v>171</v>
      </c>
      <c r="AX313" s="41" t="s">
        <v>1744</v>
      </c>
      <c r="AY313" s="41"/>
      <c r="AZ313" s="40" t="s">
        <v>2158</v>
      </c>
      <c r="BA313" s="40"/>
    </row>
    <row r="314" spans="6:53" ht="72.5" x14ac:dyDescent="0.35">
      <c r="F314" s="40" t="s">
        <v>1309</v>
      </c>
      <c r="G314" s="85" t="s">
        <v>842</v>
      </c>
      <c r="H314" s="40" t="s">
        <v>843</v>
      </c>
      <c r="I314" s="41" t="s">
        <v>223</v>
      </c>
      <c r="J314" s="41" t="s">
        <v>804</v>
      </c>
      <c r="K314" s="41" t="s">
        <v>805</v>
      </c>
      <c r="L314" s="40" t="s">
        <v>603</v>
      </c>
      <c r="O314" s="40" t="s">
        <v>104</v>
      </c>
      <c r="P314" s="41" t="s">
        <v>844</v>
      </c>
      <c r="Q314" s="41" t="s">
        <v>104</v>
      </c>
      <c r="R314" s="41" t="s">
        <v>104</v>
      </c>
      <c r="S314" s="40" t="s">
        <v>169</v>
      </c>
      <c r="T314" s="41" t="s">
        <v>104</v>
      </c>
      <c r="U314" s="41" t="s">
        <v>104</v>
      </c>
      <c r="V314" s="41" t="s">
        <v>104</v>
      </c>
      <c r="W314" s="41" t="s">
        <v>104</v>
      </c>
      <c r="X314" s="41" t="s">
        <v>104</v>
      </c>
      <c r="Y314" s="40" t="s">
        <v>104</v>
      </c>
      <c r="Z314" s="41" t="s">
        <v>104</v>
      </c>
      <c r="AA314" s="41" t="s">
        <v>102</v>
      </c>
      <c r="AB314" s="41" t="s">
        <v>104</v>
      </c>
      <c r="AC314" s="40" t="s">
        <v>604</v>
      </c>
      <c r="AD314" s="41" t="s">
        <v>607</v>
      </c>
      <c r="AE314" s="41" t="s">
        <v>102</v>
      </c>
      <c r="AF314" s="41" t="s">
        <v>859</v>
      </c>
      <c r="AG314" s="41" t="s">
        <v>139</v>
      </c>
      <c r="AH314" s="41" t="s">
        <v>141</v>
      </c>
      <c r="AI314" s="41">
        <v>4</v>
      </c>
      <c r="AJ314" s="41">
        <v>0</v>
      </c>
      <c r="AK314" s="41">
        <v>4</v>
      </c>
      <c r="AL314" s="42">
        <v>285.01</v>
      </c>
      <c r="AM314" s="41" t="s">
        <v>144</v>
      </c>
      <c r="AN314" s="42">
        <v>1140.04</v>
      </c>
      <c r="AO314" s="41">
        <v>45920</v>
      </c>
      <c r="AP314" s="41" t="s">
        <v>155</v>
      </c>
      <c r="AR314" s="41" t="s">
        <v>164</v>
      </c>
      <c r="AS314" s="41" t="s">
        <v>170</v>
      </c>
      <c r="AT314" s="41" t="s">
        <v>219</v>
      </c>
      <c r="AU314" s="41" t="s">
        <v>173</v>
      </c>
      <c r="AW314" s="41" t="s">
        <v>171</v>
      </c>
      <c r="AX314" s="41" t="s">
        <v>1745</v>
      </c>
      <c r="AY314" s="41"/>
      <c r="AZ314" s="40" t="s">
        <v>2158</v>
      </c>
      <c r="BA314" s="40" t="s">
        <v>2160</v>
      </c>
    </row>
    <row r="315" spans="6:53" ht="72.5" x14ac:dyDescent="0.35">
      <c r="F315" s="40" t="s">
        <v>1310</v>
      </c>
      <c r="G315" s="85" t="s">
        <v>846</v>
      </c>
      <c r="H315" s="40" t="s">
        <v>847</v>
      </c>
      <c r="I315" s="41" t="s">
        <v>223</v>
      </c>
      <c r="J315" s="41" t="s">
        <v>804</v>
      </c>
      <c r="K315" s="41" t="s">
        <v>805</v>
      </c>
      <c r="L315" s="40" t="s">
        <v>603</v>
      </c>
      <c r="O315" s="40" t="s">
        <v>104</v>
      </c>
      <c r="P315" s="41" t="s">
        <v>848</v>
      </c>
      <c r="Q315" s="41" t="s">
        <v>104</v>
      </c>
      <c r="R315" s="41" t="s">
        <v>104</v>
      </c>
      <c r="S315" s="40" t="s">
        <v>169</v>
      </c>
      <c r="T315" s="41" t="s">
        <v>849</v>
      </c>
      <c r="U315" s="41" t="s">
        <v>104</v>
      </c>
      <c r="V315" s="41" t="s">
        <v>107</v>
      </c>
      <c r="W315" s="41" t="s">
        <v>112</v>
      </c>
      <c r="X315" s="41" t="s">
        <v>104</v>
      </c>
      <c r="Y315" s="40" t="s">
        <v>104</v>
      </c>
      <c r="Z315" s="41" t="s">
        <v>104</v>
      </c>
      <c r="AA315" s="41" t="s">
        <v>102</v>
      </c>
      <c r="AB315" s="41" t="s">
        <v>104</v>
      </c>
      <c r="AC315" s="40" t="s">
        <v>604</v>
      </c>
      <c r="AD315" s="41" t="s">
        <v>607</v>
      </c>
      <c r="AE315" s="41" t="s">
        <v>102</v>
      </c>
      <c r="AF315" s="41" t="s">
        <v>859</v>
      </c>
      <c r="AG315" s="41" t="s">
        <v>139</v>
      </c>
      <c r="AH315" s="41" t="s">
        <v>141</v>
      </c>
      <c r="AI315" s="41">
        <v>1</v>
      </c>
      <c r="AJ315" s="41">
        <v>0</v>
      </c>
      <c r="AK315" s="41">
        <v>1</v>
      </c>
      <c r="AL315" s="42">
        <v>945.75</v>
      </c>
      <c r="AM315" s="41" t="s">
        <v>144</v>
      </c>
      <c r="AN315" s="42">
        <v>945.75</v>
      </c>
      <c r="AO315" s="41">
        <v>45920</v>
      </c>
      <c r="AP315" s="41" t="s">
        <v>155</v>
      </c>
      <c r="AR315" s="41" t="s">
        <v>164</v>
      </c>
      <c r="AS315" s="41" t="s">
        <v>170</v>
      </c>
      <c r="AT315" s="41" t="s">
        <v>219</v>
      </c>
      <c r="AU315" s="41" t="s">
        <v>173</v>
      </c>
      <c r="AW315" s="41" t="s">
        <v>171</v>
      </c>
      <c r="AX315" s="41" t="s">
        <v>1746</v>
      </c>
      <c r="AY315" s="41"/>
      <c r="AZ315" s="40" t="s">
        <v>2158</v>
      </c>
      <c r="BA315" s="40"/>
    </row>
    <row r="316" spans="6:53" ht="72.5" x14ac:dyDescent="0.35">
      <c r="F316" s="40" t="s">
        <v>1311</v>
      </c>
      <c r="G316" s="85" t="s">
        <v>850</v>
      </c>
      <c r="H316" s="40" t="s">
        <v>851</v>
      </c>
      <c r="I316" s="41" t="s">
        <v>223</v>
      </c>
      <c r="J316" s="41" t="s">
        <v>804</v>
      </c>
      <c r="K316" s="41" t="s">
        <v>805</v>
      </c>
      <c r="L316" s="40" t="s">
        <v>603</v>
      </c>
      <c r="O316" s="40" t="s">
        <v>104</v>
      </c>
      <c r="P316" s="41" t="s">
        <v>852</v>
      </c>
      <c r="Q316" s="41" t="s">
        <v>104</v>
      </c>
      <c r="R316" s="41" t="s">
        <v>104</v>
      </c>
      <c r="S316" s="40" t="s">
        <v>169</v>
      </c>
      <c r="T316" s="41" t="s">
        <v>853</v>
      </c>
      <c r="U316" s="41" t="s">
        <v>104</v>
      </c>
      <c r="V316" s="41" t="s">
        <v>104</v>
      </c>
      <c r="W316" s="41" t="s">
        <v>104</v>
      </c>
      <c r="X316" s="41" t="s">
        <v>104</v>
      </c>
      <c r="Y316" s="40" t="s">
        <v>104</v>
      </c>
      <c r="Z316" s="41" t="s">
        <v>104</v>
      </c>
      <c r="AA316" s="41" t="s">
        <v>102</v>
      </c>
      <c r="AB316" s="41" t="s">
        <v>104</v>
      </c>
      <c r="AC316" s="40" t="s">
        <v>604</v>
      </c>
      <c r="AD316" s="41" t="s">
        <v>607</v>
      </c>
      <c r="AE316" s="41" t="s">
        <v>102</v>
      </c>
      <c r="AF316" s="41" t="s">
        <v>859</v>
      </c>
      <c r="AG316" s="41" t="s">
        <v>139</v>
      </c>
      <c r="AH316" s="41" t="s">
        <v>141</v>
      </c>
      <c r="AI316" s="41">
        <v>1</v>
      </c>
      <c r="AJ316" s="41">
        <v>0</v>
      </c>
      <c r="AK316" s="41">
        <v>1</v>
      </c>
      <c r="AL316" s="42">
        <v>1122.19</v>
      </c>
      <c r="AM316" s="41" t="s">
        <v>144</v>
      </c>
      <c r="AN316" s="42">
        <v>1122.19</v>
      </c>
      <c r="AO316" s="41">
        <v>45920</v>
      </c>
      <c r="AP316" s="41" t="s">
        <v>155</v>
      </c>
      <c r="AR316" s="41" t="s">
        <v>164</v>
      </c>
      <c r="AS316" s="41" t="s">
        <v>170</v>
      </c>
      <c r="AT316" s="41" t="s">
        <v>219</v>
      </c>
      <c r="AU316" s="41" t="s">
        <v>173</v>
      </c>
      <c r="AW316" s="41" t="s">
        <v>171</v>
      </c>
      <c r="AX316" s="41" t="s">
        <v>1747</v>
      </c>
      <c r="AY316" s="41"/>
      <c r="AZ316" s="40" t="s">
        <v>2158</v>
      </c>
      <c r="BA316" s="40"/>
    </row>
    <row r="317" spans="6:53" ht="72.5" x14ac:dyDescent="0.35">
      <c r="F317" s="40" t="s">
        <v>1312</v>
      </c>
      <c r="G317" s="85" t="s">
        <v>854</v>
      </c>
      <c r="H317" s="40" t="s">
        <v>855</v>
      </c>
      <c r="I317" s="41" t="s">
        <v>223</v>
      </c>
      <c r="J317" s="41" t="s">
        <v>804</v>
      </c>
      <c r="K317" s="41" t="s">
        <v>805</v>
      </c>
      <c r="L317" s="40" t="s">
        <v>603</v>
      </c>
      <c r="O317" s="40" t="s">
        <v>104</v>
      </c>
      <c r="P317" s="41" t="s">
        <v>856</v>
      </c>
      <c r="Q317" s="41" t="s">
        <v>104</v>
      </c>
      <c r="R317" s="41" t="s">
        <v>104</v>
      </c>
      <c r="S317" s="40" t="s">
        <v>169</v>
      </c>
      <c r="T317" s="41" t="s">
        <v>649</v>
      </c>
      <c r="U317" s="41" t="s">
        <v>104</v>
      </c>
      <c r="V317" s="41" t="s">
        <v>104</v>
      </c>
      <c r="W317" s="41" t="s">
        <v>104</v>
      </c>
      <c r="X317" s="41" t="s">
        <v>104</v>
      </c>
      <c r="Y317" s="40" t="s">
        <v>104</v>
      </c>
      <c r="Z317" s="41" t="s">
        <v>104</v>
      </c>
      <c r="AA317" s="41" t="s">
        <v>102</v>
      </c>
      <c r="AB317" s="41" t="s">
        <v>104</v>
      </c>
      <c r="AC317" s="40" t="s">
        <v>604</v>
      </c>
      <c r="AD317" s="41" t="s">
        <v>607</v>
      </c>
      <c r="AE317" s="41" t="s">
        <v>102</v>
      </c>
      <c r="AF317" s="41" t="s">
        <v>859</v>
      </c>
      <c r="AG317" s="41" t="s">
        <v>139</v>
      </c>
      <c r="AH317" s="41" t="s">
        <v>141</v>
      </c>
      <c r="AI317" s="41">
        <v>1</v>
      </c>
      <c r="AJ317" s="41">
        <v>0</v>
      </c>
      <c r="AK317" s="41">
        <v>1</v>
      </c>
      <c r="AL317" s="42">
        <v>487.62</v>
      </c>
      <c r="AM317" s="41" t="s">
        <v>144</v>
      </c>
      <c r="AN317" s="42">
        <v>487.62</v>
      </c>
      <c r="AO317" s="41">
        <v>45920</v>
      </c>
      <c r="AP317" s="41" t="s">
        <v>155</v>
      </c>
      <c r="AR317" s="41" t="s">
        <v>164</v>
      </c>
      <c r="AS317" s="41" t="s">
        <v>170</v>
      </c>
      <c r="AT317" s="41" t="s">
        <v>219</v>
      </c>
      <c r="AU317" s="41" t="s">
        <v>173</v>
      </c>
      <c r="AW317" s="41" t="s">
        <v>171</v>
      </c>
      <c r="AX317" s="41" t="s">
        <v>1748</v>
      </c>
      <c r="AY317" s="41"/>
      <c r="AZ317" s="40" t="s">
        <v>2158</v>
      </c>
      <c r="BA317" s="40"/>
    </row>
    <row r="318" spans="6:53" ht="72.5" x14ac:dyDescent="0.35">
      <c r="F318" s="40" t="s">
        <v>1313</v>
      </c>
      <c r="G318" s="85" t="s">
        <v>842</v>
      </c>
      <c r="H318" s="40" t="s">
        <v>843</v>
      </c>
      <c r="I318" s="41" t="s">
        <v>223</v>
      </c>
      <c r="J318" s="41" t="s">
        <v>804</v>
      </c>
      <c r="K318" s="41" t="s">
        <v>805</v>
      </c>
      <c r="L318" s="40" t="s">
        <v>603</v>
      </c>
      <c r="O318" s="40" t="s">
        <v>104</v>
      </c>
      <c r="P318" s="41" t="s">
        <v>844</v>
      </c>
      <c r="Q318" s="41" t="s">
        <v>104</v>
      </c>
      <c r="R318" s="41" t="s">
        <v>104</v>
      </c>
      <c r="S318" s="40" t="s">
        <v>169</v>
      </c>
      <c r="T318" s="41" t="s">
        <v>104</v>
      </c>
      <c r="U318" s="41" t="s">
        <v>104</v>
      </c>
      <c r="V318" s="41" t="s">
        <v>104</v>
      </c>
      <c r="W318" s="41" t="s">
        <v>104</v>
      </c>
      <c r="X318" s="41" t="s">
        <v>104</v>
      </c>
      <c r="Y318" s="40" t="s">
        <v>104</v>
      </c>
      <c r="Z318" s="41" t="s">
        <v>104</v>
      </c>
      <c r="AA318" s="41" t="s">
        <v>102</v>
      </c>
      <c r="AB318" s="41" t="s">
        <v>104</v>
      </c>
      <c r="AC318" s="40" t="s">
        <v>604</v>
      </c>
      <c r="AD318" s="41" t="s">
        <v>607</v>
      </c>
      <c r="AE318" s="41" t="s">
        <v>102</v>
      </c>
      <c r="AF318" s="41" t="s">
        <v>860</v>
      </c>
      <c r="AG318" s="41" t="s">
        <v>139</v>
      </c>
      <c r="AH318" s="41" t="s">
        <v>141</v>
      </c>
      <c r="AI318" s="41">
        <v>2</v>
      </c>
      <c r="AJ318" s="41">
        <v>0</v>
      </c>
      <c r="AK318" s="41">
        <v>2</v>
      </c>
      <c r="AL318" s="42">
        <v>285.01</v>
      </c>
      <c r="AM318" s="41" t="s">
        <v>144</v>
      </c>
      <c r="AN318" s="42">
        <v>570.02</v>
      </c>
      <c r="AO318" s="41">
        <v>45920</v>
      </c>
      <c r="AP318" s="41" t="s">
        <v>155</v>
      </c>
      <c r="AR318" s="41" t="s">
        <v>164</v>
      </c>
      <c r="AS318" s="41" t="s">
        <v>170</v>
      </c>
      <c r="AT318" s="41" t="s">
        <v>219</v>
      </c>
      <c r="AU318" s="41" t="s">
        <v>173</v>
      </c>
      <c r="AW318" s="41" t="s">
        <v>171</v>
      </c>
      <c r="AX318" s="41" t="s">
        <v>1749</v>
      </c>
      <c r="AY318" s="41"/>
      <c r="AZ318" s="40" t="s">
        <v>2158</v>
      </c>
      <c r="BA318" s="40" t="s">
        <v>2160</v>
      </c>
    </row>
    <row r="319" spans="6:53" ht="72.5" x14ac:dyDescent="0.35">
      <c r="F319" s="40" t="s">
        <v>1314</v>
      </c>
      <c r="G319" s="85" t="s">
        <v>846</v>
      </c>
      <c r="H319" s="40" t="s">
        <v>847</v>
      </c>
      <c r="I319" s="41" t="s">
        <v>223</v>
      </c>
      <c r="J319" s="41" t="s">
        <v>804</v>
      </c>
      <c r="K319" s="41" t="s">
        <v>805</v>
      </c>
      <c r="L319" s="40" t="s">
        <v>603</v>
      </c>
      <c r="O319" s="40" t="s">
        <v>104</v>
      </c>
      <c r="P319" s="41" t="s">
        <v>848</v>
      </c>
      <c r="Q319" s="41" t="s">
        <v>104</v>
      </c>
      <c r="R319" s="41" t="s">
        <v>104</v>
      </c>
      <c r="S319" s="40" t="s">
        <v>169</v>
      </c>
      <c r="T319" s="41" t="s">
        <v>849</v>
      </c>
      <c r="U319" s="41" t="s">
        <v>104</v>
      </c>
      <c r="V319" s="41" t="s">
        <v>107</v>
      </c>
      <c r="W319" s="41" t="s">
        <v>112</v>
      </c>
      <c r="X319" s="41" t="s">
        <v>104</v>
      </c>
      <c r="Y319" s="40" t="s">
        <v>104</v>
      </c>
      <c r="Z319" s="41" t="s">
        <v>104</v>
      </c>
      <c r="AA319" s="41" t="s">
        <v>102</v>
      </c>
      <c r="AB319" s="41" t="s">
        <v>104</v>
      </c>
      <c r="AC319" s="40" t="s">
        <v>604</v>
      </c>
      <c r="AD319" s="41" t="s">
        <v>607</v>
      </c>
      <c r="AE319" s="41" t="s">
        <v>102</v>
      </c>
      <c r="AF319" s="41" t="s">
        <v>860</v>
      </c>
      <c r="AG319" s="41" t="s">
        <v>139</v>
      </c>
      <c r="AH319" s="41" t="s">
        <v>141</v>
      </c>
      <c r="AI319" s="41">
        <v>1</v>
      </c>
      <c r="AJ319" s="41">
        <v>0</v>
      </c>
      <c r="AK319" s="41">
        <v>1</v>
      </c>
      <c r="AL319" s="42">
        <v>945.75</v>
      </c>
      <c r="AM319" s="41" t="s">
        <v>144</v>
      </c>
      <c r="AN319" s="42">
        <v>945.75</v>
      </c>
      <c r="AO319" s="41">
        <v>45920</v>
      </c>
      <c r="AP319" s="41" t="s">
        <v>155</v>
      </c>
      <c r="AR319" s="41" t="s">
        <v>164</v>
      </c>
      <c r="AS319" s="41" t="s">
        <v>170</v>
      </c>
      <c r="AT319" s="41" t="s">
        <v>219</v>
      </c>
      <c r="AU319" s="41" t="s">
        <v>173</v>
      </c>
      <c r="AW319" s="41" t="s">
        <v>171</v>
      </c>
      <c r="AX319" s="41" t="s">
        <v>1750</v>
      </c>
      <c r="AY319" s="41"/>
      <c r="AZ319" s="40" t="s">
        <v>2158</v>
      </c>
      <c r="BA319" s="40"/>
    </row>
    <row r="320" spans="6:53" ht="72.5" x14ac:dyDescent="0.35">
      <c r="F320" s="40" t="s">
        <v>1315</v>
      </c>
      <c r="G320" s="85" t="s">
        <v>850</v>
      </c>
      <c r="H320" s="40" t="s">
        <v>851</v>
      </c>
      <c r="I320" s="41" t="s">
        <v>223</v>
      </c>
      <c r="J320" s="41" t="s">
        <v>804</v>
      </c>
      <c r="K320" s="41" t="s">
        <v>805</v>
      </c>
      <c r="L320" s="40" t="s">
        <v>603</v>
      </c>
      <c r="O320" s="40" t="s">
        <v>104</v>
      </c>
      <c r="P320" s="41" t="s">
        <v>852</v>
      </c>
      <c r="Q320" s="41" t="s">
        <v>104</v>
      </c>
      <c r="R320" s="41" t="s">
        <v>104</v>
      </c>
      <c r="S320" s="40" t="s">
        <v>169</v>
      </c>
      <c r="T320" s="41" t="s">
        <v>853</v>
      </c>
      <c r="U320" s="41" t="s">
        <v>104</v>
      </c>
      <c r="V320" s="41" t="s">
        <v>104</v>
      </c>
      <c r="W320" s="41" t="s">
        <v>104</v>
      </c>
      <c r="X320" s="41" t="s">
        <v>104</v>
      </c>
      <c r="Y320" s="40" t="s">
        <v>104</v>
      </c>
      <c r="Z320" s="41" t="s">
        <v>104</v>
      </c>
      <c r="AA320" s="41" t="s">
        <v>102</v>
      </c>
      <c r="AB320" s="41" t="s">
        <v>104</v>
      </c>
      <c r="AC320" s="40" t="s">
        <v>604</v>
      </c>
      <c r="AD320" s="41" t="s">
        <v>607</v>
      </c>
      <c r="AE320" s="41" t="s">
        <v>102</v>
      </c>
      <c r="AF320" s="41" t="s">
        <v>860</v>
      </c>
      <c r="AG320" s="41" t="s">
        <v>139</v>
      </c>
      <c r="AH320" s="41" t="s">
        <v>141</v>
      </c>
      <c r="AI320" s="41">
        <v>1</v>
      </c>
      <c r="AJ320" s="41">
        <v>0</v>
      </c>
      <c r="AK320" s="41">
        <v>1</v>
      </c>
      <c r="AL320" s="42">
        <v>1122.19</v>
      </c>
      <c r="AM320" s="41" t="s">
        <v>144</v>
      </c>
      <c r="AN320" s="42">
        <v>1122.19</v>
      </c>
      <c r="AO320" s="41">
        <v>45920</v>
      </c>
      <c r="AP320" s="41" t="s">
        <v>155</v>
      </c>
      <c r="AR320" s="41" t="s">
        <v>164</v>
      </c>
      <c r="AS320" s="41" t="s">
        <v>170</v>
      </c>
      <c r="AT320" s="41" t="s">
        <v>219</v>
      </c>
      <c r="AU320" s="41" t="s">
        <v>173</v>
      </c>
      <c r="AW320" s="41" t="s">
        <v>171</v>
      </c>
      <c r="AX320" s="41" t="s">
        <v>1751</v>
      </c>
      <c r="AY320" s="41"/>
      <c r="AZ320" s="40" t="s">
        <v>2158</v>
      </c>
      <c r="BA320" s="40"/>
    </row>
    <row r="321" spans="6:53" ht="72.5" x14ac:dyDescent="0.35">
      <c r="F321" s="40" t="s">
        <v>1316</v>
      </c>
      <c r="G321" s="85" t="s">
        <v>861</v>
      </c>
      <c r="H321" s="40" t="s">
        <v>862</v>
      </c>
      <c r="I321" s="41" t="s">
        <v>223</v>
      </c>
      <c r="J321" s="41" t="s">
        <v>804</v>
      </c>
      <c r="K321" s="41" t="s">
        <v>805</v>
      </c>
      <c r="L321" s="40" t="s">
        <v>603</v>
      </c>
      <c r="O321" s="40" t="s">
        <v>104</v>
      </c>
      <c r="P321" s="41" t="s">
        <v>863</v>
      </c>
      <c r="Q321" s="41" t="s">
        <v>104</v>
      </c>
      <c r="R321" s="41" t="s">
        <v>104</v>
      </c>
      <c r="S321" s="40" t="s">
        <v>169</v>
      </c>
      <c r="T321" s="41" t="s">
        <v>849</v>
      </c>
      <c r="U321" s="41" t="s">
        <v>104</v>
      </c>
      <c r="V321" s="41" t="s">
        <v>107</v>
      </c>
      <c r="W321" s="41" t="s">
        <v>112</v>
      </c>
      <c r="X321" s="41" t="s">
        <v>104</v>
      </c>
      <c r="Y321" s="40" t="s">
        <v>104</v>
      </c>
      <c r="Z321" s="41" t="s">
        <v>104</v>
      </c>
      <c r="AA321" s="41" t="s">
        <v>102</v>
      </c>
      <c r="AB321" s="41" t="s">
        <v>104</v>
      </c>
      <c r="AC321" s="40" t="s">
        <v>604</v>
      </c>
      <c r="AD321" s="41" t="s">
        <v>607</v>
      </c>
      <c r="AE321" s="41" t="s">
        <v>102</v>
      </c>
      <c r="AF321" s="41" t="s">
        <v>864</v>
      </c>
      <c r="AG321" s="41" t="s">
        <v>139</v>
      </c>
      <c r="AH321" s="41" t="s">
        <v>141</v>
      </c>
      <c r="AI321" s="41">
        <v>1</v>
      </c>
      <c r="AJ321" s="41">
        <v>0</v>
      </c>
      <c r="AK321" s="41">
        <v>1</v>
      </c>
      <c r="AL321" s="42">
        <v>2571.92</v>
      </c>
      <c r="AM321" s="41" t="s">
        <v>144</v>
      </c>
      <c r="AN321" s="42">
        <v>2571.92</v>
      </c>
      <c r="AO321" s="41">
        <v>45920</v>
      </c>
      <c r="AP321" s="41" t="s">
        <v>155</v>
      </c>
      <c r="AQ321" s="41" t="s">
        <v>163</v>
      </c>
      <c r="AR321" s="41" t="s">
        <v>164</v>
      </c>
      <c r="AS321" s="41" t="s">
        <v>170</v>
      </c>
      <c r="AT321" s="41" t="s">
        <v>219</v>
      </c>
      <c r="AU321" s="41" t="s">
        <v>173</v>
      </c>
      <c r="AW321" s="41" t="s">
        <v>171</v>
      </c>
      <c r="AX321" s="41" t="s">
        <v>1752</v>
      </c>
      <c r="AY321" s="41"/>
      <c r="AZ321" s="40" t="s">
        <v>2158</v>
      </c>
      <c r="BA321" s="40" t="s">
        <v>2216</v>
      </c>
    </row>
    <row r="322" spans="6:53" ht="72.5" x14ac:dyDescent="0.35">
      <c r="F322" s="40" t="s">
        <v>1317</v>
      </c>
      <c r="G322" s="85" t="s">
        <v>850</v>
      </c>
      <c r="H322" s="40" t="s">
        <v>851</v>
      </c>
      <c r="I322" s="41" t="s">
        <v>223</v>
      </c>
      <c r="J322" s="41" t="s">
        <v>804</v>
      </c>
      <c r="K322" s="41" t="s">
        <v>805</v>
      </c>
      <c r="L322" s="40" t="s">
        <v>603</v>
      </c>
      <c r="O322" s="40" t="s">
        <v>104</v>
      </c>
      <c r="P322" s="41" t="s">
        <v>852</v>
      </c>
      <c r="Q322" s="41" t="s">
        <v>104</v>
      </c>
      <c r="R322" s="41" t="s">
        <v>104</v>
      </c>
      <c r="S322" s="40" t="s">
        <v>169</v>
      </c>
      <c r="T322" s="41" t="s">
        <v>853</v>
      </c>
      <c r="U322" s="41" t="s">
        <v>104</v>
      </c>
      <c r="V322" s="41" t="s">
        <v>104</v>
      </c>
      <c r="W322" s="41" t="s">
        <v>104</v>
      </c>
      <c r="X322" s="41" t="s">
        <v>104</v>
      </c>
      <c r="Y322" s="40" t="s">
        <v>104</v>
      </c>
      <c r="Z322" s="41" t="s">
        <v>104</v>
      </c>
      <c r="AA322" s="41" t="s">
        <v>102</v>
      </c>
      <c r="AB322" s="41" t="s">
        <v>104</v>
      </c>
      <c r="AC322" s="40" t="s">
        <v>604</v>
      </c>
      <c r="AD322" s="41" t="s">
        <v>607</v>
      </c>
      <c r="AE322" s="41" t="s">
        <v>102</v>
      </c>
      <c r="AF322" s="41" t="s">
        <v>864</v>
      </c>
      <c r="AG322" s="41" t="s">
        <v>139</v>
      </c>
      <c r="AH322" s="41" t="s">
        <v>141</v>
      </c>
      <c r="AI322" s="41">
        <v>1</v>
      </c>
      <c r="AJ322" s="41">
        <v>0</v>
      </c>
      <c r="AK322" s="41">
        <v>1</v>
      </c>
      <c r="AL322" s="42">
        <v>1122.19</v>
      </c>
      <c r="AM322" s="41" t="s">
        <v>144</v>
      </c>
      <c r="AN322" s="42">
        <v>1122.19</v>
      </c>
      <c r="AO322" s="41">
        <v>45920</v>
      </c>
      <c r="AP322" s="41" t="s">
        <v>155</v>
      </c>
      <c r="AR322" s="41" t="s">
        <v>164</v>
      </c>
      <c r="AS322" s="41" t="s">
        <v>170</v>
      </c>
      <c r="AT322" s="41" t="s">
        <v>219</v>
      </c>
      <c r="AU322" s="41" t="s">
        <v>173</v>
      </c>
      <c r="AW322" s="41" t="s">
        <v>171</v>
      </c>
      <c r="AX322" s="41" t="s">
        <v>1753</v>
      </c>
      <c r="AY322" s="41"/>
      <c r="AZ322" s="40" t="s">
        <v>2158</v>
      </c>
      <c r="BA322" s="40"/>
    </row>
    <row r="323" spans="6:53" ht="72.5" x14ac:dyDescent="0.35">
      <c r="F323" s="40" t="s">
        <v>1318</v>
      </c>
      <c r="G323" s="85" t="s">
        <v>865</v>
      </c>
      <c r="H323" s="40" t="s">
        <v>866</v>
      </c>
      <c r="I323" s="41" t="s">
        <v>223</v>
      </c>
      <c r="J323" s="41" t="s">
        <v>804</v>
      </c>
      <c r="K323" s="41" t="s">
        <v>805</v>
      </c>
      <c r="L323" s="40" t="s">
        <v>603</v>
      </c>
      <c r="O323" s="40" t="s">
        <v>104</v>
      </c>
      <c r="P323" s="41" t="s">
        <v>867</v>
      </c>
      <c r="Q323" s="41" t="s">
        <v>104</v>
      </c>
      <c r="R323" s="41" t="s">
        <v>104</v>
      </c>
      <c r="S323" s="40" t="s">
        <v>169</v>
      </c>
      <c r="T323" s="41" t="s">
        <v>868</v>
      </c>
      <c r="U323" s="41" t="s">
        <v>104</v>
      </c>
      <c r="V323" s="41" t="s">
        <v>104</v>
      </c>
      <c r="W323" s="41" t="s">
        <v>104</v>
      </c>
      <c r="X323" s="41" t="s">
        <v>104</v>
      </c>
      <c r="Y323" s="40" t="s">
        <v>104</v>
      </c>
      <c r="Z323" s="41" t="s">
        <v>104</v>
      </c>
      <c r="AA323" s="41" t="s">
        <v>102</v>
      </c>
      <c r="AB323" s="41" t="s">
        <v>104</v>
      </c>
      <c r="AC323" s="40" t="s">
        <v>604</v>
      </c>
      <c r="AD323" s="41" t="s">
        <v>607</v>
      </c>
      <c r="AE323" s="41" t="s">
        <v>102</v>
      </c>
      <c r="AF323" s="41" t="s">
        <v>864</v>
      </c>
      <c r="AG323" s="41" t="s">
        <v>139</v>
      </c>
      <c r="AH323" s="41" t="s">
        <v>141</v>
      </c>
      <c r="AI323" s="41">
        <v>1</v>
      </c>
      <c r="AJ323" s="41">
        <v>0</v>
      </c>
      <c r="AK323" s="41">
        <v>1</v>
      </c>
      <c r="AL323" s="42">
        <v>1374.99</v>
      </c>
      <c r="AM323" s="41" t="s">
        <v>144</v>
      </c>
      <c r="AN323" s="42">
        <v>1374.99</v>
      </c>
      <c r="AO323" s="41">
        <v>45920</v>
      </c>
      <c r="AP323" s="41" t="s">
        <v>155</v>
      </c>
      <c r="AR323" s="41" t="s">
        <v>164</v>
      </c>
      <c r="AS323" s="41" t="s">
        <v>170</v>
      </c>
      <c r="AT323" s="41" t="s">
        <v>219</v>
      </c>
      <c r="AU323" s="41" t="s">
        <v>173</v>
      </c>
      <c r="AW323" s="41" t="s">
        <v>171</v>
      </c>
      <c r="AX323" s="41" t="s">
        <v>1754</v>
      </c>
      <c r="AY323" s="41"/>
      <c r="AZ323" s="40" t="s">
        <v>2158</v>
      </c>
      <c r="BA323" s="40"/>
    </row>
    <row r="324" spans="6:53" ht="72.5" x14ac:dyDescent="0.35">
      <c r="F324" s="40" t="s">
        <v>1319</v>
      </c>
      <c r="G324" s="85" t="s">
        <v>869</v>
      </c>
      <c r="H324" s="40" t="s">
        <v>870</v>
      </c>
      <c r="I324" s="41" t="s">
        <v>223</v>
      </c>
      <c r="J324" s="41" t="s">
        <v>804</v>
      </c>
      <c r="K324" s="41" t="s">
        <v>805</v>
      </c>
      <c r="L324" s="40" t="s">
        <v>603</v>
      </c>
      <c r="O324" s="40" t="s">
        <v>104</v>
      </c>
      <c r="P324" s="41" t="s">
        <v>871</v>
      </c>
      <c r="Q324" s="41" t="s">
        <v>104</v>
      </c>
      <c r="R324" s="41" t="s">
        <v>104</v>
      </c>
      <c r="S324" s="40" t="s">
        <v>169</v>
      </c>
      <c r="T324" s="41" t="s">
        <v>872</v>
      </c>
      <c r="U324" s="41" t="s">
        <v>104</v>
      </c>
      <c r="V324" s="41" t="s">
        <v>104</v>
      </c>
      <c r="W324" s="41" t="s">
        <v>104</v>
      </c>
      <c r="X324" s="41" t="s">
        <v>104</v>
      </c>
      <c r="Y324" s="40" t="s">
        <v>104</v>
      </c>
      <c r="Z324" s="41" t="s">
        <v>104</v>
      </c>
      <c r="AA324" s="41" t="s">
        <v>102</v>
      </c>
      <c r="AB324" s="41" t="s">
        <v>104</v>
      </c>
      <c r="AC324" s="40" t="s">
        <v>604</v>
      </c>
      <c r="AD324" s="41" t="s">
        <v>607</v>
      </c>
      <c r="AE324" s="41" t="s">
        <v>102</v>
      </c>
      <c r="AF324" s="41" t="s">
        <v>864</v>
      </c>
      <c r="AG324" s="41" t="s">
        <v>139</v>
      </c>
      <c r="AH324" s="41" t="s">
        <v>141</v>
      </c>
      <c r="AI324" s="41">
        <v>1</v>
      </c>
      <c r="AJ324" s="41">
        <v>0</v>
      </c>
      <c r="AK324" s="41">
        <v>1</v>
      </c>
      <c r="AL324" s="42">
        <v>2648.55</v>
      </c>
      <c r="AM324" s="41" t="s">
        <v>144</v>
      </c>
      <c r="AN324" s="42">
        <v>2648.55</v>
      </c>
      <c r="AO324" s="41">
        <v>45920</v>
      </c>
      <c r="AP324" s="41" t="s">
        <v>155</v>
      </c>
      <c r="AR324" s="41" t="s">
        <v>164</v>
      </c>
      <c r="AS324" s="41" t="s">
        <v>170</v>
      </c>
      <c r="AT324" s="41" t="s">
        <v>219</v>
      </c>
      <c r="AU324" s="41" t="s">
        <v>173</v>
      </c>
      <c r="AW324" s="41" t="s">
        <v>171</v>
      </c>
      <c r="AX324" s="41" t="s">
        <v>1755</v>
      </c>
      <c r="AY324" s="41"/>
      <c r="AZ324" s="40" t="s">
        <v>2158</v>
      </c>
      <c r="BA324" s="40"/>
    </row>
    <row r="325" spans="6:53" ht="72.5" x14ac:dyDescent="0.35">
      <c r="F325" s="40" t="s">
        <v>1320</v>
      </c>
      <c r="G325" s="85" t="s">
        <v>621</v>
      </c>
      <c r="H325" s="40" t="s">
        <v>812</v>
      </c>
      <c r="I325" s="41" t="s">
        <v>223</v>
      </c>
      <c r="J325" s="41" t="s">
        <v>804</v>
      </c>
      <c r="K325" s="41" t="s">
        <v>805</v>
      </c>
      <c r="L325" s="40" t="s">
        <v>603</v>
      </c>
      <c r="O325" s="40" t="s">
        <v>104</v>
      </c>
      <c r="P325" s="41" t="s">
        <v>813</v>
      </c>
      <c r="Q325" s="41" t="s">
        <v>104</v>
      </c>
      <c r="R325" s="41" t="s">
        <v>104</v>
      </c>
      <c r="S325" s="40" t="s">
        <v>169</v>
      </c>
      <c r="T325" s="41" t="s">
        <v>104</v>
      </c>
      <c r="U325" s="41" t="s">
        <v>104</v>
      </c>
      <c r="V325" s="41" t="s">
        <v>104</v>
      </c>
      <c r="W325" s="41" t="s">
        <v>104</v>
      </c>
      <c r="X325" s="41" t="s">
        <v>104</v>
      </c>
      <c r="Y325" s="40" t="s">
        <v>104</v>
      </c>
      <c r="Z325" s="41" t="s">
        <v>104</v>
      </c>
      <c r="AA325" s="41" t="s">
        <v>102</v>
      </c>
      <c r="AB325" s="41" t="s">
        <v>104</v>
      </c>
      <c r="AC325" s="40" t="s">
        <v>604</v>
      </c>
      <c r="AD325" s="41" t="s">
        <v>607</v>
      </c>
      <c r="AE325" s="41" t="s">
        <v>102</v>
      </c>
      <c r="AF325" s="41" t="s">
        <v>864</v>
      </c>
      <c r="AG325" s="41" t="s">
        <v>139</v>
      </c>
      <c r="AH325" s="41" t="s">
        <v>141</v>
      </c>
      <c r="AI325" s="41">
        <v>12</v>
      </c>
      <c r="AJ325" s="41">
        <v>0</v>
      </c>
      <c r="AK325" s="41">
        <v>12</v>
      </c>
      <c r="AL325" s="42">
        <v>526.92999999999995</v>
      </c>
      <c r="AM325" s="41" t="s">
        <v>144</v>
      </c>
      <c r="AN325" s="42">
        <v>6323.16</v>
      </c>
      <c r="AO325" s="41">
        <v>45920</v>
      </c>
      <c r="AP325" s="41" t="s">
        <v>155</v>
      </c>
      <c r="AR325" s="41" t="s">
        <v>164</v>
      </c>
      <c r="AS325" s="41" t="s">
        <v>170</v>
      </c>
      <c r="AT325" s="41" t="s">
        <v>219</v>
      </c>
      <c r="AU325" s="41" t="s">
        <v>173</v>
      </c>
      <c r="AW325" s="41" t="s">
        <v>171</v>
      </c>
      <c r="AX325" s="41" t="s">
        <v>1756</v>
      </c>
      <c r="AY325" s="41"/>
      <c r="AZ325" s="40" t="s">
        <v>2158</v>
      </c>
      <c r="BA325" s="40"/>
    </row>
    <row r="326" spans="6:53" ht="72.5" x14ac:dyDescent="0.35">
      <c r="F326" s="40" t="s">
        <v>1321</v>
      </c>
      <c r="G326" s="85" t="s">
        <v>842</v>
      </c>
      <c r="H326" s="40" t="s">
        <v>843</v>
      </c>
      <c r="I326" s="41" t="s">
        <v>223</v>
      </c>
      <c r="J326" s="41" t="s">
        <v>804</v>
      </c>
      <c r="K326" s="41" t="s">
        <v>805</v>
      </c>
      <c r="L326" s="40" t="s">
        <v>603</v>
      </c>
      <c r="O326" s="40" t="s">
        <v>104</v>
      </c>
      <c r="P326" s="41" t="s">
        <v>844</v>
      </c>
      <c r="Q326" s="41" t="s">
        <v>104</v>
      </c>
      <c r="R326" s="41" t="s">
        <v>104</v>
      </c>
      <c r="S326" s="40" t="s">
        <v>169</v>
      </c>
      <c r="T326" s="41" t="s">
        <v>104</v>
      </c>
      <c r="U326" s="41" t="s">
        <v>104</v>
      </c>
      <c r="V326" s="41" t="s">
        <v>104</v>
      </c>
      <c r="W326" s="41" t="s">
        <v>104</v>
      </c>
      <c r="X326" s="41" t="s">
        <v>104</v>
      </c>
      <c r="Y326" s="40" t="s">
        <v>104</v>
      </c>
      <c r="Z326" s="41" t="s">
        <v>104</v>
      </c>
      <c r="AA326" s="41" t="s">
        <v>102</v>
      </c>
      <c r="AB326" s="41" t="s">
        <v>104</v>
      </c>
      <c r="AC326" s="40" t="s">
        <v>604</v>
      </c>
      <c r="AD326" s="41" t="s">
        <v>607</v>
      </c>
      <c r="AE326" s="41" t="s">
        <v>102</v>
      </c>
      <c r="AF326" s="41" t="s">
        <v>873</v>
      </c>
      <c r="AG326" s="41" t="s">
        <v>139</v>
      </c>
      <c r="AH326" s="41" t="s">
        <v>141</v>
      </c>
      <c r="AI326" s="41">
        <v>4</v>
      </c>
      <c r="AJ326" s="41">
        <v>0</v>
      </c>
      <c r="AK326" s="41">
        <v>4</v>
      </c>
      <c r="AL326" s="42">
        <v>285.01</v>
      </c>
      <c r="AM326" s="41" t="s">
        <v>144</v>
      </c>
      <c r="AN326" s="42">
        <v>1140.04</v>
      </c>
      <c r="AO326" s="41">
        <v>45920</v>
      </c>
      <c r="AP326" s="41" t="s">
        <v>155</v>
      </c>
      <c r="AR326" s="41" t="s">
        <v>164</v>
      </c>
      <c r="AS326" s="41" t="s">
        <v>170</v>
      </c>
      <c r="AT326" s="41" t="s">
        <v>219</v>
      </c>
      <c r="AU326" s="41" t="s">
        <v>173</v>
      </c>
      <c r="AW326" s="41" t="s">
        <v>171</v>
      </c>
      <c r="AX326" s="41" t="s">
        <v>1757</v>
      </c>
      <c r="AY326" s="41"/>
      <c r="AZ326" s="40" t="s">
        <v>2158</v>
      </c>
      <c r="BA326" s="40" t="s">
        <v>2160</v>
      </c>
    </row>
    <row r="327" spans="6:53" ht="72.5" x14ac:dyDescent="0.35">
      <c r="F327" s="40" t="s">
        <v>1322</v>
      </c>
      <c r="G327" s="85" t="s">
        <v>846</v>
      </c>
      <c r="H327" s="40" t="s">
        <v>847</v>
      </c>
      <c r="I327" s="41" t="s">
        <v>223</v>
      </c>
      <c r="J327" s="41" t="s">
        <v>804</v>
      </c>
      <c r="K327" s="41" t="s">
        <v>805</v>
      </c>
      <c r="L327" s="40" t="s">
        <v>603</v>
      </c>
      <c r="O327" s="40" t="s">
        <v>104</v>
      </c>
      <c r="P327" s="41" t="s">
        <v>848</v>
      </c>
      <c r="Q327" s="41" t="s">
        <v>104</v>
      </c>
      <c r="R327" s="41" t="s">
        <v>104</v>
      </c>
      <c r="S327" s="40" t="s">
        <v>169</v>
      </c>
      <c r="T327" s="41" t="s">
        <v>849</v>
      </c>
      <c r="U327" s="41" t="s">
        <v>104</v>
      </c>
      <c r="V327" s="41" t="s">
        <v>107</v>
      </c>
      <c r="W327" s="41" t="s">
        <v>112</v>
      </c>
      <c r="X327" s="41" t="s">
        <v>104</v>
      </c>
      <c r="Y327" s="40" t="s">
        <v>104</v>
      </c>
      <c r="Z327" s="41" t="s">
        <v>104</v>
      </c>
      <c r="AA327" s="41" t="s">
        <v>102</v>
      </c>
      <c r="AB327" s="41" t="s">
        <v>104</v>
      </c>
      <c r="AC327" s="40" t="s">
        <v>604</v>
      </c>
      <c r="AD327" s="41" t="s">
        <v>607</v>
      </c>
      <c r="AE327" s="41" t="s">
        <v>102</v>
      </c>
      <c r="AF327" s="41" t="s">
        <v>873</v>
      </c>
      <c r="AG327" s="41" t="s">
        <v>139</v>
      </c>
      <c r="AH327" s="41" t="s">
        <v>141</v>
      </c>
      <c r="AI327" s="41">
        <v>1</v>
      </c>
      <c r="AJ327" s="41">
        <v>0</v>
      </c>
      <c r="AK327" s="41">
        <v>1</v>
      </c>
      <c r="AL327" s="42">
        <v>945.75</v>
      </c>
      <c r="AM327" s="41" t="s">
        <v>144</v>
      </c>
      <c r="AN327" s="42">
        <v>945.75</v>
      </c>
      <c r="AO327" s="41">
        <v>45920</v>
      </c>
      <c r="AP327" s="41" t="s">
        <v>155</v>
      </c>
      <c r="AR327" s="41" t="s">
        <v>164</v>
      </c>
      <c r="AS327" s="41" t="s">
        <v>170</v>
      </c>
      <c r="AT327" s="41" t="s">
        <v>219</v>
      </c>
      <c r="AU327" s="41" t="s">
        <v>173</v>
      </c>
      <c r="AW327" s="41" t="s">
        <v>171</v>
      </c>
      <c r="AX327" s="41" t="s">
        <v>1758</v>
      </c>
      <c r="AY327" s="41"/>
      <c r="AZ327" s="40" t="s">
        <v>2158</v>
      </c>
      <c r="BA327" s="40"/>
    </row>
    <row r="328" spans="6:53" ht="72.5" x14ac:dyDescent="0.35">
      <c r="F328" s="40" t="s">
        <v>1323</v>
      </c>
      <c r="G328" s="85" t="s">
        <v>850</v>
      </c>
      <c r="H328" s="40" t="s">
        <v>851</v>
      </c>
      <c r="I328" s="41" t="s">
        <v>223</v>
      </c>
      <c r="J328" s="41" t="s">
        <v>804</v>
      </c>
      <c r="K328" s="41" t="s">
        <v>805</v>
      </c>
      <c r="L328" s="40" t="s">
        <v>603</v>
      </c>
      <c r="O328" s="40" t="s">
        <v>104</v>
      </c>
      <c r="P328" s="41" t="s">
        <v>852</v>
      </c>
      <c r="Q328" s="41" t="s">
        <v>104</v>
      </c>
      <c r="R328" s="41" t="s">
        <v>104</v>
      </c>
      <c r="S328" s="40" t="s">
        <v>169</v>
      </c>
      <c r="T328" s="41" t="s">
        <v>853</v>
      </c>
      <c r="U328" s="41" t="s">
        <v>104</v>
      </c>
      <c r="V328" s="41" t="s">
        <v>104</v>
      </c>
      <c r="W328" s="41" t="s">
        <v>104</v>
      </c>
      <c r="X328" s="41" t="s">
        <v>104</v>
      </c>
      <c r="Y328" s="40" t="s">
        <v>104</v>
      </c>
      <c r="Z328" s="41" t="s">
        <v>104</v>
      </c>
      <c r="AA328" s="41" t="s">
        <v>102</v>
      </c>
      <c r="AB328" s="41" t="s">
        <v>104</v>
      </c>
      <c r="AC328" s="40" t="s">
        <v>604</v>
      </c>
      <c r="AD328" s="41" t="s">
        <v>607</v>
      </c>
      <c r="AE328" s="41" t="s">
        <v>102</v>
      </c>
      <c r="AF328" s="41" t="s">
        <v>873</v>
      </c>
      <c r="AG328" s="41" t="s">
        <v>139</v>
      </c>
      <c r="AH328" s="41" t="s">
        <v>141</v>
      </c>
      <c r="AI328" s="41">
        <v>1</v>
      </c>
      <c r="AJ328" s="41">
        <v>0</v>
      </c>
      <c r="AK328" s="41">
        <v>1</v>
      </c>
      <c r="AL328" s="42">
        <v>1122.19</v>
      </c>
      <c r="AM328" s="41" t="s">
        <v>144</v>
      </c>
      <c r="AN328" s="42">
        <v>1122.19</v>
      </c>
      <c r="AO328" s="41">
        <v>45920</v>
      </c>
      <c r="AP328" s="41" t="s">
        <v>155</v>
      </c>
      <c r="AR328" s="41" t="s">
        <v>164</v>
      </c>
      <c r="AS328" s="41" t="s">
        <v>170</v>
      </c>
      <c r="AT328" s="41" t="s">
        <v>219</v>
      </c>
      <c r="AU328" s="41" t="s">
        <v>173</v>
      </c>
      <c r="AW328" s="41" t="s">
        <v>171</v>
      </c>
      <c r="AX328" s="41" t="s">
        <v>1759</v>
      </c>
      <c r="AY328" s="41"/>
      <c r="AZ328" s="40" t="s">
        <v>2158</v>
      </c>
      <c r="BA328" s="40"/>
    </row>
    <row r="329" spans="6:53" ht="72.5" x14ac:dyDescent="0.35">
      <c r="F329" s="40" t="s">
        <v>1324</v>
      </c>
      <c r="G329" s="85" t="s">
        <v>854</v>
      </c>
      <c r="H329" s="40" t="s">
        <v>855</v>
      </c>
      <c r="I329" s="41" t="s">
        <v>223</v>
      </c>
      <c r="J329" s="41" t="s">
        <v>804</v>
      </c>
      <c r="K329" s="41" t="s">
        <v>805</v>
      </c>
      <c r="L329" s="40" t="s">
        <v>603</v>
      </c>
      <c r="O329" s="40" t="s">
        <v>104</v>
      </c>
      <c r="P329" s="41" t="s">
        <v>856</v>
      </c>
      <c r="Q329" s="41" t="s">
        <v>104</v>
      </c>
      <c r="R329" s="41" t="s">
        <v>104</v>
      </c>
      <c r="S329" s="40" t="s">
        <v>169</v>
      </c>
      <c r="T329" s="41" t="s">
        <v>649</v>
      </c>
      <c r="U329" s="41" t="s">
        <v>104</v>
      </c>
      <c r="V329" s="41" t="s">
        <v>104</v>
      </c>
      <c r="W329" s="41" t="s">
        <v>104</v>
      </c>
      <c r="X329" s="41" t="s">
        <v>104</v>
      </c>
      <c r="Y329" s="40" t="s">
        <v>104</v>
      </c>
      <c r="Z329" s="41" t="s">
        <v>104</v>
      </c>
      <c r="AA329" s="41" t="s">
        <v>102</v>
      </c>
      <c r="AB329" s="41" t="s">
        <v>104</v>
      </c>
      <c r="AC329" s="40" t="s">
        <v>604</v>
      </c>
      <c r="AD329" s="41" t="s">
        <v>607</v>
      </c>
      <c r="AE329" s="41" t="s">
        <v>102</v>
      </c>
      <c r="AF329" s="41" t="s">
        <v>873</v>
      </c>
      <c r="AG329" s="41" t="s">
        <v>139</v>
      </c>
      <c r="AH329" s="41" t="s">
        <v>141</v>
      </c>
      <c r="AI329" s="41">
        <v>1</v>
      </c>
      <c r="AJ329" s="41">
        <v>0</v>
      </c>
      <c r="AK329" s="41">
        <v>1</v>
      </c>
      <c r="AL329" s="42">
        <v>487.62</v>
      </c>
      <c r="AM329" s="41" t="s">
        <v>144</v>
      </c>
      <c r="AN329" s="42">
        <v>487.62</v>
      </c>
      <c r="AO329" s="41">
        <v>45920</v>
      </c>
      <c r="AP329" s="41" t="s">
        <v>155</v>
      </c>
      <c r="AR329" s="41" t="s">
        <v>164</v>
      </c>
      <c r="AS329" s="41" t="s">
        <v>170</v>
      </c>
      <c r="AT329" s="41" t="s">
        <v>219</v>
      </c>
      <c r="AU329" s="41" t="s">
        <v>173</v>
      </c>
      <c r="AW329" s="41" t="s">
        <v>171</v>
      </c>
      <c r="AX329" s="41" t="s">
        <v>1760</v>
      </c>
      <c r="AY329" s="41"/>
      <c r="AZ329" s="40" t="s">
        <v>2158</v>
      </c>
      <c r="BA329" s="40"/>
    </row>
    <row r="330" spans="6:53" ht="72.5" x14ac:dyDescent="0.35">
      <c r="F330" s="40" t="s">
        <v>1325</v>
      </c>
      <c r="G330" s="85" t="s">
        <v>842</v>
      </c>
      <c r="H330" s="40" t="s">
        <v>843</v>
      </c>
      <c r="I330" s="41" t="s">
        <v>223</v>
      </c>
      <c r="J330" s="41" t="s">
        <v>804</v>
      </c>
      <c r="K330" s="41" t="s">
        <v>805</v>
      </c>
      <c r="L330" s="40" t="s">
        <v>603</v>
      </c>
      <c r="O330" s="40" t="s">
        <v>104</v>
      </c>
      <c r="P330" s="41" t="s">
        <v>844</v>
      </c>
      <c r="Q330" s="41" t="s">
        <v>104</v>
      </c>
      <c r="R330" s="41" t="s">
        <v>104</v>
      </c>
      <c r="S330" s="40" t="s">
        <v>169</v>
      </c>
      <c r="T330" s="41" t="s">
        <v>104</v>
      </c>
      <c r="U330" s="41" t="s">
        <v>104</v>
      </c>
      <c r="V330" s="41" t="s">
        <v>104</v>
      </c>
      <c r="W330" s="41" t="s">
        <v>104</v>
      </c>
      <c r="X330" s="41" t="s">
        <v>104</v>
      </c>
      <c r="Y330" s="40" t="s">
        <v>104</v>
      </c>
      <c r="Z330" s="41" t="s">
        <v>104</v>
      </c>
      <c r="AA330" s="41" t="s">
        <v>102</v>
      </c>
      <c r="AB330" s="41" t="s">
        <v>104</v>
      </c>
      <c r="AC330" s="40" t="s">
        <v>604</v>
      </c>
      <c r="AD330" s="41" t="s">
        <v>607</v>
      </c>
      <c r="AE330" s="41" t="s">
        <v>102</v>
      </c>
      <c r="AF330" s="41" t="s">
        <v>874</v>
      </c>
      <c r="AG330" s="41" t="s">
        <v>139</v>
      </c>
      <c r="AH330" s="41" t="s">
        <v>141</v>
      </c>
      <c r="AI330" s="41">
        <v>4</v>
      </c>
      <c r="AJ330" s="41">
        <v>0</v>
      </c>
      <c r="AK330" s="41">
        <v>4</v>
      </c>
      <c r="AL330" s="42">
        <v>285.01</v>
      </c>
      <c r="AM330" s="41" t="s">
        <v>144</v>
      </c>
      <c r="AN330" s="42">
        <v>1140.04</v>
      </c>
      <c r="AO330" s="41">
        <v>45920</v>
      </c>
      <c r="AP330" s="41" t="s">
        <v>155</v>
      </c>
      <c r="AR330" s="41" t="s">
        <v>164</v>
      </c>
      <c r="AS330" s="41" t="s">
        <v>170</v>
      </c>
      <c r="AT330" s="41" t="s">
        <v>219</v>
      </c>
      <c r="AU330" s="41" t="s">
        <v>173</v>
      </c>
      <c r="AW330" s="41" t="s">
        <v>171</v>
      </c>
      <c r="AX330" s="41" t="s">
        <v>1761</v>
      </c>
      <c r="AY330" s="41"/>
      <c r="AZ330" s="40" t="s">
        <v>2158</v>
      </c>
      <c r="BA330" s="40" t="s">
        <v>2160</v>
      </c>
    </row>
    <row r="331" spans="6:53" ht="72.5" x14ac:dyDescent="0.35">
      <c r="F331" s="40" t="s">
        <v>1326</v>
      </c>
      <c r="G331" s="85" t="s">
        <v>846</v>
      </c>
      <c r="H331" s="40" t="s">
        <v>847</v>
      </c>
      <c r="I331" s="41" t="s">
        <v>223</v>
      </c>
      <c r="J331" s="41" t="s">
        <v>804</v>
      </c>
      <c r="K331" s="41" t="s">
        <v>805</v>
      </c>
      <c r="L331" s="40" t="s">
        <v>603</v>
      </c>
      <c r="O331" s="40" t="s">
        <v>104</v>
      </c>
      <c r="P331" s="41" t="s">
        <v>848</v>
      </c>
      <c r="Q331" s="41" t="s">
        <v>104</v>
      </c>
      <c r="R331" s="41" t="s">
        <v>104</v>
      </c>
      <c r="S331" s="40" t="s">
        <v>169</v>
      </c>
      <c r="T331" s="41" t="s">
        <v>849</v>
      </c>
      <c r="U331" s="41" t="s">
        <v>104</v>
      </c>
      <c r="V331" s="41" t="s">
        <v>107</v>
      </c>
      <c r="W331" s="41" t="s">
        <v>112</v>
      </c>
      <c r="X331" s="41" t="s">
        <v>104</v>
      </c>
      <c r="Y331" s="40" t="s">
        <v>104</v>
      </c>
      <c r="Z331" s="41" t="s">
        <v>104</v>
      </c>
      <c r="AA331" s="41" t="s">
        <v>102</v>
      </c>
      <c r="AB331" s="41" t="s">
        <v>104</v>
      </c>
      <c r="AC331" s="40" t="s">
        <v>604</v>
      </c>
      <c r="AD331" s="41" t="s">
        <v>607</v>
      </c>
      <c r="AE331" s="41" t="s">
        <v>102</v>
      </c>
      <c r="AF331" s="41" t="s">
        <v>874</v>
      </c>
      <c r="AG331" s="41" t="s">
        <v>139</v>
      </c>
      <c r="AH331" s="41" t="s">
        <v>141</v>
      </c>
      <c r="AI331" s="41">
        <v>1</v>
      </c>
      <c r="AJ331" s="41">
        <v>0</v>
      </c>
      <c r="AK331" s="41">
        <v>1</v>
      </c>
      <c r="AL331" s="42">
        <v>945.75</v>
      </c>
      <c r="AM331" s="41" t="s">
        <v>144</v>
      </c>
      <c r="AN331" s="42">
        <v>945.75</v>
      </c>
      <c r="AO331" s="41">
        <v>45920</v>
      </c>
      <c r="AP331" s="41" t="s">
        <v>155</v>
      </c>
      <c r="AR331" s="41" t="s">
        <v>164</v>
      </c>
      <c r="AS331" s="41" t="s">
        <v>170</v>
      </c>
      <c r="AT331" s="41" t="s">
        <v>219</v>
      </c>
      <c r="AU331" s="41" t="s">
        <v>173</v>
      </c>
      <c r="AW331" s="41" t="s">
        <v>171</v>
      </c>
      <c r="AX331" s="41" t="s">
        <v>1762</v>
      </c>
      <c r="AY331" s="41"/>
      <c r="AZ331" s="40" t="s">
        <v>2158</v>
      </c>
      <c r="BA331" s="40"/>
    </row>
    <row r="332" spans="6:53" ht="72.5" x14ac:dyDescent="0.35">
      <c r="F332" s="40" t="s">
        <v>1327</v>
      </c>
      <c r="G332" s="85" t="s">
        <v>850</v>
      </c>
      <c r="H332" s="40" t="s">
        <v>851</v>
      </c>
      <c r="I332" s="41" t="s">
        <v>223</v>
      </c>
      <c r="J332" s="41" t="s">
        <v>804</v>
      </c>
      <c r="K332" s="41" t="s">
        <v>805</v>
      </c>
      <c r="L332" s="40" t="s">
        <v>603</v>
      </c>
      <c r="O332" s="40" t="s">
        <v>104</v>
      </c>
      <c r="P332" s="41" t="s">
        <v>852</v>
      </c>
      <c r="Q332" s="41" t="s">
        <v>104</v>
      </c>
      <c r="R332" s="41" t="s">
        <v>104</v>
      </c>
      <c r="S332" s="40" t="s">
        <v>169</v>
      </c>
      <c r="T332" s="41" t="s">
        <v>853</v>
      </c>
      <c r="U332" s="41" t="s">
        <v>104</v>
      </c>
      <c r="V332" s="41" t="s">
        <v>104</v>
      </c>
      <c r="W332" s="41" t="s">
        <v>104</v>
      </c>
      <c r="X332" s="41" t="s">
        <v>104</v>
      </c>
      <c r="Y332" s="40" t="s">
        <v>104</v>
      </c>
      <c r="Z332" s="41" t="s">
        <v>104</v>
      </c>
      <c r="AA332" s="41" t="s">
        <v>102</v>
      </c>
      <c r="AB332" s="41" t="s">
        <v>104</v>
      </c>
      <c r="AC332" s="40" t="s">
        <v>604</v>
      </c>
      <c r="AD332" s="41" t="s">
        <v>607</v>
      </c>
      <c r="AE332" s="41" t="s">
        <v>102</v>
      </c>
      <c r="AF332" s="41" t="s">
        <v>874</v>
      </c>
      <c r="AG332" s="41" t="s">
        <v>139</v>
      </c>
      <c r="AH332" s="41" t="s">
        <v>141</v>
      </c>
      <c r="AI332" s="41">
        <v>1</v>
      </c>
      <c r="AJ332" s="41">
        <v>0</v>
      </c>
      <c r="AK332" s="41">
        <v>1</v>
      </c>
      <c r="AL332" s="42">
        <v>1122.19</v>
      </c>
      <c r="AM332" s="41" t="s">
        <v>144</v>
      </c>
      <c r="AN332" s="42">
        <v>1122.19</v>
      </c>
      <c r="AO332" s="41">
        <v>45920</v>
      </c>
      <c r="AP332" s="41" t="s">
        <v>155</v>
      </c>
      <c r="AR332" s="41" t="s">
        <v>164</v>
      </c>
      <c r="AS332" s="41" t="s">
        <v>170</v>
      </c>
      <c r="AT332" s="41" t="s">
        <v>219</v>
      </c>
      <c r="AU332" s="41" t="s">
        <v>173</v>
      </c>
      <c r="AW332" s="41" t="s">
        <v>171</v>
      </c>
      <c r="AX332" s="41" t="s">
        <v>1763</v>
      </c>
      <c r="AY332" s="41"/>
      <c r="AZ332" s="40" t="s">
        <v>2158</v>
      </c>
      <c r="BA332" s="40"/>
    </row>
    <row r="333" spans="6:53" ht="72.5" x14ac:dyDescent="0.35">
      <c r="F333" s="40" t="s">
        <v>1328</v>
      </c>
      <c r="G333" s="85" t="s">
        <v>854</v>
      </c>
      <c r="H333" s="40" t="s">
        <v>855</v>
      </c>
      <c r="I333" s="41" t="s">
        <v>223</v>
      </c>
      <c r="J333" s="41" t="s">
        <v>804</v>
      </c>
      <c r="K333" s="41" t="s">
        <v>805</v>
      </c>
      <c r="L333" s="40" t="s">
        <v>603</v>
      </c>
      <c r="O333" s="40" t="s">
        <v>104</v>
      </c>
      <c r="P333" s="41" t="s">
        <v>856</v>
      </c>
      <c r="Q333" s="41" t="s">
        <v>104</v>
      </c>
      <c r="R333" s="41" t="s">
        <v>104</v>
      </c>
      <c r="S333" s="40" t="s">
        <v>169</v>
      </c>
      <c r="T333" s="41" t="s">
        <v>649</v>
      </c>
      <c r="U333" s="41" t="s">
        <v>104</v>
      </c>
      <c r="V333" s="41" t="s">
        <v>104</v>
      </c>
      <c r="W333" s="41" t="s">
        <v>104</v>
      </c>
      <c r="X333" s="41" t="s">
        <v>104</v>
      </c>
      <c r="Y333" s="40" t="s">
        <v>104</v>
      </c>
      <c r="Z333" s="41" t="s">
        <v>104</v>
      </c>
      <c r="AA333" s="41" t="s">
        <v>102</v>
      </c>
      <c r="AB333" s="41" t="s">
        <v>104</v>
      </c>
      <c r="AC333" s="40" t="s">
        <v>604</v>
      </c>
      <c r="AD333" s="41" t="s">
        <v>607</v>
      </c>
      <c r="AE333" s="41" t="s">
        <v>102</v>
      </c>
      <c r="AF333" s="41" t="s">
        <v>874</v>
      </c>
      <c r="AG333" s="41" t="s">
        <v>139</v>
      </c>
      <c r="AH333" s="41" t="s">
        <v>141</v>
      </c>
      <c r="AI333" s="41">
        <v>1</v>
      </c>
      <c r="AJ333" s="41">
        <v>0</v>
      </c>
      <c r="AK333" s="41">
        <v>1</v>
      </c>
      <c r="AL333" s="42">
        <v>487.62</v>
      </c>
      <c r="AM333" s="41" t="s">
        <v>144</v>
      </c>
      <c r="AN333" s="42">
        <v>487.62</v>
      </c>
      <c r="AO333" s="41">
        <v>45920</v>
      </c>
      <c r="AP333" s="41" t="s">
        <v>155</v>
      </c>
      <c r="AR333" s="41" t="s">
        <v>164</v>
      </c>
      <c r="AS333" s="41" t="s">
        <v>170</v>
      </c>
      <c r="AT333" s="41" t="s">
        <v>219</v>
      </c>
      <c r="AU333" s="41" t="s">
        <v>173</v>
      </c>
      <c r="AW333" s="41" t="s">
        <v>171</v>
      </c>
      <c r="AX333" s="41" t="s">
        <v>1764</v>
      </c>
      <c r="AY333" s="41"/>
      <c r="AZ333" s="40" t="s">
        <v>2158</v>
      </c>
      <c r="BA333" s="40"/>
    </row>
    <row r="334" spans="6:53" ht="72.5" x14ac:dyDescent="0.35">
      <c r="F334" s="40" t="s">
        <v>1329</v>
      </c>
      <c r="G334" s="85" t="s">
        <v>842</v>
      </c>
      <c r="H334" s="40" t="s">
        <v>843</v>
      </c>
      <c r="I334" s="41" t="s">
        <v>223</v>
      </c>
      <c r="J334" s="41" t="s">
        <v>804</v>
      </c>
      <c r="K334" s="41" t="s">
        <v>805</v>
      </c>
      <c r="L334" s="40" t="s">
        <v>603</v>
      </c>
      <c r="O334" s="40" t="s">
        <v>104</v>
      </c>
      <c r="P334" s="41" t="s">
        <v>844</v>
      </c>
      <c r="Q334" s="41" t="s">
        <v>104</v>
      </c>
      <c r="R334" s="41" t="s">
        <v>104</v>
      </c>
      <c r="S334" s="40" t="s">
        <v>169</v>
      </c>
      <c r="T334" s="41" t="s">
        <v>104</v>
      </c>
      <c r="U334" s="41" t="s">
        <v>104</v>
      </c>
      <c r="V334" s="41" t="s">
        <v>104</v>
      </c>
      <c r="W334" s="41" t="s">
        <v>104</v>
      </c>
      <c r="X334" s="41" t="s">
        <v>104</v>
      </c>
      <c r="Y334" s="40" t="s">
        <v>104</v>
      </c>
      <c r="Z334" s="41" t="s">
        <v>104</v>
      </c>
      <c r="AA334" s="41" t="s">
        <v>102</v>
      </c>
      <c r="AB334" s="41" t="s">
        <v>104</v>
      </c>
      <c r="AC334" s="40" t="s">
        <v>604</v>
      </c>
      <c r="AD334" s="41" t="s">
        <v>607</v>
      </c>
      <c r="AE334" s="41" t="s">
        <v>102</v>
      </c>
      <c r="AF334" s="41" t="s">
        <v>875</v>
      </c>
      <c r="AG334" s="41" t="s">
        <v>139</v>
      </c>
      <c r="AH334" s="41" t="s">
        <v>141</v>
      </c>
      <c r="AI334" s="41">
        <v>4</v>
      </c>
      <c r="AJ334" s="41">
        <v>0</v>
      </c>
      <c r="AK334" s="41">
        <v>4</v>
      </c>
      <c r="AL334" s="42">
        <v>285.01</v>
      </c>
      <c r="AM334" s="41" t="s">
        <v>144</v>
      </c>
      <c r="AN334" s="42">
        <v>1140.04</v>
      </c>
      <c r="AO334" s="41">
        <v>45920</v>
      </c>
      <c r="AP334" s="41" t="s">
        <v>155</v>
      </c>
      <c r="AR334" s="41" t="s">
        <v>164</v>
      </c>
      <c r="AS334" s="41" t="s">
        <v>170</v>
      </c>
      <c r="AT334" s="41" t="s">
        <v>219</v>
      </c>
      <c r="AU334" s="41" t="s">
        <v>173</v>
      </c>
      <c r="AW334" s="41" t="s">
        <v>171</v>
      </c>
      <c r="AX334" s="41" t="s">
        <v>1765</v>
      </c>
      <c r="AY334" s="41"/>
      <c r="AZ334" s="40" t="s">
        <v>2158</v>
      </c>
      <c r="BA334" s="40" t="s">
        <v>2160</v>
      </c>
    </row>
    <row r="335" spans="6:53" ht="72.5" x14ac:dyDescent="0.35">
      <c r="F335" s="40" t="s">
        <v>1330</v>
      </c>
      <c r="G335" s="85" t="s">
        <v>846</v>
      </c>
      <c r="H335" s="40" t="s">
        <v>847</v>
      </c>
      <c r="I335" s="41" t="s">
        <v>223</v>
      </c>
      <c r="J335" s="41" t="s">
        <v>804</v>
      </c>
      <c r="K335" s="41" t="s">
        <v>805</v>
      </c>
      <c r="L335" s="40" t="s">
        <v>603</v>
      </c>
      <c r="O335" s="40" t="s">
        <v>104</v>
      </c>
      <c r="P335" s="41" t="s">
        <v>848</v>
      </c>
      <c r="Q335" s="41" t="s">
        <v>104</v>
      </c>
      <c r="R335" s="41" t="s">
        <v>104</v>
      </c>
      <c r="S335" s="40" t="s">
        <v>169</v>
      </c>
      <c r="T335" s="41" t="s">
        <v>849</v>
      </c>
      <c r="U335" s="41" t="s">
        <v>104</v>
      </c>
      <c r="V335" s="41" t="s">
        <v>107</v>
      </c>
      <c r="W335" s="41" t="s">
        <v>112</v>
      </c>
      <c r="X335" s="41" t="s">
        <v>104</v>
      </c>
      <c r="Y335" s="40" t="s">
        <v>104</v>
      </c>
      <c r="Z335" s="41" t="s">
        <v>104</v>
      </c>
      <c r="AA335" s="41" t="s">
        <v>102</v>
      </c>
      <c r="AB335" s="41" t="s">
        <v>104</v>
      </c>
      <c r="AC335" s="40" t="s">
        <v>604</v>
      </c>
      <c r="AD335" s="41" t="s">
        <v>607</v>
      </c>
      <c r="AE335" s="41" t="s">
        <v>102</v>
      </c>
      <c r="AF335" s="41" t="s">
        <v>875</v>
      </c>
      <c r="AG335" s="41" t="s">
        <v>139</v>
      </c>
      <c r="AH335" s="41" t="s">
        <v>141</v>
      </c>
      <c r="AI335" s="41">
        <v>1</v>
      </c>
      <c r="AJ335" s="41">
        <v>0</v>
      </c>
      <c r="AK335" s="41">
        <v>1</v>
      </c>
      <c r="AL335" s="42">
        <v>945.75</v>
      </c>
      <c r="AM335" s="41" t="s">
        <v>144</v>
      </c>
      <c r="AN335" s="42">
        <v>945.75</v>
      </c>
      <c r="AO335" s="41">
        <v>45920</v>
      </c>
      <c r="AP335" s="41" t="s">
        <v>155</v>
      </c>
      <c r="AR335" s="41" t="s">
        <v>164</v>
      </c>
      <c r="AS335" s="41" t="s">
        <v>170</v>
      </c>
      <c r="AT335" s="41" t="s">
        <v>219</v>
      </c>
      <c r="AU335" s="41" t="s">
        <v>173</v>
      </c>
      <c r="AW335" s="41" t="s">
        <v>171</v>
      </c>
      <c r="AX335" s="41" t="s">
        <v>1766</v>
      </c>
      <c r="AY335" s="41"/>
      <c r="AZ335" s="40" t="s">
        <v>2158</v>
      </c>
      <c r="BA335" s="40"/>
    </row>
    <row r="336" spans="6:53" ht="72.5" x14ac:dyDescent="0.35">
      <c r="F336" s="40" t="s">
        <v>1331</v>
      </c>
      <c r="G336" s="85" t="s">
        <v>850</v>
      </c>
      <c r="H336" s="40" t="s">
        <v>851</v>
      </c>
      <c r="I336" s="41" t="s">
        <v>223</v>
      </c>
      <c r="J336" s="41" t="s">
        <v>804</v>
      </c>
      <c r="K336" s="41" t="s">
        <v>805</v>
      </c>
      <c r="L336" s="40" t="s">
        <v>603</v>
      </c>
      <c r="O336" s="40" t="s">
        <v>104</v>
      </c>
      <c r="P336" s="41" t="s">
        <v>852</v>
      </c>
      <c r="Q336" s="41" t="s">
        <v>104</v>
      </c>
      <c r="R336" s="41" t="s">
        <v>104</v>
      </c>
      <c r="S336" s="40" t="s">
        <v>169</v>
      </c>
      <c r="T336" s="41" t="s">
        <v>853</v>
      </c>
      <c r="U336" s="41" t="s">
        <v>104</v>
      </c>
      <c r="V336" s="41" t="s">
        <v>104</v>
      </c>
      <c r="W336" s="41" t="s">
        <v>104</v>
      </c>
      <c r="X336" s="41" t="s">
        <v>104</v>
      </c>
      <c r="Y336" s="40" t="s">
        <v>104</v>
      </c>
      <c r="Z336" s="41" t="s">
        <v>104</v>
      </c>
      <c r="AA336" s="41" t="s">
        <v>102</v>
      </c>
      <c r="AB336" s="41" t="s">
        <v>104</v>
      </c>
      <c r="AC336" s="40" t="s">
        <v>604</v>
      </c>
      <c r="AD336" s="41" t="s">
        <v>607</v>
      </c>
      <c r="AE336" s="41" t="s">
        <v>102</v>
      </c>
      <c r="AF336" s="41" t="s">
        <v>875</v>
      </c>
      <c r="AG336" s="41" t="s">
        <v>139</v>
      </c>
      <c r="AH336" s="41" t="s">
        <v>141</v>
      </c>
      <c r="AI336" s="41">
        <v>1</v>
      </c>
      <c r="AJ336" s="41">
        <v>0</v>
      </c>
      <c r="AK336" s="41">
        <v>1</v>
      </c>
      <c r="AL336" s="42">
        <v>1122.19</v>
      </c>
      <c r="AM336" s="41" t="s">
        <v>144</v>
      </c>
      <c r="AN336" s="42">
        <v>1122.19</v>
      </c>
      <c r="AO336" s="41">
        <v>45920</v>
      </c>
      <c r="AP336" s="41" t="s">
        <v>155</v>
      </c>
      <c r="AR336" s="41" t="s">
        <v>164</v>
      </c>
      <c r="AS336" s="41" t="s">
        <v>170</v>
      </c>
      <c r="AT336" s="41" t="s">
        <v>219</v>
      </c>
      <c r="AU336" s="41" t="s">
        <v>173</v>
      </c>
      <c r="AW336" s="41" t="s">
        <v>171</v>
      </c>
      <c r="AX336" s="41" t="s">
        <v>1767</v>
      </c>
      <c r="AY336" s="41"/>
      <c r="AZ336" s="40" t="s">
        <v>2158</v>
      </c>
      <c r="BA336" s="40"/>
    </row>
    <row r="337" spans="6:53" ht="72.5" x14ac:dyDescent="0.35">
      <c r="F337" s="40" t="s">
        <v>1332</v>
      </c>
      <c r="G337" s="85" t="s">
        <v>854</v>
      </c>
      <c r="H337" s="40" t="s">
        <v>855</v>
      </c>
      <c r="I337" s="41" t="s">
        <v>223</v>
      </c>
      <c r="J337" s="41" t="s">
        <v>804</v>
      </c>
      <c r="K337" s="41" t="s">
        <v>805</v>
      </c>
      <c r="L337" s="40" t="s">
        <v>603</v>
      </c>
      <c r="O337" s="40" t="s">
        <v>104</v>
      </c>
      <c r="P337" s="41" t="s">
        <v>856</v>
      </c>
      <c r="Q337" s="41" t="s">
        <v>104</v>
      </c>
      <c r="R337" s="41" t="s">
        <v>104</v>
      </c>
      <c r="S337" s="40" t="s">
        <v>169</v>
      </c>
      <c r="T337" s="41" t="s">
        <v>649</v>
      </c>
      <c r="U337" s="41" t="s">
        <v>104</v>
      </c>
      <c r="V337" s="41" t="s">
        <v>104</v>
      </c>
      <c r="W337" s="41" t="s">
        <v>104</v>
      </c>
      <c r="X337" s="41" t="s">
        <v>104</v>
      </c>
      <c r="Y337" s="40" t="s">
        <v>104</v>
      </c>
      <c r="Z337" s="41" t="s">
        <v>104</v>
      </c>
      <c r="AA337" s="41" t="s">
        <v>102</v>
      </c>
      <c r="AB337" s="41" t="s">
        <v>104</v>
      </c>
      <c r="AC337" s="40" t="s">
        <v>604</v>
      </c>
      <c r="AD337" s="41" t="s">
        <v>607</v>
      </c>
      <c r="AE337" s="41" t="s">
        <v>102</v>
      </c>
      <c r="AF337" s="41" t="s">
        <v>875</v>
      </c>
      <c r="AG337" s="41" t="s">
        <v>139</v>
      </c>
      <c r="AH337" s="41" t="s">
        <v>141</v>
      </c>
      <c r="AI337" s="41">
        <v>1</v>
      </c>
      <c r="AJ337" s="41">
        <v>0</v>
      </c>
      <c r="AK337" s="41">
        <v>1</v>
      </c>
      <c r="AL337" s="42">
        <v>487.62</v>
      </c>
      <c r="AM337" s="41" t="s">
        <v>144</v>
      </c>
      <c r="AN337" s="42">
        <v>487.62</v>
      </c>
      <c r="AO337" s="41">
        <v>45920</v>
      </c>
      <c r="AP337" s="41" t="s">
        <v>155</v>
      </c>
      <c r="AR337" s="41" t="s">
        <v>164</v>
      </c>
      <c r="AS337" s="41" t="s">
        <v>170</v>
      </c>
      <c r="AT337" s="41" t="s">
        <v>219</v>
      </c>
      <c r="AU337" s="41" t="s">
        <v>173</v>
      </c>
      <c r="AW337" s="41" t="s">
        <v>171</v>
      </c>
      <c r="AX337" s="41" t="s">
        <v>1768</v>
      </c>
      <c r="AY337" s="41"/>
      <c r="AZ337" s="40" t="s">
        <v>2158</v>
      </c>
      <c r="BA337" s="40"/>
    </row>
    <row r="338" spans="6:53" ht="72.5" x14ac:dyDescent="0.35">
      <c r="F338" s="40" t="s">
        <v>1333</v>
      </c>
      <c r="G338" s="85" t="s">
        <v>842</v>
      </c>
      <c r="H338" s="40" t="s">
        <v>843</v>
      </c>
      <c r="I338" s="41" t="s">
        <v>223</v>
      </c>
      <c r="J338" s="41" t="s">
        <v>804</v>
      </c>
      <c r="K338" s="41" t="s">
        <v>805</v>
      </c>
      <c r="L338" s="40" t="s">
        <v>603</v>
      </c>
      <c r="O338" s="40" t="s">
        <v>104</v>
      </c>
      <c r="P338" s="41" t="s">
        <v>844</v>
      </c>
      <c r="Q338" s="41" t="s">
        <v>104</v>
      </c>
      <c r="R338" s="41" t="s">
        <v>104</v>
      </c>
      <c r="S338" s="40" t="s">
        <v>169</v>
      </c>
      <c r="T338" s="41" t="s">
        <v>104</v>
      </c>
      <c r="U338" s="41" t="s">
        <v>104</v>
      </c>
      <c r="V338" s="41" t="s">
        <v>104</v>
      </c>
      <c r="W338" s="41" t="s">
        <v>104</v>
      </c>
      <c r="X338" s="41" t="s">
        <v>104</v>
      </c>
      <c r="Y338" s="40" t="s">
        <v>104</v>
      </c>
      <c r="Z338" s="41" t="s">
        <v>104</v>
      </c>
      <c r="AA338" s="41" t="s">
        <v>102</v>
      </c>
      <c r="AB338" s="41" t="s">
        <v>104</v>
      </c>
      <c r="AC338" s="40" t="s">
        <v>604</v>
      </c>
      <c r="AD338" s="41" t="s">
        <v>607</v>
      </c>
      <c r="AE338" s="41" t="s">
        <v>102</v>
      </c>
      <c r="AF338" s="41" t="s">
        <v>876</v>
      </c>
      <c r="AG338" s="41" t="s">
        <v>139</v>
      </c>
      <c r="AH338" s="41" t="s">
        <v>141</v>
      </c>
      <c r="AI338" s="41">
        <v>2</v>
      </c>
      <c r="AJ338" s="41">
        <v>0</v>
      </c>
      <c r="AK338" s="41">
        <v>2</v>
      </c>
      <c r="AL338" s="42">
        <v>285.01</v>
      </c>
      <c r="AM338" s="41" t="s">
        <v>144</v>
      </c>
      <c r="AN338" s="42">
        <v>570.02</v>
      </c>
      <c r="AO338" s="41">
        <v>45920</v>
      </c>
      <c r="AP338" s="41" t="s">
        <v>155</v>
      </c>
      <c r="AR338" s="41" t="s">
        <v>164</v>
      </c>
      <c r="AS338" s="41" t="s">
        <v>170</v>
      </c>
      <c r="AT338" s="41" t="s">
        <v>219</v>
      </c>
      <c r="AU338" s="41" t="s">
        <v>173</v>
      </c>
      <c r="AW338" s="41" t="s">
        <v>171</v>
      </c>
      <c r="AX338" s="41" t="s">
        <v>1769</v>
      </c>
      <c r="AY338" s="41"/>
      <c r="AZ338" s="40" t="s">
        <v>2158</v>
      </c>
      <c r="BA338" s="40" t="s">
        <v>2160</v>
      </c>
    </row>
    <row r="339" spans="6:53" ht="72.5" x14ac:dyDescent="0.35">
      <c r="F339" s="40" t="s">
        <v>1334</v>
      </c>
      <c r="G339" s="85" t="s">
        <v>846</v>
      </c>
      <c r="H339" s="40" t="s">
        <v>847</v>
      </c>
      <c r="I339" s="41" t="s">
        <v>223</v>
      </c>
      <c r="J339" s="41" t="s">
        <v>804</v>
      </c>
      <c r="K339" s="41" t="s">
        <v>805</v>
      </c>
      <c r="L339" s="40" t="s">
        <v>603</v>
      </c>
      <c r="O339" s="40" t="s">
        <v>104</v>
      </c>
      <c r="P339" s="41" t="s">
        <v>848</v>
      </c>
      <c r="Q339" s="41" t="s">
        <v>104</v>
      </c>
      <c r="R339" s="41" t="s">
        <v>104</v>
      </c>
      <c r="S339" s="40" t="s">
        <v>169</v>
      </c>
      <c r="T339" s="41" t="s">
        <v>849</v>
      </c>
      <c r="U339" s="41" t="s">
        <v>104</v>
      </c>
      <c r="V339" s="41" t="s">
        <v>107</v>
      </c>
      <c r="W339" s="41" t="s">
        <v>112</v>
      </c>
      <c r="X339" s="41" t="s">
        <v>104</v>
      </c>
      <c r="Y339" s="40" t="s">
        <v>104</v>
      </c>
      <c r="Z339" s="41" t="s">
        <v>104</v>
      </c>
      <c r="AA339" s="41" t="s">
        <v>102</v>
      </c>
      <c r="AB339" s="41" t="s">
        <v>104</v>
      </c>
      <c r="AC339" s="40" t="s">
        <v>604</v>
      </c>
      <c r="AD339" s="41" t="s">
        <v>607</v>
      </c>
      <c r="AE339" s="41" t="s">
        <v>102</v>
      </c>
      <c r="AF339" s="41" t="s">
        <v>876</v>
      </c>
      <c r="AG339" s="41" t="s">
        <v>139</v>
      </c>
      <c r="AH339" s="41" t="s">
        <v>141</v>
      </c>
      <c r="AI339" s="41">
        <v>1</v>
      </c>
      <c r="AJ339" s="41">
        <v>0</v>
      </c>
      <c r="AK339" s="41">
        <v>1</v>
      </c>
      <c r="AL339" s="42">
        <v>945.75</v>
      </c>
      <c r="AM339" s="41" t="s">
        <v>144</v>
      </c>
      <c r="AN339" s="42">
        <v>945.75</v>
      </c>
      <c r="AO339" s="41">
        <v>45920</v>
      </c>
      <c r="AP339" s="41" t="s">
        <v>155</v>
      </c>
      <c r="AR339" s="41" t="s">
        <v>164</v>
      </c>
      <c r="AS339" s="41" t="s">
        <v>170</v>
      </c>
      <c r="AT339" s="41" t="s">
        <v>219</v>
      </c>
      <c r="AU339" s="41" t="s">
        <v>173</v>
      </c>
      <c r="AW339" s="41" t="s">
        <v>171</v>
      </c>
      <c r="AX339" s="41" t="s">
        <v>1770</v>
      </c>
      <c r="AY339" s="41"/>
      <c r="AZ339" s="40" t="s">
        <v>2158</v>
      </c>
      <c r="BA339" s="40"/>
    </row>
    <row r="340" spans="6:53" ht="72.5" x14ac:dyDescent="0.35">
      <c r="F340" s="40" t="s">
        <v>1335</v>
      </c>
      <c r="G340" s="85" t="s">
        <v>850</v>
      </c>
      <c r="H340" s="40" t="s">
        <v>851</v>
      </c>
      <c r="I340" s="41" t="s">
        <v>223</v>
      </c>
      <c r="J340" s="41" t="s">
        <v>804</v>
      </c>
      <c r="K340" s="41" t="s">
        <v>805</v>
      </c>
      <c r="L340" s="40" t="s">
        <v>603</v>
      </c>
      <c r="O340" s="40" t="s">
        <v>104</v>
      </c>
      <c r="P340" s="41" t="s">
        <v>852</v>
      </c>
      <c r="Q340" s="41" t="s">
        <v>104</v>
      </c>
      <c r="R340" s="41" t="s">
        <v>104</v>
      </c>
      <c r="S340" s="40" t="s">
        <v>169</v>
      </c>
      <c r="T340" s="41" t="s">
        <v>853</v>
      </c>
      <c r="U340" s="41" t="s">
        <v>104</v>
      </c>
      <c r="V340" s="41" t="s">
        <v>104</v>
      </c>
      <c r="W340" s="41" t="s">
        <v>104</v>
      </c>
      <c r="X340" s="41" t="s">
        <v>104</v>
      </c>
      <c r="Y340" s="40" t="s">
        <v>104</v>
      </c>
      <c r="Z340" s="41" t="s">
        <v>104</v>
      </c>
      <c r="AA340" s="41" t="s">
        <v>102</v>
      </c>
      <c r="AB340" s="41" t="s">
        <v>104</v>
      </c>
      <c r="AC340" s="40" t="s">
        <v>604</v>
      </c>
      <c r="AD340" s="41" t="s">
        <v>607</v>
      </c>
      <c r="AE340" s="41" t="s">
        <v>102</v>
      </c>
      <c r="AF340" s="41" t="s">
        <v>876</v>
      </c>
      <c r="AG340" s="41" t="s">
        <v>139</v>
      </c>
      <c r="AH340" s="41" t="s">
        <v>141</v>
      </c>
      <c r="AI340" s="41">
        <v>1</v>
      </c>
      <c r="AJ340" s="41">
        <v>0</v>
      </c>
      <c r="AK340" s="41">
        <v>1</v>
      </c>
      <c r="AL340" s="42">
        <v>1122.19</v>
      </c>
      <c r="AM340" s="41" t="s">
        <v>144</v>
      </c>
      <c r="AN340" s="42">
        <v>1122.19</v>
      </c>
      <c r="AO340" s="41">
        <v>45920</v>
      </c>
      <c r="AP340" s="41" t="s">
        <v>155</v>
      </c>
      <c r="AR340" s="41" t="s">
        <v>164</v>
      </c>
      <c r="AS340" s="41" t="s">
        <v>170</v>
      </c>
      <c r="AT340" s="41" t="s">
        <v>219</v>
      </c>
      <c r="AU340" s="41" t="s">
        <v>173</v>
      </c>
      <c r="AW340" s="41" t="s">
        <v>171</v>
      </c>
      <c r="AX340" s="41" t="s">
        <v>1771</v>
      </c>
      <c r="AY340" s="41"/>
      <c r="AZ340" s="40" t="s">
        <v>2158</v>
      </c>
      <c r="BA340" s="40"/>
    </row>
    <row r="341" spans="6:53" ht="72.5" x14ac:dyDescent="0.35">
      <c r="F341" s="40" t="s">
        <v>1336</v>
      </c>
      <c r="G341" s="85" t="s">
        <v>842</v>
      </c>
      <c r="H341" s="40" t="s">
        <v>843</v>
      </c>
      <c r="I341" s="41" t="s">
        <v>223</v>
      </c>
      <c r="J341" s="41" t="s">
        <v>804</v>
      </c>
      <c r="K341" s="41" t="s">
        <v>805</v>
      </c>
      <c r="L341" s="40" t="s">
        <v>603</v>
      </c>
      <c r="O341" s="40" t="s">
        <v>104</v>
      </c>
      <c r="P341" s="41" t="s">
        <v>844</v>
      </c>
      <c r="Q341" s="41" t="s">
        <v>104</v>
      </c>
      <c r="R341" s="41" t="s">
        <v>104</v>
      </c>
      <c r="S341" s="40" t="s">
        <v>169</v>
      </c>
      <c r="T341" s="41" t="s">
        <v>104</v>
      </c>
      <c r="U341" s="41" t="s">
        <v>104</v>
      </c>
      <c r="V341" s="41" t="s">
        <v>104</v>
      </c>
      <c r="W341" s="41" t="s">
        <v>104</v>
      </c>
      <c r="X341" s="41" t="s">
        <v>104</v>
      </c>
      <c r="Y341" s="40" t="s">
        <v>104</v>
      </c>
      <c r="Z341" s="41" t="s">
        <v>104</v>
      </c>
      <c r="AA341" s="41" t="s">
        <v>102</v>
      </c>
      <c r="AB341" s="41" t="s">
        <v>104</v>
      </c>
      <c r="AC341" s="40" t="s">
        <v>604</v>
      </c>
      <c r="AD341" s="41" t="s">
        <v>607</v>
      </c>
      <c r="AE341" s="41" t="s">
        <v>102</v>
      </c>
      <c r="AF341" s="41" t="s">
        <v>877</v>
      </c>
      <c r="AG341" s="41" t="s">
        <v>139</v>
      </c>
      <c r="AH341" s="41" t="s">
        <v>141</v>
      </c>
      <c r="AI341" s="41">
        <v>2</v>
      </c>
      <c r="AJ341" s="41">
        <v>0</v>
      </c>
      <c r="AK341" s="41">
        <v>2</v>
      </c>
      <c r="AL341" s="42">
        <v>285.01</v>
      </c>
      <c r="AM341" s="41" t="s">
        <v>144</v>
      </c>
      <c r="AN341" s="42">
        <v>570.02</v>
      </c>
      <c r="AO341" s="41">
        <v>45920</v>
      </c>
      <c r="AP341" s="41" t="s">
        <v>155</v>
      </c>
      <c r="AR341" s="41" t="s">
        <v>164</v>
      </c>
      <c r="AS341" s="41" t="s">
        <v>170</v>
      </c>
      <c r="AT341" s="41" t="s">
        <v>219</v>
      </c>
      <c r="AU341" s="41" t="s">
        <v>173</v>
      </c>
      <c r="AW341" s="41" t="s">
        <v>171</v>
      </c>
      <c r="AX341" s="41" t="s">
        <v>1772</v>
      </c>
      <c r="AY341" s="41"/>
      <c r="AZ341" s="40" t="s">
        <v>2158</v>
      </c>
      <c r="BA341" s="40" t="s">
        <v>2160</v>
      </c>
    </row>
    <row r="342" spans="6:53" ht="72.5" x14ac:dyDescent="0.35">
      <c r="F342" s="40" t="s">
        <v>1337</v>
      </c>
      <c r="G342" s="85" t="s">
        <v>846</v>
      </c>
      <c r="H342" s="40" t="s">
        <v>847</v>
      </c>
      <c r="I342" s="41" t="s">
        <v>223</v>
      </c>
      <c r="J342" s="41" t="s">
        <v>804</v>
      </c>
      <c r="K342" s="41" t="s">
        <v>805</v>
      </c>
      <c r="L342" s="40" t="s">
        <v>603</v>
      </c>
      <c r="O342" s="40" t="s">
        <v>104</v>
      </c>
      <c r="P342" s="41" t="s">
        <v>848</v>
      </c>
      <c r="Q342" s="41" t="s">
        <v>104</v>
      </c>
      <c r="R342" s="41" t="s">
        <v>104</v>
      </c>
      <c r="S342" s="40" t="s">
        <v>169</v>
      </c>
      <c r="T342" s="41" t="s">
        <v>849</v>
      </c>
      <c r="U342" s="41" t="s">
        <v>104</v>
      </c>
      <c r="V342" s="41" t="s">
        <v>107</v>
      </c>
      <c r="W342" s="41" t="s">
        <v>112</v>
      </c>
      <c r="X342" s="41" t="s">
        <v>104</v>
      </c>
      <c r="Y342" s="40" t="s">
        <v>104</v>
      </c>
      <c r="Z342" s="41" t="s">
        <v>104</v>
      </c>
      <c r="AA342" s="41" t="s">
        <v>102</v>
      </c>
      <c r="AB342" s="41" t="s">
        <v>104</v>
      </c>
      <c r="AC342" s="40" t="s">
        <v>604</v>
      </c>
      <c r="AD342" s="41" t="s">
        <v>607</v>
      </c>
      <c r="AE342" s="41" t="s">
        <v>102</v>
      </c>
      <c r="AF342" s="41" t="s">
        <v>877</v>
      </c>
      <c r="AG342" s="41" t="s">
        <v>139</v>
      </c>
      <c r="AH342" s="41" t="s">
        <v>141</v>
      </c>
      <c r="AI342" s="41">
        <v>1</v>
      </c>
      <c r="AJ342" s="41">
        <v>0</v>
      </c>
      <c r="AK342" s="41">
        <v>1</v>
      </c>
      <c r="AL342" s="42">
        <v>945.75</v>
      </c>
      <c r="AM342" s="41" t="s">
        <v>144</v>
      </c>
      <c r="AN342" s="42">
        <v>945.75</v>
      </c>
      <c r="AO342" s="41">
        <v>45920</v>
      </c>
      <c r="AP342" s="41" t="s">
        <v>155</v>
      </c>
      <c r="AR342" s="41" t="s">
        <v>164</v>
      </c>
      <c r="AS342" s="41" t="s">
        <v>170</v>
      </c>
      <c r="AT342" s="41" t="s">
        <v>219</v>
      </c>
      <c r="AU342" s="41" t="s">
        <v>173</v>
      </c>
      <c r="AW342" s="41" t="s">
        <v>171</v>
      </c>
      <c r="AX342" s="41" t="s">
        <v>1773</v>
      </c>
      <c r="AY342" s="41"/>
      <c r="AZ342" s="40" t="s">
        <v>2158</v>
      </c>
      <c r="BA342" s="40"/>
    </row>
    <row r="343" spans="6:53" ht="72.5" x14ac:dyDescent="0.35">
      <c r="F343" s="40" t="s">
        <v>1338</v>
      </c>
      <c r="G343" s="85" t="s">
        <v>850</v>
      </c>
      <c r="H343" s="40" t="s">
        <v>851</v>
      </c>
      <c r="I343" s="41" t="s">
        <v>223</v>
      </c>
      <c r="J343" s="41" t="s">
        <v>804</v>
      </c>
      <c r="K343" s="41" t="s">
        <v>805</v>
      </c>
      <c r="L343" s="40" t="s">
        <v>603</v>
      </c>
      <c r="O343" s="40" t="s">
        <v>104</v>
      </c>
      <c r="P343" s="41" t="s">
        <v>852</v>
      </c>
      <c r="Q343" s="41" t="s">
        <v>104</v>
      </c>
      <c r="R343" s="41" t="s">
        <v>104</v>
      </c>
      <c r="S343" s="40" t="s">
        <v>169</v>
      </c>
      <c r="T343" s="41" t="s">
        <v>853</v>
      </c>
      <c r="U343" s="41" t="s">
        <v>104</v>
      </c>
      <c r="V343" s="41" t="s">
        <v>104</v>
      </c>
      <c r="W343" s="41" t="s">
        <v>104</v>
      </c>
      <c r="X343" s="41" t="s">
        <v>104</v>
      </c>
      <c r="Y343" s="40" t="s">
        <v>104</v>
      </c>
      <c r="Z343" s="41" t="s">
        <v>104</v>
      </c>
      <c r="AA343" s="41" t="s">
        <v>102</v>
      </c>
      <c r="AB343" s="41" t="s">
        <v>104</v>
      </c>
      <c r="AC343" s="40" t="s">
        <v>604</v>
      </c>
      <c r="AD343" s="41" t="s">
        <v>607</v>
      </c>
      <c r="AE343" s="41" t="s">
        <v>102</v>
      </c>
      <c r="AF343" s="41" t="s">
        <v>877</v>
      </c>
      <c r="AG343" s="41" t="s">
        <v>139</v>
      </c>
      <c r="AH343" s="41" t="s">
        <v>141</v>
      </c>
      <c r="AI343" s="41">
        <v>1</v>
      </c>
      <c r="AJ343" s="41">
        <v>0</v>
      </c>
      <c r="AK343" s="41">
        <v>1</v>
      </c>
      <c r="AL343" s="42">
        <v>1122.19</v>
      </c>
      <c r="AM343" s="41" t="s">
        <v>144</v>
      </c>
      <c r="AN343" s="42">
        <v>1122.19</v>
      </c>
      <c r="AO343" s="41">
        <v>45920</v>
      </c>
      <c r="AP343" s="41" t="s">
        <v>155</v>
      </c>
      <c r="AR343" s="41" t="s">
        <v>164</v>
      </c>
      <c r="AS343" s="41" t="s">
        <v>170</v>
      </c>
      <c r="AT343" s="41" t="s">
        <v>219</v>
      </c>
      <c r="AU343" s="41" t="s">
        <v>173</v>
      </c>
      <c r="AW343" s="41" t="s">
        <v>171</v>
      </c>
      <c r="AX343" s="41" t="s">
        <v>1774</v>
      </c>
      <c r="AY343" s="41"/>
      <c r="AZ343" s="40" t="s">
        <v>2158</v>
      </c>
      <c r="BA343" s="40"/>
    </row>
    <row r="344" spans="6:53" ht="72.5" x14ac:dyDescent="0.35">
      <c r="F344" s="40" t="s">
        <v>1339</v>
      </c>
      <c r="G344" s="85" t="s">
        <v>842</v>
      </c>
      <c r="H344" s="40" t="s">
        <v>843</v>
      </c>
      <c r="I344" s="41" t="s">
        <v>223</v>
      </c>
      <c r="J344" s="41" t="s">
        <v>804</v>
      </c>
      <c r="K344" s="41" t="s">
        <v>805</v>
      </c>
      <c r="L344" s="40" t="s">
        <v>603</v>
      </c>
      <c r="O344" s="40" t="s">
        <v>104</v>
      </c>
      <c r="P344" s="41" t="s">
        <v>844</v>
      </c>
      <c r="Q344" s="41" t="s">
        <v>104</v>
      </c>
      <c r="R344" s="41" t="s">
        <v>104</v>
      </c>
      <c r="S344" s="40" t="s">
        <v>169</v>
      </c>
      <c r="T344" s="41" t="s">
        <v>104</v>
      </c>
      <c r="U344" s="41" t="s">
        <v>104</v>
      </c>
      <c r="V344" s="41" t="s">
        <v>104</v>
      </c>
      <c r="W344" s="41" t="s">
        <v>104</v>
      </c>
      <c r="X344" s="41" t="s">
        <v>104</v>
      </c>
      <c r="Y344" s="40" t="s">
        <v>104</v>
      </c>
      <c r="Z344" s="41" t="s">
        <v>104</v>
      </c>
      <c r="AA344" s="41" t="s">
        <v>102</v>
      </c>
      <c r="AB344" s="41" t="s">
        <v>104</v>
      </c>
      <c r="AC344" s="40" t="s">
        <v>604</v>
      </c>
      <c r="AD344" s="41" t="s">
        <v>607</v>
      </c>
      <c r="AE344" s="41" t="s">
        <v>102</v>
      </c>
      <c r="AF344" s="41" t="s">
        <v>878</v>
      </c>
      <c r="AG344" s="41" t="s">
        <v>139</v>
      </c>
      <c r="AH344" s="41" t="s">
        <v>141</v>
      </c>
      <c r="AI344" s="41">
        <v>2</v>
      </c>
      <c r="AJ344" s="41">
        <v>0</v>
      </c>
      <c r="AK344" s="41">
        <v>2</v>
      </c>
      <c r="AL344" s="42">
        <v>285.01</v>
      </c>
      <c r="AM344" s="41" t="s">
        <v>144</v>
      </c>
      <c r="AN344" s="42">
        <v>570.02</v>
      </c>
      <c r="AO344" s="41">
        <v>45920</v>
      </c>
      <c r="AP344" s="41" t="s">
        <v>155</v>
      </c>
      <c r="AR344" s="41" t="s">
        <v>164</v>
      </c>
      <c r="AS344" s="41" t="s">
        <v>170</v>
      </c>
      <c r="AT344" s="41" t="s">
        <v>219</v>
      </c>
      <c r="AU344" s="41" t="s">
        <v>173</v>
      </c>
      <c r="AW344" s="41" t="s">
        <v>171</v>
      </c>
      <c r="AX344" s="41" t="s">
        <v>1775</v>
      </c>
      <c r="AY344" s="41"/>
      <c r="AZ344" s="40" t="s">
        <v>2158</v>
      </c>
      <c r="BA344" s="40" t="s">
        <v>2160</v>
      </c>
    </row>
    <row r="345" spans="6:53" ht="72.5" x14ac:dyDescent="0.35">
      <c r="F345" s="40" t="s">
        <v>1340</v>
      </c>
      <c r="G345" s="85" t="s">
        <v>846</v>
      </c>
      <c r="H345" s="40" t="s">
        <v>847</v>
      </c>
      <c r="I345" s="41" t="s">
        <v>223</v>
      </c>
      <c r="J345" s="41" t="s">
        <v>804</v>
      </c>
      <c r="K345" s="41" t="s">
        <v>805</v>
      </c>
      <c r="L345" s="40" t="s">
        <v>603</v>
      </c>
      <c r="O345" s="40" t="s">
        <v>104</v>
      </c>
      <c r="P345" s="41" t="s">
        <v>848</v>
      </c>
      <c r="Q345" s="41" t="s">
        <v>104</v>
      </c>
      <c r="R345" s="41" t="s">
        <v>104</v>
      </c>
      <c r="S345" s="40" t="s">
        <v>169</v>
      </c>
      <c r="T345" s="41" t="s">
        <v>849</v>
      </c>
      <c r="U345" s="41" t="s">
        <v>104</v>
      </c>
      <c r="V345" s="41" t="s">
        <v>107</v>
      </c>
      <c r="W345" s="41" t="s">
        <v>112</v>
      </c>
      <c r="X345" s="41" t="s">
        <v>104</v>
      </c>
      <c r="Y345" s="40" t="s">
        <v>104</v>
      </c>
      <c r="Z345" s="41" t="s">
        <v>104</v>
      </c>
      <c r="AA345" s="41" t="s">
        <v>102</v>
      </c>
      <c r="AB345" s="41" t="s">
        <v>104</v>
      </c>
      <c r="AC345" s="40" t="s">
        <v>604</v>
      </c>
      <c r="AD345" s="41" t="s">
        <v>607</v>
      </c>
      <c r="AE345" s="41" t="s">
        <v>102</v>
      </c>
      <c r="AF345" s="41" t="s">
        <v>878</v>
      </c>
      <c r="AG345" s="41" t="s">
        <v>139</v>
      </c>
      <c r="AH345" s="41" t="s">
        <v>141</v>
      </c>
      <c r="AI345" s="41">
        <v>1</v>
      </c>
      <c r="AJ345" s="41">
        <v>0</v>
      </c>
      <c r="AK345" s="41">
        <v>1</v>
      </c>
      <c r="AL345" s="42">
        <v>945.75</v>
      </c>
      <c r="AM345" s="41" t="s">
        <v>144</v>
      </c>
      <c r="AN345" s="42">
        <v>945.75</v>
      </c>
      <c r="AO345" s="41">
        <v>45920</v>
      </c>
      <c r="AP345" s="41" t="s">
        <v>155</v>
      </c>
      <c r="AR345" s="41" t="s">
        <v>164</v>
      </c>
      <c r="AS345" s="41" t="s">
        <v>170</v>
      </c>
      <c r="AT345" s="41" t="s">
        <v>219</v>
      </c>
      <c r="AU345" s="41" t="s">
        <v>173</v>
      </c>
      <c r="AW345" s="41" t="s">
        <v>171</v>
      </c>
      <c r="AX345" s="41" t="s">
        <v>1776</v>
      </c>
      <c r="AY345" s="41"/>
      <c r="AZ345" s="40" t="s">
        <v>2158</v>
      </c>
      <c r="BA345" s="40"/>
    </row>
    <row r="346" spans="6:53" ht="72.5" x14ac:dyDescent="0.35">
      <c r="F346" s="40" t="s">
        <v>1341</v>
      </c>
      <c r="G346" s="85" t="s">
        <v>850</v>
      </c>
      <c r="H346" s="40" t="s">
        <v>851</v>
      </c>
      <c r="I346" s="41" t="s">
        <v>223</v>
      </c>
      <c r="J346" s="41" t="s">
        <v>804</v>
      </c>
      <c r="K346" s="41" t="s">
        <v>805</v>
      </c>
      <c r="L346" s="40" t="s">
        <v>603</v>
      </c>
      <c r="O346" s="40" t="s">
        <v>104</v>
      </c>
      <c r="P346" s="41" t="s">
        <v>852</v>
      </c>
      <c r="Q346" s="41" t="s">
        <v>104</v>
      </c>
      <c r="R346" s="41" t="s">
        <v>104</v>
      </c>
      <c r="S346" s="40" t="s">
        <v>169</v>
      </c>
      <c r="T346" s="41" t="s">
        <v>853</v>
      </c>
      <c r="U346" s="41" t="s">
        <v>104</v>
      </c>
      <c r="V346" s="41" t="s">
        <v>104</v>
      </c>
      <c r="W346" s="41" t="s">
        <v>104</v>
      </c>
      <c r="X346" s="41" t="s">
        <v>104</v>
      </c>
      <c r="Y346" s="40" t="s">
        <v>104</v>
      </c>
      <c r="Z346" s="41" t="s">
        <v>104</v>
      </c>
      <c r="AA346" s="41" t="s">
        <v>102</v>
      </c>
      <c r="AB346" s="41" t="s">
        <v>104</v>
      </c>
      <c r="AC346" s="40" t="s">
        <v>604</v>
      </c>
      <c r="AD346" s="41" t="s">
        <v>607</v>
      </c>
      <c r="AE346" s="41" t="s">
        <v>102</v>
      </c>
      <c r="AF346" s="41" t="s">
        <v>878</v>
      </c>
      <c r="AG346" s="41" t="s">
        <v>139</v>
      </c>
      <c r="AH346" s="41" t="s">
        <v>141</v>
      </c>
      <c r="AI346" s="41">
        <v>1</v>
      </c>
      <c r="AJ346" s="41">
        <v>0</v>
      </c>
      <c r="AK346" s="41">
        <v>1</v>
      </c>
      <c r="AL346" s="42">
        <v>1122.19</v>
      </c>
      <c r="AM346" s="41" t="s">
        <v>144</v>
      </c>
      <c r="AN346" s="42">
        <v>1122.19</v>
      </c>
      <c r="AO346" s="41">
        <v>45920</v>
      </c>
      <c r="AP346" s="41" t="s">
        <v>155</v>
      </c>
      <c r="AR346" s="41" t="s">
        <v>164</v>
      </c>
      <c r="AS346" s="41" t="s">
        <v>170</v>
      </c>
      <c r="AT346" s="41" t="s">
        <v>219</v>
      </c>
      <c r="AU346" s="41" t="s">
        <v>173</v>
      </c>
      <c r="AW346" s="41" t="s">
        <v>171</v>
      </c>
      <c r="AX346" s="41" t="s">
        <v>1777</v>
      </c>
      <c r="AY346" s="41"/>
      <c r="AZ346" s="40" t="s">
        <v>2158</v>
      </c>
      <c r="BA346" s="40"/>
    </row>
    <row r="347" spans="6:53" ht="72.5" x14ac:dyDescent="0.35">
      <c r="F347" s="40" t="s">
        <v>1342</v>
      </c>
      <c r="G347" s="85" t="s">
        <v>842</v>
      </c>
      <c r="H347" s="40" t="s">
        <v>843</v>
      </c>
      <c r="I347" s="41" t="s">
        <v>223</v>
      </c>
      <c r="J347" s="41" t="s">
        <v>804</v>
      </c>
      <c r="K347" s="41" t="s">
        <v>805</v>
      </c>
      <c r="L347" s="40" t="s">
        <v>603</v>
      </c>
      <c r="O347" s="40" t="s">
        <v>104</v>
      </c>
      <c r="P347" s="41" t="s">
        <v>844</v>
      </c>
      <c r="Q347" s="41" t="s">
        <v>104</v>
      </c>
      <c r="R347" s="41" t="s">
        <v>104</v>
      </c>
      <c r="S347" s="40" t="s">
        <v>169</v>
      </c>
      <c r="T347" s="41" t="s">
        <v>104</v>
      </c>
      <c r="U347" s="41" t="s">
        <v>104</v>
      </c>
      <c r="V347" s="41" t="s">
        <v>104</v>
      </c>
      <c r="W347" s="41" t="s">
        <v>104</v>
      </c>
      <c r="X347" s="41" t="s">
        <v>104</v>
      </c>
      <c r="Y347" s="40" t="s">
        <v>104</v>
      </c>
      <c r="Z347" s="41" t="s">
        <v>104</v>
      </c>
      <c r="AA347" s="41" t="s">
        <v>102</v>
      </c>
      <c r="AB347" s="41" t="s">
        <v>104</v>
      </c>
      <c r="AC347" s="40" t="s">
        <v>604</v>
      </c>
      <c r="AD347" s="41" t="s">
        <v>607</v>
      </c>
      <c r="AE347" s="41" t="s">
        <v>102</v>
      </c>
      <c r="AF347" s="41" t="s">
        <v>879</v>
      </c>
      <c r="AG347" s="41" t="s">
        <v>139</v>
      </c>
      <c r="AH347" s="41" t="s">
        <v>141</v>
      </c>
      <c r="AI347" s="41">
        <v>2</v>
      </c>
      <c r="AJ347" s="41">
        <v>0</v>
      </c>
      <c r="AK347" s="41">
        <v>2</v>
      </c>
      <c r="AL347" s="42">
        <v>285.01</v>
      </c>
      <c r="AM347" s="41" t="s">
        <v>144</v>
      </c>
      <c r="AN347" s="42">
        <v>570.02</v>
      </c>
      <c r="AO347" s="41">
        <v>45920</v>
      </c>
      <c r="AP347" s="41" t="s">
        <v>155</v>
      </c>
      <c r="AR347" s="41" t="s">
        <v>164</v>
      </c>
      <c r="AS347" s="41" t="s">
        <v>170</v>
      </c>
      <c r="AT347" s="41" t="s">
        <v>219</v>
      </c>
      <c r="AU347" s="41" t="s">
        <v>173</v>
      </c>
      <c r="AW347" s="41" t="s">
        <v>171</v>
      </c>
      <c r="AX347" s="41" t="s">
        <v>1778</v>
      </c>
      <c r="AY347" s="41"/>
      <c r="AZ347" s="40" t="s">
        <v>2158</v>
      </c>
      <c r="BA347" s="40" t="s">
        <v>2160</v>
      </c>
    </row>
    <row r="348" spans="6:53" ht="72.5" x14ac:dyDescent="0.35">
      <c r="F348" s="40" t="s">
        <v>1343</v>
      </c>
      <c r="G348" s="85" t="s">
        <v>846</v>
      </c>
      <c r="H348" s="40" t="s">
        <v>847</v>
      </c>
      <c r="I348" s="41" t="s">
        <v>223</v>
      </c>
      <c r="J348" s="41" t="s">
        <v>804</v>
      </c>
      <c r="K348" s="41" t="s">
        <v>805</v>
      </c>
      <c r="L348" s="40" t="s">
        <v>603</v>
      </c>
      <c r="O348" s="40" t="s">
        <v>104</v>
      </c>
      <c r="P348" s="41" t="s">
        <v>848</v>
      </c>
      <c r="Q348" s="41" t="s">
        <v>104</v>
      </c>
      <c r="R348" s="41" t="s">
        <v>104</v>
      </c>
      <c r="S348" s="40" t="s">
        <v>169</v>
      </c>
      <c r="T348" s="41" t="s">
        <v>849</v>
      </c>
      <c r="U348" s="41" t="s">
        <v>104</v>
      </c>
      <c r="V348" s="41" t="s">
        <v>107</v>
      </c>
      <c r="W348" s="41" t="s">
        <v>112</v>
      </c>
      <c r="X348" s="41" t="s">
        <v>104</v>
      </c>
      <c r="Y348" s="40" t="s">
        <v>104</v>
      </c>
      <c r="Z348" s="41" t="s">
        <v>104</v>
      </c>
      <c r="AA348" s="41" t="s">
        <v>102</v>
      </c>
      <c r="AB348" s="41" t="s">
        <v>104</v>
      </c>
      <c r="AC348" s="40" t="s">
        <v>604</v>
      </c>
      <c r="AD348" s="41" t="s">
        <v>607</v>
      </c>
      <c r="AE348" s="41" t="s">
        <v>102</v>
      </c>
      <c r="AF348" s="41" t="s">
        <v>879</v>
      </c>
      <c r="AG348" s="41" t="s">
        <v>139</v>
      </c>
      <c r="AH348" s="41" t="s">
        <v>141</v>
      </c>
      <c r="AI348" s="41">
        <v>1</v>
      </c>
      <c r="AJ348" s="41">
        <v>0</v>
      </c>
      <c r="AK348" s="41">
        <v>1</v>
      </c>
      <c r="AL348" s="42">
        <v>945.75</v>
      </c>
      <c r="AM348" s="41" t="s">
        <v>144</v>
      </c>
      <c r="AN348" s="42">
        <v>945.75</v>
      </c>
      <c r="AO348" s="41">
        <v>45920</v>
      </c>
      <c r="AP348" s="41" t="s">
        <v>155</v>
      </c>
      <c r="AR348" s="41" t="s">
        <v>164</v>
      </c>
      <c r="AS348" s="41" t="s">
        <v>170</v>
      </c>
      <c r="AT348" s="41" t="s">
        <v>219</v>
      </c>
      <c r="AU348" s="41" t="s">
        <v>173</v>
      </c>
      <c r="AW348" s="41" t="s">
        <v>171</v>
      </c>
      <c r="AX348" s="41" t="s">
        <v>1779</v>
      </c>
      <c r="AY348" s="41"/>
      <c r="AZ348" s="40" t="s">
        <v>2158</v>
      </c>
      <c r="BA348" s="40"/>
    </row>
    <row r="349" spans="6:53" ht="72.5" x14ac:dyDescent="0.35">
      <c r="F349" s="40" t="s">
        <v>1344</v>
      </c>
      <c r="G349" s="85" t="s">
        <v>850</v>
      </c>
      <c r="H349" s="40" t="s">
        <v>851</v>
      </c>
      <c r="I349" s="41" t="s">
        <v>223</v>
      </c>
      <c r="J349" s="41" t="s">
        <v>804</v>
      </c>
      <c r="K349" s="41" t="s">
        <v>805</v>
      </c>
      <c r="L349" s="40" t="s">
        <v>603</v>
      </c>
      <c r="O349" s="40" t="s">
        <v>104</v>
      </c>
      <c r="P349" s="41" t="s">
        <v>852</v>
      </c>
      <c r="Q349" s="41" t="s">
        <v>104</v>
      </c>
      <c r="R349" s="41" t="s">
        <v>104</v>
      </c>
      <c r="S349" s="40" t="s">
        <v>169</v>
      </c>
      <c r="T349" s="41" t="s">
        <v>853</v>
      </c>
      <c r="U349" s="41" t="s">
        <v>104</v>
      </c>
      <c r="V349" s="41" t="s">
        <v>104</v>
      </c>
      <c r="W349" s="41" t="s">
        <v>104</v>
      </c>
      <c r="X349" s="41" t="s">
        <v>104</v>
      </c>
      <c r="Y349" s="40" t="s">
        <v>104</v>
      </c>
      <c r="Z349" s="41" t="s">
        <v>104</v>
      </c>
      <c r="AA349" s="41" t="s">
        <v>102</v>
      </c>
      <c r="AB349" s="41" t="s">
        <v>104</v>
      </c>
      <c r="AC349" s="40" t="s">
        <v>604</v>
      </c>
      <c r="AD349" s="41" t="s">
        <v>607</v>
      </c>
      <c r="AE349" s="41" t="s">
        <v>102</v>
      </c>
      <c r="AF349" s="41" t="s">
        <v>879</v>
      </c>
      <c r="AG349" s="41" t="s">
        <v>139</v>
      </c>
      <c r="AH349" s="41" t="s">
        <v>141</v>
      </c>
      <c r="AI349" s="41">
        <v>1</v>
      </c>
      <c r="AJ349" s="41">
        <v>0</v>
      </c>
      <c r="AK349" s="41">
        <v>1</v>
      </c>
      <c r="AL349" s="42">
        <v>1122.19</v>
      </c>
      <c r="AM349" s="41" t="s">
        <v>144</v>
      </c>
      <c r="AN349" s="42">
        <v>1122.19</v>
      </c>
      <c r="AO349" s="41">
        <v>45920</v>
      </c>
      <c r="AP349" s="41" t="s">
        <v>155</v>
      </c>
      <c r="AR349" s="41" t="s">
        <v>164</v>
      </c>
      <c r="AS349" s="41" t="s">
        <v>170</v>
      </c>
      <c r="AT349" s="41" t="s">
        <v>219</v>
      </c>
      <c r="AU349" s="41" t="s">
        <v>173</v>
      </c>
      <c r="AW349" s="41" t="s">
        <v>171</v>
      </c>
      <c r="AX349" s="41" t="s">
        <v>1780</v>
      </c>
      <c r="AY349" s="41"/>
      <c r="AZ349" s="40" t="s">
        <v>2158</v>
      </c>
      <c r="BA349" s="40"/>
    </row>
    <row r="350" spans="6:53" ht="72.5" x14ac:dyDescent="0.35">
      <c r="F350" s="40" t="s">
        <v>1345</v>
      </c>
      <c r="G350" s="85" t="s">
        <v>842</v>
      </c>
      <c r="H350" s="40" t="s">
        <v>843</v>
      </c>
      <c r="I350" s="41" t="s">
        <v>223</v>
      </c>
      <c r="J350" s="41" t="s">
        <v>804</v>
      </c>
      <c r="K350" s="41" t="s">
        <v>805</v>
      </c>
      <c r="L350" s="40" t="s">
        <v>603</v>
      </c>
      <c r="O350" s="40" t="s">
        <v>104</v>
      </c>
      <c r="P350" s="41" t="s">
        <v>844</v>
      </c>
      <c r="Q350" s="41" t="s">
        <v>104</v>
      </c>
      <c r="R350" s="41" t="s">
        <v>104</v>
      </c>
      <c r="S350" s="40" t="s">
        <v>169</v>
      </c>
      <c r="T350" s="41" t="s">
        <v>104</v>
      </c>
      <c r="U350" s="41" t="s">
        <v>104</v>
      </c>
      <c r="V350" s="41" t="s">
        <v>104</v>
      </c>
      <c r="W350" s="41" t="s">
        <v>104</v>
      </c>
      <c r="X350" s="41" t="s">
        <v>104</v>
      </c>
      <c r="Y350" s="40" t="s">
        <v>104</v>
      </c>
      <c r="Z350" s="41" t="s">
        <v>104</v>
      </c>
      <c r="AA350" s="41" t="s">
        <v>102</v>
      </c>
      <c r="AB350" s="41" t="s">
        <v>104</v>
      </c>
      <c r="AC350" s="40" t="s">
        <v>604</v>
      </c>
      <c r="AD350" s="41" t="s">
        <v>607</v>
      </c>
      <c r="AE350" s="41" t="s">
        <v>102</v>
      </c>
      <c r="AF350" s="41" t="s">
        <v>880</v>
      </c>
      <c r="AG350" s="41" t="s">
        <v>139</v>
      </c>
      <c r="AH350" s="41" t="s">
        <v>141</v>
      </c>
      <c r="AI350" s="41">
        <v>2</v>
      </c>
      <c r="AJ350" s="41">
        <v>0</v>
      </c>
      <c r="AK350" s="41">
        <v>2</v>
      </c>
      <c r="AL350" s="42">
        <v>285.01</v>
      </c>
      <c r="AM350" s="41" t="s">
        <v>144</v>
      </c>
      <c r="AN350" s="42">
        <v>570.02</v>
      </c>
      <c r="AO350" s="41">
        <v>45920</v>
      </c>
      <c r="AP350" s="41" t="s">
        <v>155</v>
      </c>
      <c r="AR350" s="41" t="s">
        <v>164</v>
      </c>
      <c r="AS350" s="41" t="s">
        <v>170</v>
      </c>
      <c r="AT350" s="41" t="s">
        <v>219</v>
      </c>
      <c r="AU350" s="41" t="s">
        <v>173</v>
      </c>
      <c r="AW350" s="41" t="s">
        <v>171</v>
      </c>
      <c r="AX350" s="41" t="s">
        <v>1781</v>
      </c>
      <c r="AY350" s="41"/>
      <c r="AZ350" s="40" t="s">
        <v>2158</v>
      </c>
      <c r="BA350" s="40" t="s">
        <v>2160</v>
      </c>
    </row>
    <row r="351" spans="6:53" ht="72.5" x14ac:dyDescent="0.35">
      <c r="F351" s="40" t="s">
        <v>1346</v>
      </c>
      <c r="G351" s="85" t="s">
        <v>846</v>
      </c>
      <c r="H351" s="40" t="s">
        <v>847</v>
      </c>
      <c r="I351" s="41" t="s">
        <v>223</v>
      </c>
      <c r="J351" s="41" t="s">
        <v>804</v>
      </c>
      <c r="K351" s="41" t="s">
        <v>805</v>
      </c>
      <c r="L351" s="40" t="s">
        <v>603</v>
      </c>
      <c r="O351" s="40" t="s">
        <v>104</v>
      </c>
      <c r="P351" s="41" t="s">
        <v>848</v>
      </c>
      <c r="Q351" s="41" t="s">
        <v>104</v>
      </c>
      <c r="R351" s="41" t="s">
        <v>104</v>
      </c>
      <c r="S351" s="40" t="s">
        <v>169</v>
      </c>
      <c r="T351" s="41" t="s">
        <v>849</v>
      </c>
      <c r="U351" s="41" t="s">
        <v>104</v>
      </c>
      <c r="V351" s="41" t="s">
        <v>107</v>
      </c>
      <c r="W351" s="41" t="s">
        <v>112</v>
      </c>
      <c r="X351" s="41" t="s">
        <v>104</v>
      </c>
      <c r="Y351" s="40" t="s">
        <v>104</v>
      </c>
      <c r="Z351" s="41" t="s">
        <v>104</v>
      </c>
      <c r="AA351" s="41" t="s">
        <v>102</v>
      </c>
      <c r="AB351" s="41" t="s">
        <v>104</v>
      </c>
      <c r="AC351" s="40" t="s">
        <v>604</v>
      </c>
      <c r="AD351" s="41" t="s">
        <v>607</v>
      </c>
      <c r="AE351" s="41" t="s">
        <v>102</v>
      </c>
      <c r="AF351" s="41" t="s">
        <v>880</v>
      </c>
      <c r="AG351" s="41" t="s">
        <v>139</v>
      </c>
      <c r="AH351" s="41" t="s">
        <v>141</v>
      </c>
      <c r="AI351" s="41">
        <v>1</v>
      </c>
      <c r="AJ351" s="41">
        <v>0</v>
      </c>
      <c r="AK351" s="41">
        <v>1</v>
      </c>
      <c r="AL351" s="42">
        <v>945.75</v>
      </c>
      <c r="AM351" s="41" t="s">
        <v>144</v>
      </c>
      <c r="AN351" s="42">
        <v>945.75</v>
      </c>
      <c r="AO351" s="41">
        <v>45920</v>
      </c>
      <c r="AP351" s="41" t="s">
        <v>155</v>
      </c>
      <c r="AR351" s="41" t="s">
        <v>164</v>
      </c>
      <c r="AS351" s="41" t="s">
        <v>170</v>
      </c>
      <c r="AT351" s="41" t="s">
        <v>219</v>
      </c>
      <c r="AU351" s="41" t="s">
        <v>173</v>
      </c>
      <c r="AW351" s="41" t="s">
        <v>171</v>
      </c>
      <c r="AX351" s="41" t="s">
        <v>1782</v>
      </c>
      <c r="AY351" s="41"/>
      <c r="AZ351" s="40" t="s">
        <v>2158</v>
      </c>
      <c r="BA351" s="40"/>
    </row>
    <row r="352" spans="6:53" ht="72.5" x14ac:dyDescent="0.35">
      <c r="F352" s="40" t="s">
        <v>1347</v>
      </c>
      <c r="G352" s="85" t="s">
        <v>850</v>
      </c>
      <c r="H352" s="40" t="s">
        <v>851</v>
      </c>
      <c r="I352" s="41" t="s">
        <v>223</v>
      </c>
      <c r="J352" s="41" t="s">
        <v>804</v>
      </c>
      <c r="K352" s="41" t="s">
        <v>805</v>
      </c>
      <c r="L352" s="40" t="s">
        <v>603</v>
      </c>
      <c r="O352" s="40" t="s">
        <v>104</v>
      </c>
      <c r="P352" s="41" t="s">
        <v>852</v>
      </c>
      <c r="Q352" s="41" t="s">
        <v>104</v>
      </c>
      <c r="R352" s="41" t="s">
        <v>104</v>
      </c>
      <c r="S352" s="40" t="s">
        <v>169</v>
      </c>
      <c r="T352" s="41" t="s">
        <v>853</v>
      </c>
      <c r="U352" s="41" t="s">
        <v>104</v>
      </c>
      <c r="V352" s="41" t="s">
        <v>104</v>
      </c>
      <c r="W352" s="41" t="s">
        <v>104</v>
      </c>
      <c r="X352" s="41" t="s">
        <v>104</v>
      </c>
      <c r="Y352" s="40" t="s">
        <v>104</v>
      </c>
      <c r="Z352" s="41" t="s">
        <v>104</v>
      </c>
      <c r="AA352" s="41" t="s">
        <v>102</v>
      </c>
      <c r="AB352" s="41" t="s">
        <v>104</v>
      </c>
      <c r="AC352" s="40" t="s">
        <v>604</v>
      </c>
      <c r="AD352" s="41" t="s">
        <v>607</v>
      </c>
      <c r="AE352" s="41" t="s">
        <v>102</v>
      </c>
      <c r="AF352" s="41" t="s">
        <v>880</v>
      </c>
      <c r="AG352" s="41" t="s">
        <v>139</v>
      </c>
      <c r="AH352" s="41" t="s">
        <v>141</v>
      </c>
      <c r="AI352" s="41">
        <v>1</v>
      </c>
      <c r="AJ352" s="41">
        <v>0</v>
      </c>
      <c r="AK352" s="41">
        <v>1</v>
      </c>
      <c r="AL352" s="42">
        <v>1122.19</v>
      </c>
      <c r="AM352" s="41" t="s">
        <v>144</v>
      </c>
      <c r="AN352" s="42">
        <v>1122.19</v>
      </c>
      <c r="AO352" s="41">
        <v>45920</v>
      </c>
      <c r="AP352" s="41" t="s">
        <v>155</v>
      </c>
      <c r="AR352" s="41" t="s">
        <v>164</v>
      </c>
      <c r="AS352" s="41" t="s">
        <v>170</v>
      </c>
      <c r="AT352" s="41" t="s">
        <v>219</v>
      </c>
      <c r="AU352" s="41" t="s">
        <v>173</v>
      </c>
      <c r="AW352" s="41" t="s">
        <v>171</v>
      </c>
      <c r="AX352" s="41" t="s">
        <v>1783</v>
      </c>
      <c r="AY352" s="41"/>
      <c r="AZ352" s="40" t="s">
        <v>2158</v>
      </c>
      <c r="BA352" s="40"/>
    </row>
    <row r="353" spans="6:53" ht="72.5" x14ac:dyDescent="0.35">
      <c r="F353" s="40" t="s">
        <v>1348</v>
      </c>
      <c r="G353" s="85" t="s">
        <v>842</v>
      </c>
      <c r="H353" s="40" t="s">
        <v>843</v>
      </c>
      <c r="I353" s="41" t="s">
        <v>223</v>
      </c>
      <c r="J353" s="41" t="s">
        <v>804</v>
      </c>
      <c r="K353" s="41" t="s">
        <v>805</v>
      </c>
      <c r="L353" s="40" t="s">
        <v>603</v>
      </c>
      <c r="O353" s="40" t="s">
        <v>104</v>
      </c>
      <c r="P353" s="41" t="s">
        <v>844</v>
      </c>
      <c r="Q353" s="41" t="s">
        <v>104</v>
      </c>
      <c r="R353" s="41" t="s">
        <v>104</v>
      </c>
      <c r="S353" s="40" t="s">
        <v>169</v>
      </c>
      <c r="T353" s="41" t="s">
        <v>104</v>
      </c>
      <c r="U353" s="41" t="s">
        <v>104</v>
      </c>
      <c r="V353" s="41" t="s">
        <v>104</v>
      </c>
      <c r="W353" s="41" t="s">
        <v>104</v>
      </c>
      <c r="X353" s="41" t="s">
        <v>104</v>
      </c>
      <c r="Y353" s="40" t="s">
        <v>104</v>
      </c>
      <c r="Z353" s="41" t="s">
        <v>104</v>
      </c>
      <c r="AA353" s="41" t="s">
        <v>102</v>
      </c>
      <c r="AB353" s="41" t="s">
        <v>104</v>
      </c>
      <c r="AC353" s="40" t="s">
        <v>604</v>
      </c>
      <c r="AD353" s="41" t="s">
        <v>607</v>
      </c>
      <c r="AE353" s="41" t="s">
        <v>102</v>
      </c>
      <c r="AF353" s="41" t="s">
        <v>881</v>
      </c>
      <c r="AG353" s="41" t="s">
        <v>139</v>
      </c>
      <c r="AH353" s="41" t="s">
        <v>141</v>
      </c>
      <c r="AI353" s="41">
        <v>2</v>
      </c>
      <c r="AJ353" s="41">
        <v>0</v>
      </c>
      <c r="AK353" s="41">
        <v>2</v>
      </c>
      <c r="AL353" s="42">
        <v>285.01</v>
      </c>
      <c r="AM353" s="41" t="s">
        <v>144</v>
      </c>
      <c r="AN353" s="42">
        <v>570.02</v>
      </c>
      <c r="AO353" s="41">
        <v>45920</v>
      </c>
      <c r="AP353" s="41" t="s">
        <v>155</v>
      </c>
      <c r="AR353" s="41" t="s">
        <v>164</v>
      </c>
      <c r="AS353" s="41" t="s">
        <v>170</v>
      </c>
      <c r="AT353" s="41" t="s">
        <v>219</v>
      </c>
      <c r="AU353" s="41" t="s">
        <v>173</v>
      </c>
      <c r="AW353" s="41" t="s">
        <v>171</v>
      </c>
      <c r="AX353" s="41" t="s">
        <v>1784</v>
      </c>
      <c r="AY353" s="41"/>
      <c r="AZ353" s="40" t="s">
        <v>2158</v>
      </c>
      <c r="BA353" s="40" t="s">
        <v>2160</v>
      </c>
    </row>
    <row r="354" spans="6:53" ht="72.5" x14ac:dyDescent="0.35">
      <c r="F354" s="40" t="s">
        <v>1349</v>
      </c>
      <c r="G354" s="85" t="s">
        <v>846</v>
      </c>
      <c r="H354" s="40" t="s">
        <v>847</v>
      </c>
      <c r="I354" s="41" t="s">
        <v>223</v>
      </c>
      <c r="J354" s="41" t="s">
        <v>804</v>
      </c>
      <c r="K354" s="41" t="s">
        <v>805</v>
      </c>
      <c r="L354" s="40" t="s">
        <v>603</v>
      </c>
      <c r="O354" s="40" t="s">
        <v>104</v>
      </c>
      <c r="P354" s="41" t="s">
        <v>848</v>
      </c>
      <c r="Q354" s="41" t="s">
        <v>104</v>
      </c>
      <c r="R354" s="41" t="s">
        <v>104</v>
      </c>
      <c r="S354" s="40" t="s">
        <v>169</v>
      </c>
      <c r="T354" s="41" t="s">
        <v>849</v>
      </c>
      <c r="U354" s="41" t="s">
        <v>104</v>
      </c>
      <c r="V354" s="41" t="s">
        <v>107</v>
      </c>
      <c r="W354" s="41" t="s">
        <v>112</v>
      </c>
      <c r="X354" s="41" t="s">
        <v>104</v>
      </c>
      <c r="Y354" s="40" t="s">
        <v>104</v>
      </c>
      <c r="Z354" s="41" t="s">
        <v>104</v>
      </c>
      <c r="AA354" s="41" t="s">
        <v>102</v>
      </c>
      <c r="AB354" s="41" t="s">
        <v>104</v>
      </c>
      <c r="AC354" s="40" t="s">
        <v>604</v>
      </c>
      <c r="AD354" s="41" t="s">
        <v>607</v>
      </c>
      <c r="AE354" s="41" t="s">
        <v>102</v>
      </c>
      <c r="AF354" s="41" t="s">
        <v>881</v>
      </c>
      <c r="AG354" s="41" t="s">
        <v>139</v>
      </c>
      <c r="AH354" s="41" t="s">
        <v>141</v>
      </c>
      <c r="AI354" s="41">
        <v>1</v>
      </c>
      <c r="AJ354" s="41">
        <v>0</v>
      </c>
      <c r="AK354" s="41">
        <v>1</v>
      </c>
      <c r="AL354" s="42">
        <v>945.75</v>
      </c>
      <c r="AM354" s="41" t="s">
        <v>144</v>
      </c>
      <c r="AN354" s="42">
        <v>945.75</v>
      </c>
      <c r="AO354" s="41">
        <v>45920</v>
      </c>
      <c r="AP354" s="41" t="s">
        <v>155</v>
      </c>
      <c r="AR354" s="41" t="s">
        <v>164</v>
      </c>
      <c r="AS354" s="41" t="s">
        <v>170</v>
      </c>
      <c r="AT354" s="41" t="s">
        <v>219</v>
      </c>
      <c r="AU354" s="41" t="s">
        <v>173</v>
      </c>
      <c r="AW354" s="41" t="s">
        <v>171</v>
      </c>
      <c r="AX354" s="41" t="s">
        <v>1785</v>
      </c>
      <c r="AY354" s="41"/>
      <c r="AZ354" s="40" t="s">
        <v>2158</v>
      </c>
      <c r="BA354" s="40"/>
    </row>
    <row r="355" spans="6:53" ht="72.5" x14ac:dyDescent="0.35">
      <c r="F355" s="40" t="s">
        <v>1350</v>
      </c>
      <c r="G355" s="85" t="s">
        <v>850</v>
      </c>
      <c r="H355" s="40" t="s">
        <v>851</v>
      </c>
      <c r="I355" s="41" t="s">
        <v>223</v>
      </c>
      <c r="J355" s="41" t="s">
        <v>804</v>
      </c>
      <c r="K355" s="41" t="s">
        <v>805</v>
      </c>
      <c r="L355" s="40" t="s">
        <v>603</v>
      </c>
      <c r="O355" s="40" t="s">
        <v>104</v>
      </c>
      <c r="P355" s="41" t="s">
        <v>852</v>
      </c>
      <c r="Q355" s="41" t="s">
        <v>104</v>
      </c>
      <c r="R355" s="41" t="s">
        <v>104</v>
      </c>
      <c r="S355" s="40" t="s">
        <v>169</v>
      </c>
      <c r="T355" s="41" t="s">
        <v>853</v>
      </c>
      <c r="U355" s="41" t="s">
        <v>104</v>
      </c>
      <c r="V355" s="41" t="s">
        <v>104</v>
      </c>
      <c r="W355" s="41" t="s">
        <v>104</v>
      </c>
      <c r="X355" s="41" t="s">
        <v>104</v>
      </c>
      <c r="Y355" s="40" t="s">
        <v>104</v>
      </c>
      <c r="Z355" s="41" t="s">
        <v>104</v>
      </c>
      <c r="AA355" s="41" t="s">
        <v>102</v>
      </c>
      <c r="AB355" s="41" t="s">
        <v>104</v>
      </c>
      <c r="AC355" s="40" t="s">
        <v>604</v>
      </c>
      <c r="AD355" s="41" t="s">
        <v>607</v>
      </c>
      <c r="AE355" s="41" t="s">
        <v>102</v>
      </c>
      <c r="AF355" s="41" t="s">
        <v>881</v>
      </c>
      <c r="AG355" s="41" t="s">
        <v>139</v>
      </c>
      <c r="AH355" s="41" t="s">
        <v>141</v>
      </c>
      <c r="AI355" s="41">
        <v>1</v>
      </c>
      <c r="AJ355" s="41">
        <v>0</v>
      </c>
      <c r="AK355" s="41">
        <v>1</v>
      </c>
      <c r="AL355" s="42">
        <v>1122.19</v>
      </c>
      <c r="AM355" s="41" t="s">
        <v>144</v>
      </c>
      <c r="AN355" s="42">
        <v>1122.19</v>
      </c>
      <c r="AO355" s="41">
        <v>45920</v>
      </c>
      <c r="AP355" s="41" t="s">
        <v>155</v>
      </c>
      <c r="AR355" s="41" t="s">
        <v>164</v>
      </c>
      <c r="AS355" s="41" t="s">
        <v>170</v>
      </c>
      <c r="AT355" s="41" t="s">
        <v>219</v>
      </c>
      <c r="AU355" s="41" t="s">
        <v>173</v>
      </c>
      <c r="AW355" s="41" t="s">
        <v>171</v>
      </c>
      <c r="AX355" s="41" t="s">
        <v>1786</v>
      </c>
      <c r="AY355" s="41"/>
      <c r="AZ355" s="40" t="s">
        <v>2158</v>
      </c>
      <c r="BA355" s="40"/>
    </row>
    <row r="356" spans="6:53" ht="72.5" x14ac:dyDescent="0.35">
      <c r="F356" s="40" t="s">
        <v>1351</v>
      </c>
      <c r="G356" s="85" t="s">
        <v>842</v>
      </c>
      <c r="H356" s="40" t="s">
        <v>843</v>
      </c>
      <c r="I356" s="41" t="s">
        <v>223</v>
      </c>
      <c r="J356" s="41" t="s">
        <v>804</v>
      </c>
      <c r="K356" s="41" t="s">
        <v>805</v>
      </c>
      <c r="L356" s="40" t="s">
        <v>603</v>
      </c>
      <c r="O356" s="40" t="s">
        <v>104</v>
      </c>
      <c r="P356" s="41" t="s">
        <v>844</v>
      </c>
      <c r="Q356" s="41" t="s">
        <v>104</v>
      </c>
      <c r="R356" s="41" t="s">
        <v>104</v>
      </c>
      <c r="S356" s="40" t="s">
        <v>169</v>
      </c>
      <c r="T356" s="41" t="s">
        <v>104</v>
      </c>
      <c r="U356" s="41" t="s">
        <v>104</v>
      </c>
      <c r="V356" s="41" t="s">
        <v>104</v>
      </c>
      <c r="W356" s="41" t="s">
        <v>104</v>
      </c>
      <c r="X356" s="41" t="s">
        <v>104</v>
      </c>
      <c r="Y356" s="40" t="s">
        <v>104</v>
      </c>
      <c r="Z356" s="41" t="s">
        <v>104</v>
      </c>
      <c r="AA356" s="41" t="s">
        <v>102</v>
      </c>
      <c r="AB356" s="41" t="s">
        <v>104</v>
      </c>
      <c r="AC356" s="40" t="s">
        <v>604</v>
      </c>
      <c r="AD356" s="41" t="s">
        <v>607</v>
      </c>
      <c r="AE356" s="41" t="s">
        <v>102</v>
      </c>
      <c r="AF356" s="41" t="s">
        <v>882</v>
      </c>
      <c r="AG356" s="41" t="s">
        <v>139</v>
      </c>
      <c r="AH356" s="41" t="s">
        <v>141</v>
      </c>
      <c r="AI356" s="41">
        <v>2</v>
      </c>
      <c r="AJ356" s="41">
        <v>0</v>
      </c>
      <c r="AK356" s="41">
        <v>2</v>
      </c>
      <c r="AL356" s="42">
        <v>285.01</v>
      </c>
      <c r="AM356" s="41" t="s">
        <v>144</v>
      </c>
      <c r="AN356" s="42">
        <v>570.02</v>
      </c>
      <c r="AO356" s="41">
        <v>45920</v>
      </c>
      <c r="AP356" s="41" t="s">
        <v>155</v>
      </c>
      <c r="AR356" s="41" t="s">
        <v>164</v>
      </c>
      <c r="AS356" s="41" t="s">
        <v>170</v>
      </c>
      <c r="AT356" s="41" t="s">
        <v>219</v>
      </c>
      <c r="AU356" s="41" t="s">
        <v>173</v>
      </c>
      <c r="AW356" s="41" t="s">
        <v>171</v>
      </c>
      <c r="AX356" s="41" t="s">
        <v>1787</v>
      </c>
      <c r="AY356" s="41"/>
      <c r="AZ356" s="40" t="s">
        <v>2158</v>
      </c>
      <c r="BA356" s="40" t="s">
        <v>2160</v>
      </c>
    </row>
    <row r="357" spans="6:53" ht="72.5" x14ac:dyDescent="0.35">
      <c r="F357" s="40" t="s">
        <v>1352</v>
      </c>
      <c r="G357" s="85" t="s">
        <v>846</v>
      </c>
      <c r="H357" s="40" t="s">
        <v>847</v>
      </c>
      <c r="I357" s="41" t="s">
        <v>223</v>
      </c>
      <c r="J357" s="41" t="s">
        <v>804</v>
      </c>
      <c r="K357" s="41" t="s">
        <v>805</v>
      </c>
      <c r="L357" s="40" t="s">
        <v>603</v>
      </c>
      <c r="O357" s="40" t="s">
        <v>104</v>
      </c>
      <c r="P357" s="41" t="s">
        <v>848</v>
      </c>
      <c r="Q357" s="41" t="s">
        <v>104</v>
      </c>
      <c r="R357" s="41" t="s">
        <v>104</v>
      </c>
      <c r="S357" s="40" t="s">
        <v>169</v>
      </c>
      <c r="T357" s="41" t="s">
        <v>849</v>
      </c>
      <c r="U357" s="41" t="s">
        <v>104</v>
      </c>
      <c r="V357" s="41" t="s">
        <v>107</v>
      </c>
      <c r="W357" s="41" t="s">
        <v>112</v>
      </c>
      <c r="X357" s="41" t="s">
        <v>104</v>
      </c>
      <c r="Y357" s="40" t="s">
        <v>104</v>
      </c>
      <c r="Z357" s="41" t="s">
        <v>104</v>
      </c>
      <c r="AA357" s="41" t="s">
        <v>102</v>
      </c>
      <c r="AB357" s="41" t="s">
        <v>104</v>
      </c>
      <c r="AC357" s="40" t="s">
        <v>604</v>
      </c>
      <c r="AD357" s="41" t="s">
        <v>607</v>
      </c>
      <c r="AE357" s="41" t="s">
        <v>102</v>
      </c>
      <c r="AF357" s="41" t="s">
        <v>882</v>
      </c>
      <c r="AG357" s="41" t="s">
        <v>139</v>
      </c>
      <c r="AH357" s="41" t="s">
        <v>141</v>
      </c>
      <c r="AI357" s="41">
        <v>1</v>
      </c>
      <c r="AJ357" s="41">
        <v>0</v>
      </c>
      <c r="AK357" s="41">
        <v>1</v>
      </c>
      <c r="AL357" s="42">
        <v>945.75</v>
      </c>
      <c r="AM357" s="41" t="s">
        <v>144</v>
      </c>
      <c r="AN357" s="42">
        <v>945.75</v>
      </c>
      <c r="AO357" s="41">
        <v>45920</v>
      </c>
      <c r="AP357" s="41" t="s">
        <v>155</v>
      </c>
      <c r="AR357" s="41" t="s">
        <v>164</v>
      </c>
      <c r="AS357" s="41" t="s">
        <v>170</v>
      </c>
      <c r="AT357" s="41" t="s">
        <v>219</v>
      </c>
      <c r="AU357" s="41" t="s">
        <v>173</v>
      </c>
      <c r="AW357" s="41" t="s">
        <v>171</v>
      </c>
      <c r="AX357" s="41" t="s">
        <v>1788</v>
      </c>
      <c r="AY357" s="41"/>
      <c r="AZ357" s="40" t="s">
        <v>2158</v>
      </c>
      <c r="BA357" s="40"/>
    </row>
    <row r="358" spans="6:53" ht="72.5" x14ac:dyDescent="0.35">
      <c r="F358" s="40" t="s">
        <v>1353</v>
      </c>
      <c r="G358" s="85" t="s">
        <v>850</v>
      </c>
      <c r="H358" s="40" t="s">
        <v>851</v>
      </c>
      <c r="I358" s="41" t="s">
        <v>223</v>
      </c>
      <c r="J358" s="41" t="s">
        <v>804</v>
      </c>
      <c r="K358" s="41" t="s">
        <v>805</v>
      </c>
      <c r="L358" s="40" t="s">
        <v>603</v>
      </c>
      <c r="O358" s="40" t="s">
        <v>104</v>
      </c>
      <c r="P358" s="41" t="s">
        <v>852</v>
      </c>
      <c r="Q358" s="41" t="s">
        <v>104</v>
      </c>
      <c r="R358" s="41" t="s">
        <v>104</v>
      </c>
      <c r="S358" s="40" t="s">
        <v>169</v>
      </c>
      <c r="T358" s="41" t="s">
        <v>853</v>
      </c>
      <c r="U358" s="41" t="s">
        <v>104</v>
      </c>
      <c r="V358" s="41" t="s">
        <v>104</v>
      </c>
      <c r="W358" s="41" t="s">
        <v>104</v>
      </c>
      <c r="X358" s="41" t="s">
        <v>104</v>
      </c>
      <c r="Y358" s="40" t="s">
        <v>104</v>
      </c>
      <c r="Z358" s="41" t="s">
        <v>104</v>
      </c>
      <c r="AA358" s="41" t="s">
        <v>102</v>
      </c>
      <c r="AB358" s="41" t="s">
        <v>104</v>
      </c>
      <c r="AC358" s="40" t="s">
        <v>604</v>
      </c>
      <c r="AD358" s="41" t="s">
        <v>607</v>
      </c>
      <c r="AE358" s="41" t="s">
        <v>102</v>
      </c>
      <c r="AF358" s="41" t="s">
        <v>882</v>
      </c>
      <c r="AG358" s="41" t="s">
        <v>139</v>
      </c>
      <c r="AH358" s="41" t="s">
        <v>141</v>
      </c>
      <c r="AI358" s="41">
        <v>1</v>
      </c>
      <c r="AJ358" s="41">
        <v>0</v>
      </c>
      <c r="AK358" s="41">
        <v>1</v>
      </c>
      <c r="AL358" s="42">
        <v>1122.19</v>
      </c>
      <c r="AM358" s="41" t="s">
        <v>144</v>
      </c>
      <c r="AN358" s="42">
        <v>1122.19</v>
      </c>
      <c r="AO358" s="41">
        <v>45920</v>
      </c>
      <c r="AP358" s="41" t="s">
        <v>155</v>
      </c>
      <c r="AR358" s="41" t="s">
        <v>164</v>
      </c>
      <c r="AS358" s="41" t="s">
        <v>170</v>
      </c>
      <c r="AT358" s="41" t="s">
        <v>219</v>
      </c>
      <c r="AU358" s="41" t="s">
        <v>173</v>
      </c>
      <c r="AW358" s="41" t="s">
        <v>171</v>
      </c>
      <c r="AX358" s="41" t="s">
        <v>1789</v>
      </c>
      <c r="AY358" s="41"/>
      <c r="AZ358" s="40" t="s">
        <v>2158</v>
      </c>
      <c r="BA358" s="40"/>
    </row>
    <row r="359" spans="6:53" ht="72.5" x14ac:dyDescent="0.35">
      <c r="F359" s="40" t="s">
        <v>1354</v>
      </c>
      <c r="G359" s="85" t="s">
        <v>842</v>
      </c>
      <c r="H359" s="40" t="s">
        <v>843</v>
      </c>
      <c r="I359" s="41" t="s">
        <v>223</v>
      </c>
      <c r="J359" s="41" t="s">
        <v>804</v>
      </c>
      <c r="K359" s="41" t="s">
        <v>805</v>
      </c>
      <c r="L359" s="40" t="s">
        <v>603</v>
      </c>
      <c r="O359" s="40" t="s">
        <v>104</v>
      </c>
      <c r="P359" s="41" t="s">
        <v>844</v>
      </c>
      <c r="Q359" s="41" t="s">
        <v>104</v>
      </c>
      <c r="R359" s="41" t="s">
        <v>104</v>
      </c>
      <c r="S359" s="40" t="s">
        <v>169</v>
      </c>
      <c r="T359" s="41" t="s">
        <v>104</v>
      </c>
      <c r="U359" s="41" t="s">
        <v>104</v>
      </c>
      <c r="V359" s="41" t="s">
        <v>104</v>
      </c>
      <c r="W359" s="41" t="s">
        <v>104</v>
      </c>
      <c r="X359" s="41" t="s">
        <v>104</v>
      </c>
      <c r="Y359" s="40" t="s">
        <v>104</v>
      </c>
      <c r="Z359" s="41" t="s">
        <v>104</v>
      </c>
      <c r="AA359" s="41" t="s">
        <v>102</v>
      </c>
      <c r="AB359" s="41" t="s">
        <v>104</v>
      </c>
      <c r="AC359" s="40" t="s">
        <v>604</v>
      </c>
      <c r="AD359" s="41" t="s">
        <v>607</v>
      </c>
      <c r="AE359" s="41" t="s">
        <v>102</v>
      </c>
      <c r="AF359" s="41" t="s">
        <v>883</v>
      </c>
      <c r="AG359" s="41" t="s">
        <v>139</v>
      </c>
      <c r="AH359" s="41" t="s">
        <v>141</v>
      </c>
      <c r="AI359" s="41">
        <v>2</v>
      </c>
      <c r="AJ359" s="41">
        <v>0</v>
      </c>
      <c r="AK359" s="41">
        <v>2</v>
      </c>
      <c r="AL359" s="42">
        <v>285.01</v>
      </c>
      <c r="AM359" s="41" t="s">
        <v>144</v>
      </c>
      <c r="AN359" s="42">
        <v>570.02</v>
      </c>
      <c r="AO359" s="41">
        <v>45920</v>
      </c>
      <c r="AP359" s="41" t="s">
        <v>155</v>
      </c>
      <c r="AR359" s="41" t="s">
        <v>164</v>
      </c>
      <c r="AS359" s="41" t="s">
        <v>170</v>
      </c>
      <c r="AT359" s="41" t="s">
        <v>219</v>
      </c>
      <c r="AU359" s="41" t="s">
        <v>173</v>
      </c>
      <c r="AW359" s="41" t="s">
        <v>171</v>
      </c>
      <c r="AX359" s="41" t="s">
        <v>1790</v>
      </c>
      <c r="AY359" s="41"/>
      <c r="AZ359" s="40" t="s">
        <v>2158</v>
      </c>
      <c r="BA359" s="40" t="s">
        <v>2160</v>
      </c>
    </row>
    <row r="360" spans="6:53" ht="72.5" x14ac:dyDescent="0.35">
      <c r="F360" s="40" t="s">
        <v>1355</v>
      </c>
      <c r="G360" s="85" t="s">
        <v>846</v>
      </c>
      <c r="H360" s="40" t="s">
        <v>847</v>
      </c>
      <c r="I360" s="41" t="s">
        <v>223</v>
      </c>
      <c r="J360" s="41" t="s">
        <v>804</v>
      </c>
      <c r="K360" s="41" t="s">
        <v>805</v>
      </c>
      <c r="L360" s="40" t="s">
        <v>603</v>
      </c>
      <c r="O360" s="40" t="s">
        <v>104</v>
      </c>
      <c r="P360" s="41" t="s">
        <v>848</v>
      </c>
      <c r="Q360" s="41" t="s">
        <v>104</v>
      </c>
      <c r="R360" s="41" t="s">
        <v>104</v>
      </c>
      <c r="S360" s="40" t="s">
        <v>169</v>
      </c>
      <c r="T360" s="41" t="s">
        <v>849</v>
      </c>
      <c r="U360" s="41" t="s">
        <v>104</v>
      </c>
      <c r="V360" s="41" t="s">
        <v>107</v>
      </c>
      <c r="W360" s="41" t="s">
        <v>112</v>
      </c>
      <c r="X360" s="41" t="s">
        <v>104</v>
      </c>
      <c r="Y360" s="40" t="s">
        <v>104</v>
      </c>
      <c r="Z360" s="41" t="s">
        <v>104</v>
      </c>
      <c r="AA360" s="41" t="s">
        <v>102</v>
      </c>
      <c r="AB360" s="41" t="s">
        <v>104</v>
      </c>
      <c r="AC360" s="40" t="s">
        <v>604</v>
      </c>
      <c r="AD360" s="41" t="s">
        <v>607</v>
      </c>
      <c r="AE360" s="41" t="s">
        <v>102</v>
      </c>
      <c r="AF360" s="41" t="s">
        <v>883</v>
      </c>
      <c r="AG360" s="41" t="s">
        <v>139</v>
      </c>
      <c r="AH360" s="41" t="s">
        <v>141</v>
      </c>
      <c r="AI360" s="41">
        <v>1</v>
      </c>
      <c r="AJ360" s="41">
        <v>0</v>
      </c>
      <c r="AK360" s="41">
        <v>1</v>
      </c>
      <c r="AL360" s="42">
        <v>945.75</v>
      </c>
      <c r="AM360" s="41" t="s">
        <v>144</v>
      </c>
      <c r="AN360" s="42">
        <v>945.75</v>
      </c>
      <c r="AO360" s="41">
        <v>45920</v>
      </c>
      <c r="AP360" s="41" t="s">
        <v>155</v>
      </c>
      <c r="AR360" s="41" t="s">
        <v>164</v>
      </c>
      <c r="AS360" s="41" t="s">
        <v>170</v>
      </c>
      <c r="AT360" s="41" t="s">
        <v>219</v>
      </c>
      <c r="AU360" s="41" t="s">
        <v>173</v>
      </c>
      <c r="AW360" s="41" t="s">
        <v>171</v>
      </c>
      <c r="AX360" s="41" t="s">
        <v>1791</v>
      </c>
      <c r="AY360" s="41"/>
      <c r="AZ360" s="40" t="s">
        <v>2158</v>
      </c>
      <c r="BA360" s="40"/>
    </row>
    <row r="361" spans="6:53" ht="72.5" x14ac:dyDescent="0.35">
      <c r="F361" s="40" t="s">
        <v>1356</v>
      </c>
      <c r="G361" s="85" t="s">
        <v>850</v>
      </c>
      <c r="H361" s="40" t="s">
        <v>851</v>
      </c>
      <c r="I361" s="41" t="s">
        <v>223</v>
      </c>
      <c r="J361" s="41" t="s">
        <v>804</v>
      </c>
      <c r="K361" s="41" t="s">
        <v>805</v>
      </c>
      <c r="L361" s="40" t="s">
        <v>603</v>
      </c>
      <c r="O361" s="40" t="s">
        <v>104</v>
      </c>
      <c r="P361" s="41" t="s">
        <v>852</v>
      </c>
      <c r="Q361" s="41" t="s">
        <v>104</v>
      </c>
      <c r="R361" s="41" t="s">
        <v>104</v>
      </c>
      <c r="S361" s="40" t="s">
        <v>169</v>
      </c>
      <c r="T361" s="41" t="s">
        <v>853</v>
      </c>
      <c r="U361" s="41" t="s">
        <v>104</v>
      </c>
      <c r="V361" s="41" t="s">
        <v>104</v>
      </c>
      <c r="W361" s="41" t="s">
        <v>104</v>
      </c>
      <c r="X361" s="41" t="s">
        <v>104</v>
      </c>
      <c r="Y361" s="40" t="s">
        <v>104</v>
      </c>
      <c r="Z361" s="41" t="s">
        <v>104</v>
      </c>
      <c r="AA361" s="41" t="s">
        <v>102</v>
      </c>
      <c r="AB361" s="41" t="s">
        <v>104</v>
      </c>
      <c r="AC361" s="40" t="s">
        <v>604</v>
      </c>
      <c r="AD361" s="41" t="s">
        <v>607</v>
      </c>
      <c r="AE361" s="41" t="s">
        <v>102</v>
      </c>
      <c r="AF361" s="41" t="s">
        <v>883</v>
      </c>
      <c r="AG361" s="41" t="s">
        <v>139</v>
      </c>
      <c r="AH361" s="41" t="s">
        <v>141</v>
      </c>
      <c r="AI361" s="41">
        <v>1</v>
      </c>
      <c r="AJ361" s="41">
        <v>0</v>
      </c>
      <c r="AK361" s="41">
        <v>1</v>
      </c>
      <c r="AL361" s="42">
        <v>1122.19</v>
      </c>
      <c r="AM361" s="41" t="s">
        <v>144</v>
      </c>
      <c r="AN361" s="42">
        <v>1122.19</v>
      </c>
      <c r="AO361" s="41">
        <v>45920</v>
      </c>
      <c r="AP361" s="41" t="s">
        <v>155</v>
      </c>
      <c r="AR361" s="41" t="s">
        <v>164</v>
      </c>
      <c r="AS361" s="41" t="s">
        <v>170</v>
      </c>
      <c r="AT361" s="41" t="s">
        <v>219</v>
      </c>
      <c r="AU361" s="41" t="s">
        <v>173</v>
      </c>
      <c r="AW361" s="41" t="s">
        <v>171</v>
      </c>
      <c r="AX361" s="41" t="s">
        <v>1792</v>
      </c>
      <c r="AY361" s="41"/>
      <c r="AZ361" s="40" t="s">
        <v>2158</v>
      </c>
      <c r="BA361" s="40"/>
    </row>
    <row r="362" spans="6:53" ht="72.5" x14ac:dyDescent="0.35">
      <c r="F362" s="40" t="s">
        <v>1357</v>
      </c>
      <c r="G362" s="85" t="s">
        <v>842</v>
      </c>
      <c r="H362" s="40" t="s">
        <v>843</v>
      </c>
      <c r="I362" s="41" t="s">
        <v>223</v>
      </c>
      <c r="J362" s="41" t="s">
        <v>804</v>
      </c>
      <c r="K362" s="41" t="s">
        <v>805</v>
      </c>
      <c r="L362" s="40" t="s">
        <v>603</v>
      </c>
      <c r="O362" s="40" t="s">
        <v>104</v>
      </c>
      <c r="P362" s="41" t="s">
        <v>844</v>
      </c>
      <c r="Q362" s="41" t="s">
        <v>104</v>
      </c>
      <c r="R362" s="41" t="s">
        <v>104</v>
      </c>
      <c r="S362" s="40" t="s">
        <v>169</v>
      </c>
      <c r="T362" s="41" t="s">
        <v>104</v>
      </c>
      <c r="U362" s="41" t="s">
        <v>104</v>
      </c>
      <c r="V362" s="41" t="s">
        <v>104</v>
      </c>
      <c r="W362" s="41" t="s">
        <v>104</v>
      </c>
      <c r="X362" s="41" t="s">
        <v>104</v>
      </c>
      <c r="Y362" s="40" t="s">
        <v>104</v>
      </c>
      <c r="Z362" s="41" t="s">
        <v>104</v>
      </c>
      <c r="AA362" s="41" t="s">
        <v>102</v>
      </c>
      <c r="AB362" s="41" t="s">
        <v>104</v>
      </c>
      <c r="AC362" s="40" t="s">
        <v>604</v>
      </c>
      <c r="AD362" s="41" t="s">
        <v>607</v>
      </c>
      <c r="AE362" s="41" t="s">
        <v>102</v>
      </c>
      <c r="AF362" s="41" t="s">
        <v>884</v>
      </c>
      <c r="AG362" s="41" t="s">
        <v>139</v>
      </c>
      <c r="AH362" s="41" t="s">
        <v>141</v>
      </c>
      <c r="AI362" s="41">
        <v>2</v>
      </c>
      <c r="AJ362" s="41">
        <v>0</v>
      </c>
      <c r="AK362" s="41">
        <v>2</v>
      </c>
      <c r="AL362" s="42">
        <v>285.01</v>
      </c>
      <c r="AM362" s="41" t="s">
        <v>144</v>
      </c>
      <c r="AN362" s="42">
        <v>570.02</v>
      </c>
      <c r="AO362" s="41">
        <v>45920</v>
      </c>
      <c r="AP362" s="41" t="s">
        <v>155</v>
      </c>
      <c r="AR362" s="41" t="s">
        <v>164</v>
      </c>
      <c r="AS362" s="41" t="s">
        <v>170</v>
      </c>
      <c r="AT362" s="41" t="s">
        <v>219</v>
      </c>
      <c r="AU362" s="41" t="s">
        <v>173</v>
      </c>
      <c r="AW362" s="41" t="s">
        <v>171</v>
      </c>
      <c r="AX362" s="41" t="s">
        <v>1793</v>
      </c>
      <c r="AY362" s="41"/>
      <c r="AZ362" s="40" t="s">
        <v>2158</v>
      </c>
      <c r="BA362" s="40" t="s">
        <v>2160</v>
      </c>
    </row>
    <row r="363" spans="6:53" ht="72.5" x14ac:dyDescent="0.35">
      <c r="F363" s="40" t="s">
        <v>1358</v>
      </c>
      <c r="G363" s="85" t="s">
        <v>846</v>
      </c>
      <c r="H363" s="40" t="s">
        <v>847</v>
      </c>
      <c r="I363" s="41" t="s">
        <v>223</v>
      </c>
      <c r="J363" s="41" t="s">
        <v>804</v>
      </c>
      <c r="K363" s="41" t="s">
        <v>805</v>
      </c>
      <c r="L363" s="40" t="s">
        <v>603</v>
      </c>
      <c r="O363" s="40" t="s">
        <v>104</v>
      </c>
      <c r="P363" s="41" t="s">
        <v>848</v>
      </c>
      <c r="Q363" s="41" t="s">
        <v>104</v>
      </c>
      <c r="R363" s="41" t="s">
        <v>104</v>
      </c>
      <c r="S363" s="40" t="s">
        <v>169</v>
      </c>
      <c r="T363" s="41" t="s">
        <v>849</v>
      </c>
      <c r="U363" s="41" t="s">
        <v>104</v>
      </c>
      <c r="V363" s="41" t="s">
        <v>107</v>
      </c>
      <c r="W363" s="41" t="s">
        <v>112</v>
      </c>
      <c r="X363" s="41" t="s">
        <v>104</v>
      </c>
      <c r="Y363" s="40" t="s">
        <v>104</v>
      </c>
      <c r="Z363" s="41" t="s">
        <v>104</v>
      </c>
      <c r="AA363" s="41" t="s">
        <v>102</v>
      </c>
      <c r="AB363" s="41" t="s">
        <v>104</v>
      </c>
      <c r="AC363" s="40" t="s">
        <v>604</v>
      </c>
      <c r="AD363" s="41" t="s">
        <v>607</v>
      </c>
      <c r="AE363" s="41" t="s">
        <v>102</v>
      </c>
      <c r="AF363" s="41" t="s">
        <v>884</v>
      </c>
      <c r="AG363" s="41" t="s">
        <v>139</v>
      </c>
      <c r="AH363" s="41" t="s">
        <v>141</v>
      </c>
      <c r="AI363" s="41">
        <v>1</v>
      </c>
      <c r="AJ363" s="41">
        <v>0</v>
      </c>
      <c r="AK363" s="41">
        <v>1</v>
      </c>
      <c r="AL363" s="42">
        <v>945.75</v>
      </c>
      <c r="AM363" s="41" t="s">
        <v>144</v>
      </c>
      <c r="AN363" s="42">
        <v>945.75</v>
      </c>
      <c r="AO363" s="41">
        <v>45920</v>
      </c>
      <c r="AP363" s="41" t="s">
        <v>155</v>
      </c>
      <c r="AR363" s="41" t="s">
        <v>164</v>
      </c>
      <c r="AS363" s="41" t="s">
        <v>170</v>
      </c>
      <c r="AT363" s="41" t="s">
        <v>219</v>
      </c>
      <c r="AU363" s="41" t="s">
        <v>173</v>
      </c>
      <c r="AW363" s="41" t="s">
        <v>171</v>
      </c>
      <c r="AX363" s="41" t="s">
        <v>1794</v>
      </c>
      <c r="AY363" s="41"/>
      <c r="AZ363" s="40" t="s">
        <v>2158</v>
      </c>
      <c r="BA363" s="40"/>
    </row>
    <row r="364" spans="6:53" ht="72.5" x14ac:dyDescent="0.35">
      <c r="F364" s="40" t="s">
        <v>1359</v>
      </c>
      <c r="G364" s="85" t="s">
        <v>850</v>
      </c>
      <c r="H364" s="40" t="s">
        <v>851</v>
      </c>
      <c r="I364" s="41" t="s">
        <v>223</v>
      </c>
      <c r="J364" s="41" t="s">
        <v>804</v>
      </c>
      <c r="K364" s="41" t="s">
        <v>805</v>
      </c>
      <c r="L364" s="40" t="s">
        <v>603</v>
      </c>
      <c r="O364" s="40" t="s">
        <v>104</v>
      </c>
      <c r="P364" s="41" t="s">
        <v>852</v>
      </c>
      <c r="Q364" s="41" t="s">
        <v>104</v>
      </c>
      <c r="R364" s="41" t="s">
        <v>104</v>
      </c>
      <c r="S364" s="40" t="s">
        <v>169</v>
      </c>
      <c r="T364" s="41" t="s">
        <v>853</v>
      </c>
      <c r="U364" s="41" t="s">
        <v>104</v>
      </c>
      <c r="V364" s="41" t="s">
        <v>104</v>
      </c>
      <c r="W364" s="41" t="s">
        <v>104</v>
      </c>
      <c r="X364" s="41" t="s">
        <v>104</v>
      </c>
      <c r="Y364" s="40" t="s">
        <v>104</v>
      </c>
      <c r="Z364" s="41" t="s">
        <v>104</v>
      </c>
      <c r="AA364" s="41" t="s">
        <v>102</v>
      </c>
      <c r="AB364" s="41" t="s">
        <v>104</v>
      </c>
      <c r="AC364" s="40" t="s">
        <v>604</v>
      </c>
      <c r="AD364" s="41" t="s">
        <v>607</v>
      </c>
      <c r="AE364" s="41" t="s">
        <v>102</v>
      </c>
      <c r="AF364" s="41" t="s">
        <v>884</v>
      </c>
      <c r="AG364" s="41" t="s">
        <v>139</v>
      </c>
      <c r="AH364" s="41" t="s">
        <v>141</v>
      </c>
      <c r="AI364" s="41">
        <v>1</v>
      </c>
      <c r="AJ364" s="41">
        <v>0</v>
      </c>
      <c r="AK364" s="41">
        <v>1</v>
      </c>
      <c r="AL364" s="42">
        <v>1122.19</v>
      </c>
      <c r="AM364" s="41" t="s">
        <v>144</v>
      </c>
      <c r="AN364" s="42">
        <v>1122.19</v>
      </c>
      <c r="AO364" s="41">
        <v>45920</v>
      </c>
      <c r="AP364" s="41" t="s">
        <v>155</v>
      </c>
      <c r="AR364" s="41" t="s">
        <v>164</v>
      </c>
      <c r="AS364" s="41" t="s">
        <v>170</v>
      </c>
      <c r="AT364" s="41" t="s">
        <v>219</v>
      </c>
      <c r="AU364" s="41" t="s">
        <v>173</v>
      </c>
      <c r="AW364" s="41" t="s">
        <v>171</v>
      </c>
      <c r="AX364" s="41" t="s">
        <v>1795</v>
      </c>
      <c r="AY364" s="41"/>
      <c r="AZ364" s="40" t="s">
        <v>2158</v>
      </c>
      <c r="BA364" s="40"/>
    </row>
    <row r="365" spans="6:53" ht="72.5" x14ac:dyDescent="0.35">
      <c r="F365" s="40" t="s">
        <v>1360</v>
      </c>
      <c r="G365" s="85" t="s">
        <v>842</v>
      </c>
      <c r="H365" s="40" t="s">
        <v>843</v>
      </c>
      <c r="I365" s="41" t="s">
        <v>223</v>
      </c>
      <c r="J365" s="41" t="s">
        <v>804</v>
      </c>
      <c r="K365" s="41" t="s">
        <v>805</v>
      </c>
      <c r="L365" s="40" t="s">
        <v>603</v>
      </c>
      <c r="O365" s="40" t="s">
        <v>104</v>
      </c>
      <c r="P365" s="41" t="s">
        <v>844</v>
      </c>
      <c r="Q365" s="41" t="s">
        <v>104</v>
      </c>
      <c r="R365" s="41" t="s">
        <v>104</v>
      </c>
      <c r="S365" s="40" t="s">
        <v>169</v>
      </c>
      <c r="T365" s="41" t="s">
        <v>104</v>
      </c>
      <c r="U365" s="41" t="s">
        <v>104</v>
      </c>
      <c r="V365" s="41" t="s">
        <v>104</v>
      </c>
      <c r="W365" s="41" t="s">
        <v>104</v>
      </c>
      <c r="X365" s="41" t="s">
        <v>104</v>
      </c>
      <c r="Y365" s="40" t="s">
        <v>104</v>
      </c>
      <c r="Z365" s="41" t="s">
        <v>104</v>
      </c>
      <c r="AA365" s="41" t="s">
        <v>102</v>
      </c>
      <c r="AB365" s="41" t="s">
        <v>104</v>
      </c>
      <c r="AC365" s="40" t="s">
        <v>604</v>
      </c>
      <c r="AD365" s="41" t="s">
        <v>607</v>
      </c>
      <c r="AE365" s="41" t="s">
        <v>102</v>
      </c>
      <c r="AF365" s="41" t="s">
        <v>885</v>
      </c>
      <c r="AG365" s="41" t="s">
        <v>139</v>
      </c>
      <c r="AH365" s="41" t="s">
        <v>141</v>
      </c>
      <c r="AI365" s="41">
        <v>4</v>
      </c>
      <c r="AJ365" s="41">
        <v>0</v>
      </c>
      <c r="AK365" s="41">
        <v>4</v>
      </c>
      <c r="AL365" s="42">
        <v>285.01</v>
      </c>
      <c r="AM365" s="41" t="s">
        <v>144</v>
      </c>
      <c r="AN365" s="42">
        <v>1140.04</v>
      </c>
      <c r="AO365" s="41">
        <v>45920</v>
      </c>
      <c r="AP365" s="41" t="s">
        <v>155</v>
      </c>
      <c r="AR365" s="41" t="s">
        <v>164</v>
      </c>
      <c r="AS365" s="41" t="s">
        <v>170</v>
      </c>
      <c r="AT365" s="41" t="s">
        <v>219</v>
      </c>
      <c r="AU365" s="41" t="s">
        <v>173</v>
      </c>
      <c r="AW365" s="41" t="s">
        <v>171</v>
      </c>
      <c r="AX365" s="41" t="s">
        <v>1796</v>
      </c>
      <c r="AY365" s="41"/>
      <c r="AZ365" s="40" t="s">
        <v>2158</v>
      </c>
      <c r="BA365" s="40" t="s">
        <v>2160</v>
      </c>
    </row>
    <row r="366" spans="6:53" ht="72.5" x14ac:dyDescent="0.35">
      <c r="F366" s="40" t="s">
        <v>1361</v>
      </c>
      <c r="G366" s="85" t="s">
        <v>846</v>
      </c>
      <c r="H366" s="40" t="s">
        <v>847</v>
      </c>
      <c r="I366" s="41" t="s">
        <v>223</v>
      </c>
      <c r="J366" s="41" t="s">
        <v>804</v>
      </c>
      <c r="K366" s="41" t="s">
        <v>805</v>
      </c>
      <c r="L366" s="40" t="s">
        <v>603</v>
      </c>
      <c r="O366" s="40" t="s">
        <v>104</v>
      </c>
      <c r="P366" s="41" t="s">
        <v>848</v>
      </c>
      <c r="Q366" s="41" t="s">
        <v>104</v>
      </c>
      <c r="R366" s="41" t="s">
        <v>104</v>
      </c>
      <c r="S366" s="40" t="s">
        <v>169</v>
      </c>
      <c r="T366" s="41" t="s">
        <v>849</v>
      </c>
      <c r="U366" s="41" t="s">
        <v>104</v>
      </c>
      <c r="V366" s="41" t="s">
        <v>107</v>
      </c>
      <c r="W366" s="41" t="s">
        <v>112</v>
      </c>
      <c r="X366" s="41" t="s">
        <v>104</v>
      </c>
      <c r="Y366" s="40" t="s">
        <v>104</v>
      </c>
      <c r="Z366" s="41" t="s">
        <v>104</v>
      </c>
      <c r="AA366" s="41" t="s">
        <v>102</v>
      </c>
      <c r="AB366" s="41" t="s">
        <v>104</v>
      </c>
      <c r="AC366" s="40" t="s">
        <v>604</v>
      </c>
      <c r="AD366" s="41" t="s">
        <v>607</v>
      </c>
      <c r="AE366" s="41" t="s">
        <v>102</v>
      </c>
      <c r="AF366" s="41" t="s">
        <v>885</v>
      </c>
      <c r="AG366" s="41" t="s">
        <v>139</v>
      </c>
      <c r="AH366" s="41" t="s">
        <v>141</v>
      </c>
      <c r="AI366" s="41">
        <v>1</v>
      </c>
      <c r="AJ366" s="41">
        <v>0</v>
      </c>
      <c r="AK366" s="41">
        <v>1</v>
      </c>
      <c r="AL366" s="42">
        <v>945.75</v>
      </c>
      <c r="AM366" s="41" t="s">
        <v>144</v>
      </c>
      <c r="AN366" s="42">
        <v>945.75</v>
      </c>
      <c r="AO366" s="41">
        <v>45920</v>
      </c>
      <c r="AP366" s="41" t="s">
        <v>155</v>
      </c>
      <c r="AR366" s="41" t="s">
        <v>164</v>
      </c>
      <c r="AS366" s="41" t="s">
        <v>170</v>
      </c>
      <c r="AT366" s="41" t="s">
        <v>219</v>
      </c>
      <c r="AU366" s="41" t="s">
        <v>173</v>
      </c>
      <c r="AW366" s="41" t="s">
        <v>171</v>
      </c>
      <c r="AX366" s="41" t="s">
        <v>1797</v>
      </c>
      <c r="AY366" s="41"/>
      <c r="AZ366" s="40" t="s">
        <v>2158</v>
      </c>
      <c r="BA366" s="40"/>
    </row>
    <row r="367" spans="6:53" ht="72.5" x14ac:dyDescent="0.35">
      <c r="F367" s="40" t="s">
        <v>1362</v>
      </c>
      <c r="G367" s="85" t="s">
        <v>850</v>
      </c>
      <c r="H367" s="40" t="s">
        <v>851</v>
      </c>
      <c r="I367" s="41" t="s">
        <v>223</v>
      </c>
      <c r="J367" s="41" t="s">
        <v>804</v>
      </c>
      <c r="K367" s="41" t="s">
        <v>805</v>
      </c>
      <c r="L367" s="40" t="s">
        <v>603</v>
      </c>
      <c r="O367" s="40" t="s">
        <v>104</v>
      </c>
      <c r="P367" s="41" t="s">
        <v>852</v>
      </c>
      <c r="Q367" s="41" t="s">
        <v>104</v>
      </c>
      <c r="R367" s="41" t="s">
        <v>104</v>
      </c>
      <c r="S367" s="40" t="s">
        <v>169</v>
      </c>
      <c r="T367" s="41" t="s">
        <v>853</v>
      </c>
      <c r="U367" s="41" t="s">
        <v>104</v>
      </c>
      <c r="V367" s="41" t="s">
        <v>104</v>
      </c>
      <c r="W367" s="41" t="s">
        <v>104</v>
      </c>
      <c r="X367" s="41" t="s">
        <v>104</v>
      </c>
      <c r="Y367" s="40" t="s">
        <v>104</v>
      </c>
      <c r="Z367" s="41" t="s">
        <v>104</v>
      </c>
      <c r="AA367" s="41" t="s">
        <v>102</v>
      </c>
      <c r="AB367" s="41" t="s">
        <v>104</v>
      </c>
      <c r="AC367" s="40" t="s">
        <v>604</v>
      </c>
      <c r="AD367" s="41" t="s">
        <v>607</v>
      </c>
      <c r="AE367" s="41" t="s">
        <v>102</v>
      </c>
      <c r="AF367" s="41" t="s">
        <v>885</v>
      </c>
      <c r="AG367" s="41" t="s">
        <v>139</v>
      </c>
      <c r="AH367" s="41" t="s">
        <v>141</v>
      </c>
      <c r="AI367" s="41">
        <v>1</v>
      </c>
      <c r="AJ367" s="41">
        <v>0</v>
      </c>
      <c r="AK367" s="41">
        <v>1</v>
      </c>
      <c r="AL367" s="42">
        <v>1122.19</v>
      </c>
      <c r="AM367" s="41" t="s">
        <v>144</v>
      </c>
      <c r="AN367" s="42">
        <v>1122.19</v>
      </c>
      <c r="AO367" s="41">
        <v>45920</v>
      </c>
      <c r="AP367" s="41" t="s">
        <v>155</v>
      </c>
      <c r="AR367" s="41" t="s">
        <v>164</v>
      </c>
      <c r="AS367" s="41" t="s">
        <v>170</v>
      </c>
      <c r="AT367" s="41" t="s">
        <v>219</v>
      </c>
      <c r="AU367" s="41" t="s">
        <v>173</v>
      </c>
      <c r="AW367" s="41" t="s">
        <v>171</v>
      </c>
      <c r="AX367" s="41" t="s">
        <v>1798</v>
      </c>
      <c r="AY367" s="41"/>
      <c r="AZ367" s="40" t="s">
        <v>2158</v>
      </c>
      <c r="BA367" s="40"/>
    </row>
    <row r="368" spans="6:53" ht="72.5" x14ac:dyDescent="0.35">
      <c r="F368" s="40" t="s">
        <v>1363</v>
      </c>
      <c r="G368" s="85" t="s">
        <v>854</v>
      </c>
      <c r="H368" s="40" t="s">
        <v>855</v>
      </c>
      <c r="I368" s="41" t="s">
        <v>223</v>
      </c>
      <c r="J368" s="41" t="s">
        <v>804</v>
      </c>
      <c r="K368" s="41" t="s">
        <v>805</v>
      </c>
      <c r="L368" s="40" t="s">
        <v>603</v>
      </c>
      <c r="O368" s="40" t="s">
        <v>104</v>
      </c>
      <c r="P368" s="41" t="s">
        <v>856</v>
      </c>
      <c r="Q368" s="41" t="s">
        <v>104</v>
      </c>
      <c r="R368" s="41" t="s">
        <v>104</v>
      </c>
      <c r="S368" s="40" t="s">
        <v>169</v>
      </c>
      <c r="T368" s="41" t="s">
        <v>649</v>
      </c>
      <c r="U368" s="41" t="s">
        <v>104</v>
      </c>
      <c r="V368" s="41" t="s">
        <v>104</v>
      </c>
      <c r="W368" s="41" t="s">
        <v>104</v>
      </c>
      <c r="X368" s="41" t="s">
        <v>104</v>
      </c>
      <c r="Y368" s="40" t="s">
        <v>104</v>
      </c>
      <c r="Z368" s="41" t="s">
        <v>104</v>
      </c>
      <c r="AA368" s="41" t="s">
        <v>102</v>
      </c>
      <c r="AB368" s="41" t="s">
        <v>104</v>
      </c>
      <c r="AC368" s="40" t="s">
        <v>604</v>
      </c>
      <c r="AD368" s="41" t="s">
        <v>607</v>
      </c>
      <c r="AE368" s="41" t="s">
        <v>102</v>
      </c>
      <c r="AF368" s="41" t="s">
        <v>885</v>
      </c>
      <c r="AG368" s="41" t="s">
        <v>139</v>
      </c>
      <c r="AH368" s="41" t="s">
        <v>141</v>
      </c>
      <c r="AI368" s="41">
        <v>1</v>
      </c>
      <c r="AJ368" s="41">
        <v>0</v>
      </c>
      <c r="AK368" s="41">
        <v>1</v>
      </c>
      <c r="AL368" s="42">
        <v>487.62</v>
      </c>
      <c r="AM368" s="41" t="s">
        <v>144</v>
      </c>
      <c r="AN368" s="42">
        <v>487.62</v>
      </c>
      <c r="AO368" s="41">
        <v>45920</v>
      </c>
      <c r="AP368" s="41" t="s">
        <v>155</v>
      </c>
      <c r="AR368" s="41" t="s">
        <v>164</v>
      </c>
      <c r="AS368" s="41" t="s">
        <v>170</v>
      </c>
      <c r="AT368" s="41" t="s">
        <v>219</v>
      </c>
      <c r="AU368" s="41" t="s">
        <v>173</v>
      </c>
      <c r="AW368" s="41" t="s">
        <v>171</v>
      </c>
      <c r="AX368" s="41" t="s">
        <v>1799</v>
      </c>
      <c r="AY368" s="41"/>
      <c r="AZ368" s="40" t="s">
        <v>2158</v>
      </c>
      <c r="BA368" s="40"/>
    </row>
    <row r="369" spans="6:53" ht="72.5" x14ac:dyDescent="0.35">
      <c r="F369" s="40" t="s">
        <v>1364</v>
      </c>
      <c r="G369" s="85" t="s">
        <v>842</v>
      </c>
      <c r="H369" s="40" t="s">
        <v>843</v>
      </c>
      <c r="I369" s="41" t="s">
        <v>223</v>
      </c>
      <c r="J369" s="41" t="s">
        <v>804</v>
      </c>
      <c r="K369" s="41" t="s">
        <v>805</v>
      </c>
      <c r="L369" s="40" t="s">
        <v>603</v>
      </c>
      <c r="O369" s="40" t="s">
        <v>104</v>
      </c>
      <c r="P369" s="41" t="s">
        <v>844</v>
      </c>
      <c r="Q369" s="41" t="s">
        <v>104</v>
      </c>
      <c r="R369" s="41" t="s">
        <v>104</v>
      </c>
      <c r="S369" s="40" t="s">
        <v>169</v>
      </c>
      <c r="T369" s="41" t="s">
        <v>104</v>
      </c>
      <c r="U369" s="41" t="s">
        <v>104</v>
      </c>
      <c r="V369" s="41" t="s">
        <v>104</v>
      </c>
      <c r="W369" s="41" t="s">
        <v>104</v>
      </c>
      <c r="X369" s="41" t="s">
        <v>104</v>
      </c>
      <c r="Y369" s="40" t="s">
        <v>104</v>
      </c>
      <c r="Z369" s="41" t="s">
        <v>104</v>
      </c>
      <c r="AA369" s="41" t="s">
        <v>102</v>
      </c>
      <c r="AB369" s="41" t="s">
        <v>104</v>
      </c>
      <c r="AC369" s="40" t="s">
        <v>604</v>
      </c>
      <c r="AD369" s="41" t="s">
        <v>607</v>
      </c>
      <c r="AE369" s="41" t="s">
        <v>102</v>
      </c>
      <c r="AF369" s="41" t="s">
        <v>886</v>
      </c>
      <c r="AG369" s="41" t="s">
        <v>139</v>
      </c>
      <c r="AH369" s="41" t="s">
        <v>141</v>
      </c>
      <c r="AI369" s="41">
        <v>2</v>
      </c>
      <c r="AJ369" s="41">
        <v>0</v>
      </c>
      <c r="AK369" s="41">
        <v>2</v>
      </c>
      <c r="AL369" s="42">
        <v>285.01</v>
      </c>
      <c r="AM369" s="41" t="s">
        <v>144</v>
      </c>
      <c r="AN369" s="42">
        <v>570.02</v>
      </c>
      <c r="AO369" s="41">
        <v>45920</v>
      </c>
      <c r="AP369" s="41" t="s">
        <v>155</v>
      </c>
      <c r="AR369" s="41" t="s">
        <v>164</v>
      </c>
      <c r="AS369" s="41" t="s">
        <v>170</v>
      </c>
      <c r="AT369" s="41" t="s">
        <v>219</v>
      </c>
      <c r="AU369" s="41" t="s">
        <v>173</v>
      </c>
      <c r="AW369" s="41" t="s">
        <v>171</v>
      </c>
      <c r="AX369" s="41" t="s">
        <v>1800</v>
      </c>
      <c r="AY369" s="41"/>
      <c r="AZ369" s="40" t="s">
        <v>2158</v>
      </c>
      <c r="BA369" s="40" t="s">
        <v>2160</v>
      </c>
    </row>
    <row r="370" spans="6:53" ht="72.5" x14ac:dyDescent="0.35">
      <c r="F370" s="40" t="s">
        <v>1365</v>
      </c>
      <c r="G370" s="85" t="s">
        <v>846</v>
      </c>
      <c r="H370" s="40" t="s">
        <v>847</v>
      </c>
      <c r="I370" s="41" t="s">
        <v>223</v>
      </c>
      <c r="J370" s="41" t="s">
        <v>804</v>
      </c>
      <c r="K370" s="41" t="s">
        <v>805</v>
      </c>
      <c r="L370" s="40" t="s">
        <v>603</v>
      </c>
      <c r="O370" s="40" t="s">
        <v>104</v>
      </c>
      <c r="P370" s="41" t="s">
        <v>848</v>
      </c>
      <c r="Q370" s="41" t="s">
        <v>104</v>
      </c>
      <c r="R370" s="41" t="s">
        <v>104</v>
      </c>
      <c r="S370" s="40" t="s">
        <v>169</v>
      </c>
      <c r="T370" s="41" t="s">
        <v>849</v>
      </c>
      <c r="U370" s="41" t="s">
        <v>104</v>
      </c>
      <c r="V370" s="41" t="s">
        <v>107</v>
      </c>
      <c r="W370" s="41" t="s">
        <v>112</v>
      </c>
      <c r="X370" s="41" t="s">
        <v>104</v>
      </c>
      <c r="Y370" s="40" t="s">
        <v>104</v>
      </c>
      <c r="Z370" s="41" t="s">
        <v>104</v>
      </c>
      <c r="AA370" s="41" t="s">
        <v>102</v>
      </c>
      <c r="AB370" s="41" t="s">
        <v>104</v>
      </c>
      <c r="AC370" s="40" t="s">
        <v>604</v>
      </c>
      <c r="AD370" s="41" t="s">
        <v>607</v>
      </c>
      <c r="AE370" s="41" t="s">
        <v>102</v>
      </c>
      <c r="AF370" s="41" t="s">
        <v>886</v>
      </c>
      <c r="AG370" s="41" t="s">
        <v>139</v>
      </c>
      <c r="AH370" s="41" t="s">
        <v>141</v>
      </c>
      <c r="AI370" s="41">
        <v>1</v>
      </c>
      <c r="AJ370" s="41">
        <v>0</v>
      </c>
      <c r="AK370" s="41">
        <v>1</v>
      </c>
      <c r="AL370" s="42">
        <v>945.75</v>
      </c>
      <c r="AM370" s="41" t="s">
        <v>144</v>
      </c>
      <c r="AN370" s="42">
        <v>945.75</v>
      </c>
      <c r="AO370" s="41">
        <v>45920</v>
      </c>
      <c r="AP370" s="41" t="s">
        <v>155</v>
      </c>
      <c r="AR370" s="41" t="s">
        <v>164</v>
      </c>
      <c r="AS370" s="41" t="s">
        <v>170</v>
      </c>
      <c r="AT370" s="41" t="s">
        <v>219</v>
      </c>
      <c r="AU370" s="41" t="s">
        <v>173</v>
      </c>
      <c r="AW370" s="41" t="s">
        <v>171</v>
      </c>
      <c r="AX370" s="41" t="s">
        <v>1801</v>
      </c>
      <c r="AY370" s="41"/>
      <c r="AZ370" s="40" t="s">
        <v>2158</v>
      </c>
      <c r="BA370" s="40"/>
    </row>
    <row r="371" spans="6:53" ht="72.5" x14ac:dyDescent="0.35">
      <c r="F371" s="40" t="s">
        <v>1366</v>
      </c>
      <c r="G371" s="85" t="s">
        <v>850</v>
      </c>
      <c r="H371" s="40" t="s">
        <v>851</v>
      </c>
      <c r="I371" s="41" t="s">
        <v>223</v>
      </c>
      <c r="J371" s="41" t="s">
        <v>804</v>
      </c>
      <c r="K371" s="41" t="s">
        <v>805</v>
      </c>
      <c r="L371" s="40" t="s">
        <v>603</v>
      </c>
      <c r="O371" s="40" t="s">
        <v>104</v>
      </c>
      <c r="P371" s="41" t="s">
        <v>852</v>
      </c>
      <c r="Q371" s="41" t="s">
        <v>104</v>
      </c>
      <c r="R371" s="41" t="s">
        <v>104</v>
      </c>
      <c r="S371" s="40" t="s">
        <v>169</v>
      </c>
      <c r="T371" s="41" t="s">
        <v>853</v>
      </c>
      <c r="U371" s="41" t="s">
        <v>104</v>
      </c>
      <c r="V371" s="41" t="s">
        <v>104</v>
      </c>
      <c r="W371" s="41" t="s">
        <v>104</v>
      </c>
      <c r="X371" s="41" t="s">
        <v>104</v>
      </c>
      <c r="Y371" s="40" t="s">
        <v>104</v>
      </c>
      <c r="Z371" s="41" t="s">
        <v>104</v>
      </c>
      <c r="AA371" s="41" t="s">
        <v>102</v>
      </c>
      <c r="AB371" s="41" t="s">
        <v>104</v>
      </c>
      <c r="AC371" s="40" t="s">
        <v>604</v>
      </c>
      <c r="AD371" s="41" t="s">
        <v>607</v>
      </c>
      <c r="AE371" s="41" t="s">
        <v>102</v>
      </c>
      <c r="AF371" s="41" t="s">
        <v>886</v>
      </c>
      <c r="AG371" s="41" t="s">
        <v>139</v>
      </c>
      <c r="AH371" s="41" t="s">
        <v>141</v>
      </c>
      <c r="AI371" s="41">
        <v>1</v>
      </c>
      <c r="AJ371" s="41">
        <v>0</v>
      </c>
      <c r="AK371" s="41">
        <v>1</v>
      </c>
      <c r="AL371" s="42">
        <v>1122.19</v>
      </c>
      <c r="AM371" s="41" t="s">
        <v>144</v>
      </c>
      <c r="AN371" s="42">
        <v>1122.19</v>
      </c>
      <c r="AO371" s="41">
        <v>45920</v>
      </c>
      <c r="AP371" s="41" t="s">
        <v>155</v>
      </c>
      <c r="AR371" s="41" t="s">
        <v>164</v>
      </c>
      <c r="AS371" s="41" t="s">
        <v>170</v>
      </c>
      <c r="AT371" s="41" t="s">
        <v>219</v>
      </c>
      <c r="AU371" s="41" t="s">
        <v>173</v>
      </c>
      <c r="AW371" s="41" t="s">
        <v>171</v>
      </c>
      <c r="AX371" s="41" t="s">
        <v>1802</v>
      </c>
      <c r="AY371" s="41"/>
      <c r="AZ371" s="40" t="s">
        <v>2158</v>
      </c>
      <c r="BA371" s="40"/>
    </row>
    <row r="372" spans="6:53" ht="72.5" x14ac:dyDescent="0.35">
      <c r="F372" s="40" t="s">
        <v>1367</v>
      </c>
      <c r="G372" s="85" t="s">
        <v>842</v>
      </c>
      <c r="H372" s="40" t="s">
        <v>843</v>
      </c>
      <c r="I372" s="41" t="s">
        <v>223</v>
      </c>
      <c r="J372" s="41" t="s">
        <v>804</v>
      </c>
      <c r="K372" s="41" t="s">
        <v>805</v>
      </c>
      <c r="L372" s="40" t="s">
        <v>603</v>
      </c>
      <c r="O372" s="40" t="s">
        <v>104</v>
      </c>
      <c r="P372" s="41" t="s">
        <v>844</v>
      </c>
      <c r="Q372" s="41" t="s">
        <v>104</v>
      </c>
      <c r="R372" s="41" t="s">
        <v>104</v>
      </c>
      <c r="S372" s="40" t="s">
        <v>169</v>
      </c>
      <c r="T372" s="41" t="s">
        <v>104</v>
      </c>
      <c r="U372" s="41" t="s">
        <v>104</v>
      </c>
      <c r="V372" s="41" t="s">
        <v>104</v>
      </c>
      <c r="W372" s="41" t="s">
        <v>104</v>
      </c>
      <c r="X372" s="41" t="s">
        <v>104</v>
      </c>
      <c r="Y372" s="40" t="s">
        <v>104</v>
      </c>
      <c r="Z372" s="41" t="s">
        <v>104</v>
      </c>
      <c r="AA372" s="41" t="s">
        <v>102</v>
      </c>
      <c r="AB372" s="41" t="s">
        <v>104</v>
      </c>
      <c r="AC372" s="40" t="s">
        <v>604</v>
      </c>
      <c r="AD372" s="41" t="s">
        <v>607</v>
      </c>
      <c r="AE372" s="41" t="s">
        <v>102</v>
      </c>
      <c r="AF372" s="41" t="s">
        <v>887</v>
      </c>
      <c r="AG372" s="41" t="s">
        <v>139</v>
      </c>
      <c r="AH372" s="41" t="s">
        <v>141</v>
      </c>
      <c r="AI372" s="41">
        <v>2</v>
      </c>
      <c r="AJ372" s="41">
        <v>0</v>
      </c>
      <c r="AK372" s="41">
        <v>2</v>
      </c>
      <c r="AL372" s="42">
        <v>285.01</v>
      </c>
      <c r="AM372" s="41" t="s">
        <v>144</v>
      </c>
      <c r="AN372" s="42">
        <v>570.02</v>
      </c>
      <c r="AO372" s="41">
        <v>45920</v>
      </c>
      <c r="AP372" s="41" t="s">
        <v>155</v>
      </c>
      <c r="AR372" s="41" t="s">
        <v>164</v>
      </c>
      <c r="AS372" s="41" t="s">
        <v>170</v>
      </c>
      <c r="AT372" s="41" t="s">
        <v>219</v>
      </c>
      <c r="AU372" s="41" t="s">
        <v>173</v>
      </c>
      <c r="AW372" s="41" t="s">
        <v>171</v>
      </c>
      <c r="AX372" s="41" t="s">
        <v>1803</v>
      </c>
      <c r="AY372" s="41"/>
      <c r="AZ372" s="40" t="s">
        <v>2158</v>
      </c>
      <c r="BA372" s="40" t="s">
        <v>2160</v>
      </c>
    </row>
    <row r="373" spans="6:53" ht="72.5" x14ac:dyDescent="0.35">
      <c r="F373" s="40" t="s">
        <v>1368</v>
      </c>
      <c r="G373" s="85" t="s">
        <v>846</v>
      </c>
      <c r="H373" s="40" t="s">
        <v>847</v>
      </c>
      <c r="I373" s="41" t="s">
        <v>223</v>
      </c>
      <c r="J373" s="41" t="s">
        <v>804</v>
      </c>
      <c r="K373" s="41" t="s">
        <v>805</v>
      </c>
      <c r="L373" s="40" t="s">
        <v>603</v>
      </c>
      <c r="O373" s="40" t="s">
        <v>104</v>
      </c>
      <c r="P373" s="41" t="s">
        <v>848</v>
      </c>
      <c r="Q373" s="41" t="s">
        <v>104</v>
      </c>
      <c r="R373" s="41" t="s">
        <v>104</v>
      </c>
      <c r="S373" s="40" t="s">
        <v>169</v>
      </c>
      <c r="T373" s="41" t="s">
        <v>849</v>
      </c>
      <c r="U373" s="41" t="s">
        <v>104</v>
      </c>
      <c r="V373" s="41" t="s">
        <v>107</v>
      </c>
      <c r="W373" s="41" t="s">
        <v>112</v>
      </c>
      <c r="X373" s="41" t="s">
        <v>104</v>
      </c>
      <c r="Y373" s="40" t="s">
        <v>104</v>
      </c>
      <c r="Z373" s="41" t="s">
        <v>104</v>
      </c>
      <c r="AA373" s="41" t="s">
        <v>102</v>
      </c>
      <c r="AB373" s="41" t="s">
        <v>104</v>
      </c>
      <c r="AC373" s="40" t="s">
        <v>604</v>
      </c>
      <c r="AD373" s="41" t="s">
        <v>607</v>
      </c>
      <c r="AE373" s="41" t="s">
        <v>102</v>
      </c>
      <c r="AF373" s="41" t="s">
        <v>887</v>
      </c>
      <c r="AG373" s="41" t="s">
        <v>139</v>
      </c>
      <c r="AH373" s="41" t="s">
        <v>141</v>
      </c>
      <c r="AI373" s="41">
        <v>1</v>
      </c>
      <c r="AJ373" s="41">
        <v>0</v>
      </c>
      <c r="AK373" s="41">
        <v>1</v>
      </c>
      <c r="AL373" s="42">
        <v>945.75</v>
      </c>
      <c r="AM373" s="41" t="s">
        <v>144</v>
      </c>
      <c r="AN373" s="42">
        <v>945.75</v>
      </c>
      <c r="AO373" s="41">
        <v>45920</v>
      </c>
      <c r="AP373" s="41" t="s">
        <v>155</v>
      </c>
      <c r="AR373" s="41" t="s">
        <v>164</v>
      </c>
      <c r="AS373" s="41" t="s">
        <v>170</v>
      </c>
      <c r="AT373" s="41" t="s">
        <v>219</v>
      </c>
      <c r="AU373" s="41" t="s">
        <v>173</v>
      </c>
      <c r="AW373" s="41" t="s">
        <v>171</v>
      </c>
      <c r="AX373" s="41" t="s">
        <v>1804</v>
      </c>
      <c r="AY373" s="41"/>
      <c r="AZ373" s="40" t="s">
        <v>2158</v>
      </c>
      <c r="BA373" s="40"/>
    </row>
    <row r="374" spans="6:53" ht="72.5" x14ac:dyDescent="0.35">
      <c r="F374" s="40" t="s">
        <v>1369</v>
      </c>
      <c r="G374" s="85" t="s">
        <v>850</v>
      </c>
      <c r="H374" s="40" t="s">
        <v>851</v>
      </c>
      <c r="I374" s="41" t="s">
        <v>223</v>
      </c>
      <c r="J374" s="41" t="s">
        <v>804</v>
      </c>
      <c r="K374" s="41" t="s">
        <v>805</v>
      </c>
      <c r="L374" s="40" t="s">
        <v>603</v>
      </c>
      <c r="O374" s="40" t="s">
        <v>104</v>
      </c>
      <c r="P374" s="41" t="s">
        <v>852</v>
      </c>
      <c r="Q374" s="41" t="s">
        <v>104</v>
      </c>
      <c r="R374" s="41" t="s">
        <v>104</v>
      </c>
      <c r="S374" s="40" t="s">
        <v>169</v>
      </c>
      <c r="T374" s="41" t="s">
        <v>853</v>
      </c>
      <c r="U374" s="41" t="s">
        <v>104</v>
      </c>
      <c r="V374" s="41" t="s">
        <v>104</v>
      </c>
      <c r="W374" s="41" t="s">
        <v>104</v>
      </c>
      <c r="X374" s="41" t="s">
        <v>104</v>
      </c>
      <c r="Y374" s="40" t="s">
        <v>104</v>
      </c>
      <c r="Z374" s="41" t="s">
        <v>104</v>
      </c>
      <c r="AA374" s="41" t="s">
        <v>102</v>
      </c>
      <c r="AB374" s="41" t="s">
        <v>104</v>
      </c>
      <c r="AC374" s="40" t="s">
        <v>604</v>
      </c>
      <c r="AD374" s="41" t="s">
        <v>607</v>
      </c>
      <c r="AE374" s="41" t="s">
        <v>102</v>
      </c>
      <c r="AF374" s="41" t="s">
        <v>887</v>
      </c>
      <c r="AG374" s="41" t="s">
        <v>139</v>
      </c>
      <c r="AH374" s="41" t="s">
        <v>141</v>
      </c>
      <c r="AI374" s="41">
        <v>1</v>
      </c>
      <c r="AJ374" s="41">
        <v>0</v>
      </c>
      <c r="AK374" s="41">
        <v>1</v>
      </c>
      <c r="AL374" s="42">
        <v>1122.19</v>
      </c>
      <c r="AM374" s="41" t="s">
        <v>144</v>
      </c>
      <c r="AN374" s="42">
        <v>1122.19</v>
      </c>
      <c r="AO374" s="41">
        <v>45920</v>
      </c>
      <c r="AP374" s="41" t="s">
        <v>155</v>
      </c>
      <c r="AR374" s="41" t="s">
        <v>164</v>
      </c>
      <c r="AS374" s="41" t="s">
        <v>170</v>
      </c>
      <c r="AT374" s="41" t="s">
        <v>219</v>
      </c>
      <c r="AU374" s="41" t="s">
        <v>173</v>
      </c>
      <c r="AW374" s="41" t="s">
        <v>171</v>
      </c>
      <c r="AX374" s="41" t="s">
        <v>1805</v>
      </c>
      <c r="AY374" s="41"/>
      <c r="AZ374" s="40" t="s">
        <v>2158</v>
      </c>
      <c r="BA374" s="40"/>
    </row>
    <row r="375" spans="6:53" ht="72.5" x14ac:dyDescent="0.35">
      <c r="F375" s="40" t="s">
        <v>1370</v>
      </c>
      <c r="G375" s="85" t="s">
        <v>842</v>
      </c>
      <c r="H375" s="40" t="s">
        <v>843</v>
      </c>
      <c r="I375" s="41" t="s">
        <v>223</v>
      </c>
      <c r="J375" s="41" t="s">
        <v>804</v>
      </c>
      <c r="K375" s="41" t="s">
        <v>805</v>
      </c>
      <c r="L375" s="40" t="s">
        <v>603</v>
      </c>
      <c r="O375" s="40" t="s">
        <v>104</v>
      </c>
      <c r="P375" s="41" t="s">
        <v>844</v>
      </c>
      <c r="Q375" s="41" t="s">
        <v>104</v>
      </c>
      <c r="R375" s="41" t="s">
        <v>104</v>
      </c>
      <c r="S375" s="40" t="s">
        <v>169</v>
      </c>
      <c r="T375" s="41" t="s">
        <v>104</v>
      </c>
      <c r="U375" s="41" t="s">
        <v>104</v>
      </c>
      <c r="V375" s="41" t="s">
        <v>104</v>
      </c>
      <c r="W375" s="41" t="s">
        <v>104</v>
      </c>
      <c r="X375" s="41" t="s">
        <v>104</v>
      </c>
      <c r="Y375" s="40" t="s">
        <v>104</v>
      </c>
      <c r="Z375" s="41" t="s">
        <v>104</v>
      </c>
      <c r="AA375" s="41" t="s">
        <v>102</v>
      </c>
      <c r="AB375" s="41" t="s">
        <v>104</v>
      </c>
      <c r="AC375" s="40" t="s">
        <v>604</v>
      </c>
      <c r="AD375" s="41" t="s">
        <v>607</v>
      </c>
      <c r="AE375" s="41" t="s">
        <v>102</v>
      </c>
      <c r="AF375" s="41" t="s">
        <v>888</v>
      </c>
      <c r="AG375" s="41" t="s">
        <v>139</v>
      </c>
      <c r="AH375" s="41" t="s">
        <v>141</v>
      </c>
      <c r="AI375" s="41">
        <v>2</v>
      </c>
      <c r="AJ375" s="41">
        <v>0</v>
      </c>
      <c r="AK375" s="41">
        <v>2</v>
      </c>
      <c r="AL375" s="42">
        <v>285.01</v>
      </c>
      <c r="AM375" s="41" t="s">
        <v>144</v>
      </c>
      <c r="AN375" s="42">
        <v>570.02</v>
      </c>
      <c r="AO375" s="41">
        <v>45920</v>
      </c>
      <c r="AP375" s="41" t="s">
        <v>155</v>
      </c>
      <c r="AR375" s="41" t="s">
        <v>164</v>
      </c>
      <c r="AS375" s="41" t="s">
        <v>170</v>
      </c>
      <c r="AT375" s="41" t="s">
        <v>219</v>
      </c>
      <c r="AU375" s="41" t="s">
        <v>173</v>
      </c>
      <c r="AW375" s="41" t="s">
        <v>171</v>
      </c>
      <c r="AX375" s="41" t="s">
        <v>1806</v>
      </c>
      <c r="AY375" s="41"/>
      <c r="AZ375" s="40" t="s">
        <v>2158</v>
      </c>
      <c r="BA375" s="40" t="s">
        <v>2160</v>
      </c>
    </row>
    <row r="376" spans="6:53" ht="72.5" x14ac:dyDescent="0.35">
      <c r="F376" s="40" t="s">
        <v>1371</v>
      </c>
      <c r="G376" s="85" t="s">
        <v>846</v>
      </c>
      <c r="H376" s="40" t="s">
        <v>847</v>
      </c>
      <c r="I376" s="41" t="s">
        <v>223</v>
      </c>
      <c r="J376" s="41" t="s">
        <v>804</v>
      </c>
      <c r="K376" s="41" t="s">
        <v>805</v>
      </c>
      <c r="L376" s="40" t="s">
        <v>603</v>
      </c>
      <c r="O376" s="40" t="s">
        <v>104</v>
      </c>
      <c r="P376" s="41" t="s">
        <v>848</v>
      </c>
      <c r="Q376" s="41" t="s">
        <v>104</v>
      </c>
      <c r="R376" s="41" t="s">
        <v>104</v>
      </c>
      <c r="S376" s="40" t="s">
        <v>169</v>
      </c>
      <c r="T376" s="41" t="s">
        <v>849</v>
      </c>
      <c r="U376" s="41" t="s">
        <v>104</v>
      </c>
      <c r="V376" s="41" t="s">
        <v>107</v>
      </c>
      <c r="W376" s="41" t="s">
        <v>112</v>
      </c>
      <c r="X376" s="41" t="s">
        <v>104</v>
      </c>
      <c r="Y376" s="40" t="s">
        <v>104</v>
      </c>
      <c r="Z376" s="41" t="s">
        <v>104</v>
      </c>
      <c r="AA376" s="41" t="s">
        <v>102</v>
      </c>
      <c r="AB376" s="41" t="s">
        <v>104</v>
      </c>
      <c r="AC376" s="40" t="s">
        <v>604</v>
      </c>
      <c r="AD376" s="41" t="s">
        <v>607</v>
      </c>
      <c r="AE376" s="41" t="s">
        <v>102</v>
      </c>
      <c r="AF376" s="41" t="s">
        <v>888</v>
      </c>
      <c r="AG376" s="41" t="s">
        <v>139</v>
      </c>
      <c r="AH376" s="41" t="s">
        <v>141</v>
      </c>
      <c r="AI376" s="41">
        <v>1</v>
      </c>
      <c r="AJ376" s="41">
        <v>0</v>
      </c>
      <c r="AK376" s="41">
        <v>1</v>
      </c>
      <c r="AL376" s="42">
        <v>945.75</v>
      </c>
      <c r="AM376" s="41" t="s">
        <v>144</v>
      </c>
      <c r="AN376" s="42">
        <v>945.75</v>
      </c>
      <c r="AO376" s="41">
        <v>45920</v>
      </c>
      <c r="AP376" s="41" t="s">
        <v>155</v>
      </c>
      <c r="AR376" s="41" t="s">
        <v>164</v>
      </c>
      <c r="AS376" s="41" t="s">
        <v>170</v>
      </c>
      <c r="AT376" s="41" t="s">
        <v>219</v>
      </c>
      <c r="AU376" s="41" t="s">
        <v>173</v>
      </c>
      <c r="AW376" s="41" t="s">
        <v>171</v>
      </c>
      <c r="AX376" s="41" t="s">
        <v>1807</v>
      </c>
      <c r="AY376" s="41"/>
      <c r="AZ376" s="40" t="s">
        <v>2158</v>
      </c>
      <c r="BA376" s="40"/>
    </row>
    <row r="377" spans="6:53" ht="72.5" x14ac:dyDescent="0.35">
      <c r="F377" s="40" t="s">
        <v>1372</v>
      </c>
      <c r="G377" s="85" t="s">
        <v>850</v>
      </c>
      <c r="H377" s="40" t="s">
        <v>851</v>
      </c>
      <c r="I377" s="41" t="s">
        <v>223</v>
      </c>
      <c r="J377" s="41" t="s">
        <v>804</v>
      </c>
      <c r="K377" s="41" t="s">
        <v>805</v>
      </c>
      <c r="L377" s="40" t="s">
        <v>603</v>
      </c>
      <c r="O377" s="40" t="s">
        <v>104</v>
      </c>
      <c r="P377" s="41" t="s">
        <v>852</v>
      </c>
      <c r="Q377" s="41" t="s">
        <v>104</v>
      </c>
      <c r="R377" s="41" t="s">
        <v>104</v>
      </c>
      <c r="S377" s="40" t="s">
        <v>169</v>
      </c>
      <c r="T377" s="41" t="s">
        <v>853</v>
      </c>
      <c r="U377" s="41" t="s">
        <v>104</v>
      </c>
      <c r="V377" s="41" t="s">
        <v>104</v>
      </c>
      <c r="W377" s="41" t="s">
        <v>104</v>
      </c>
      <c r="X377" s="41" t="s">
        <v>104</v>
      </c>
      <c r="Y377" s="40" t="s">
        <v>104</v>
      </c>
      <c r="Z377" s="41" t="s">
        <v>104</v>
      </c>
      <c r="AA377" s="41" t="s">
        <v>102</v>
      </c>
      <c r="AB377" s="41" t="s">
        <v>104</v>
      </c>
      <c r="AC377" s="40" t="s">
        <v>604</v>
      </c>
      <c r="AD377" s="41" t="s">
        <v>607</v>
      </c>
      <c r="AE377" s="41" t="s">
        <v>102</v>
      </c>
      <c r="AF377" s="41" t="s">
        <v>888</v>
      </c>
      <c r="AG377" s="41" t="s">
        <v>139</v>
      </c>
      <c r="AH377" s="41" t="s">
        <v>141</v>
      </c>
      <c r="AI377" s="41">
        <v>1</v>
      </c>
      <c r="AJ377" s="41">
        <v>0</v>
      </c>
      <c r="AK377" s="41">
        <v>1</v>
      </c>
      <c r="AL377" s="42">
        <v>1122.19</v>
      </c>
      <c r="AM377" s="41" t="s">
        <v>144</v>
      </c>
      <c r="AN377" s="42">
        <v>1122.19</v>
      </c>
      <c r="AO377" s="41">
        <v>45920</v>
      </c>
      <c r="AP377" s="41" t="s">
        <v>155</v>
      </c>
      <c r="AR377" s="41" t="s">
        <v>164</v>
      </c>
      <c r="AS377" s="41" t="s">
        <v>170</v>
      </c>
      <c r="AT377" s="41" t="s">
        <v>219</v>
      </c>
      <c r="AU377" s="41" t="s">
        <v>173</v>
      </c>
      <c r="AW377" s="41" t="s">
        <v>171</v>
      </c>
      <c r="AX377" s="41" t="s">
        <v>1808</v>
      </c>
      <c r="AY377" s="41"/>
      <c r="AZ377" s="40" t="s">
        <v>2158</v>
      </c>
      <c r="BA377" s="40"/>
    </row>
    <row r="378" spans="6:53" ht="72.5" x14ac:dyDescent="0.35">
      <c r="F378" s="40" t="s">
        <v>1373</v>
      </c>
      <c r="G378" s="85" t="s">
        <v>842</v>
      </c>
      <c r="H378" s="40" t="s">
        <v>843</v>
      </c>
      <c r="I378" s="41" t="s">
        <v>223</v>
      </c>
      <c r="J378" s="41" t="s">
        <v>804</v>
      </c>
      <c r="K378" s="41" t="s">
        <v>805</v>
      </c>
      <c r="L378" s="40" t="s">
        <v>603</v>
      </c>
      <c r="O378" s="40" t="s">
        <v>104</v>
      </c>
      <c r="P378" s="41" t="s">
        <v>844</v>
      </c>
      <c r="Q378" s="41" t="s">
        <v>104</v>
      </c>
      <c r="R378" s="41" t="s">
        <v>104</v>
      </c>
      <c r="S378" s="40" t="s">
        <v>169</v>
      </c>
      <c r="T378" s="41" t="s">
        <v>104</v>
      </c>
      <c r="U378" s="41" t="s">
        <v>104</v>
      </c>
      <c r="V378" s="41" t="s">
        <v>104</v>
      </c>
      <c r="W378" s="41" t="s">
        <v>104</v>
      </c>
      <c r="X378" s="41" t="s">
        <v>104</v>
      </c>
      <c r="Y378" s="40" t="s">
        <v>104</v>
      </c>
      <c r="Z378" s="41" t="s">
        <v>104</v>
      </c>
      <c r="AA378" s="41" t="s">
        <v>102</v>
      </c>
      <c r="AB378" s="41" t="s">
        <v>104</v>
      </c>
      <c r="AC378" s="40" t="s">
        <v>604</v>
      </c>
      <c r="AD378" s="41" t="s">
        <v>607</v>
      </c>
      <c r="AE378" s="41" t="s">
        <v>102</v>
      </c>
      <c r="AF378" s="41" t="s">
        <v>889</v>
      </c>
      <c r="AG378" s="41" t="s">
        <v>139</v>
      </c>
      <c r="AH378" s="41" t="s">
        <v>141</v>
      </c>
      <c r="AI378" s="41">
        <v>2</v>
      </c>
      <c r="AJ378" s="41">
        <v>0</v>
      </c>
      <c r="AK378" s="41">
        <v>2</v>
      </c>
      <c r="AL378" s="42">
        <v>285.01</v>
      </c>
      <c r="AM378" s="41" t="s">
        <v>144</v>
      </c>
      <c r="AN378" s="42">
        <v>570.02</v>
      </c>
      <c r="AO378" s="41">
        <v>45920</v>
      </c>
      <c r="AP378" s="41" t="s">
        <v>155</v>
      </c>
      <c r="AR378" s="41" t="s">
        <v>164</v>
      </c>
      <c r="AS378" s="41" t="s">
        <v>170</v>
      </c>
      <c r="AT378" s="41" t="s">
        <v>219</v>
      </c>
      <c r="AU378" s="41" t="s">
        <v>173</v>
      </c>
      <c r="AW378" s="41" t="s">
        <v>171</v>
      </c>
      <c r="AX378" s="41" t="s">
        <v>1809</v>
      </c>
      <c r="AY378" s="41"/>
      <c r="AZ378" s="40" t="s">
        <v>2158</v>
      </c>
      <c r="BA378" s="40" t="s">
        <v>2160</v>
      </c>
    </row>
    <row r="379" spans="6:53" ht="72.5" x14ac:dyDescent="0.35">
      <c r="F379" s="40" t="s">
        <v>1374</v>
      </c>
      <c r="G379" s="85" t="s">
        <v>846</v>
      </c>
      <c r="H379" s="40" t="s">
        <v>847</v>
      </c>
      <c r="I379" s="41" t="s">
        <v>223</v>
      </c>
      <c r="J379" s="41" t="s">
        <v>804</v>
      </c>
      <c r="K379" s="41" t="s">
        <v>805</v>
      </c>
      <c r="L379" s="40" t="s">
        <v>603</v>
      </c>
      <c r="O379" s="40" t="s">
        <v>104</v>
      </c>
      <c r="P379" s="41" t="s">
        <v>848</v>
      </c>
      <c r="Q379" s="41" t="s">
        <v>104</v>
      </c>
      <c r="R379" s="41" t="s">
        <v>104</v>
      </c>
      <c r="S379" s="40" t="s">
        <v>169</v>
      </c>
      <c r="T379" s="41" t="s">
        <v>849</v>
      </c>
      <c r="U379" s="41" t="s">
        <v>104</v>
      </c>
      <c r="V379" s="41" t="s">
        <v>107</v>
      </c>
      <c r="W379" s="41" t="s">
        <v>112</v>
      </c>
      <c r="X379" s="41" t="s">
        <v>104</v>
      </c>
      <c r="Y379" s="40" t="s">
        <v>104</v>
      </c>
      <c r="Z379" s="41" t="s">
        <v>104</v>
      </c>
      <c r="AA379" s="41" t="s">
        <v>102</v>
      </c>
      <c r="AB379" s="41" t="s">
        <v>104</v>
      </c>
      <c r="AC379" s="40" t="s">
        <v>604</v>
      </c>
      <c r="AD379" s="41" t="s">
        <v>607</v>
      </c>
      <c r="AE379" s="41" t="s">
        <v>102</v>
      </c>
      <c r="AF379" s="41" t="s">
        <v>889</v>
      </c>
      <c r="AG379" s="41" t="s">
        <v>139</v>
      </c>
      <c r="AH379" s="41" t="s">
        <v>141</v>
      </c>
      <c r="AI379" s="41">
        <v>1</v>
      </c>
      <c r="AJ379" s="41">
        <v>0</v>
      </c>
      <c r="AK379" s="41">
        <v>1</v>
      </c>
      <c r="AL379" s="42">
        <v>945.75</v>
      </c>
      <c r="AM379" s="41" t="s">
        <v>144</v>
      </c>
      <c r="AN379" s="42">
        <v>945.75</v>
      </c>
      <c r="AO379" s="41">
        <v>45920</v>
      </c>
      <c r="AP379" s="41" t="s">
        <v>155</v>
      </c>
      <c r="AR379" s="41" t="s">
        <v>164</v>
      </c>
      <c r="AS379" s="41" t="s">
        <v>170</v>
      </c>
      <c r="AT379" s="41" t="s">
        <v>219</v>
      </c>
      <c r="AU379" s="41" t="s">
        <v>173</v>
      </c>
      <c r="AW379" s="41" t="s">
        <v>171</v>
      </c>
      <c r="AX379" s="41" t="s">
        <v>1810</v>
      </c>
      <c r="AY379" s="41"/>
      <c r="AZ379" s="40" t="s">
        <v>2158</v>
      </c>
      <c r="BA379" s="40"/>
    </row>
    <row r="380" spans="6:53" ht="72.5" x14ac:dyDescent="0.35">
      <c r="F380" s="40" t="s">
        <v>1375</v>
      </c>
      <c r="G380" s="85" t="s">
        <v>850</v>
      </c>
      <c r="H380" s="40" t="s">
        <v>851</v>
      </c>
      <c r="I380" s="41" t="s">
        <v>223</v>
      </c>
      <c r="J380" s="41" t="s">
        <v>804</v>
      </c>
      <c r="K380" s="41" t="s">
        <v>805</v>
      </c>
      <c r="L380" s="40" t="s">
        <v>603</v>
      </c>
      <c r="O380" s="40" t="s">
        <v>104</v>
      </c>
      <c r="P380" s="41" t="s">
        <v>852</v>
      </c>
      <c r="Q380" s="41" t="s">
        <v>104</v>
      </c>
      <c r="R380" s="41" t="s">
        <v>104</v>
      </c>
      <c r="S380" s="40" t="s">
        <v>169</v>
      </c>
      <c r="T380" s="41" t="s">
        <v>853</v>
      </c>
      <c r="U380" s="41" t="s">
        <v>104</v>
      </c>
      <c r="V380" s="41" t="s">
        <v>104</v>
      </c>
      <c r="W380" s="41" t="s">
        <v>104</v>
      </c>
      <c r="X380" s="41" t="s">
        <v>104</v>
      </c>
      <c r="Y380" s="40" t="s">
        <v>104</v>
      </c>
      <c r="Z380" s="41" t="s">
        <v>104</v>
      </c>
      <c r="AA380" s="41" t="s">
        <v>102</v>
      </c>
      <c r="AB380" s="41" t="s">
        <v>104</v>
      </c>
      <c r="AC380" s="40" t="s">
        <v>604</v>
      </c>
      <c r="AD380" s="41" t="s">
        <v>607</v>
      </c>
      <c r="AE380" s="41" t="s">
        <v>102</v>
      </c>
      <c r="AF380" s="41" t="s">
        <v>889</v>
      </c>
      <c r="AG380" s="41" t="s">
        <v>139</v>
      </c>
      <c r="AH380" s="41" t="s">
        <v>141</v>
      </c>
      <c r="AI380" s="41">
        <v>1</v>
      </c>
      <c r="AJ380" s="41">
        <v>0</v>
      </c>
      <c r="AK380" s="41">
        <v>1</v>
      </c>
      <c r="AL380" s="42">
        <v>1122.19</v>
      </c>
      <c r="AM380" s="41" t="s">
        <v>144</v>
      </c>
      <c r="AN380" s="42">
        <v>1122.19</v>
      </c>
      <c r="AO380" s="41">
        <v>45920</v>
      </c>
      <c r="AP380" s="41" t="s">
        <v>155</v>
      </c>
      <c r="AR380" s="41" t="s">
        <v>164</v>
      </c>
      <c r="AS380" s="41" t="s">
        <v>170</v>
      </c>
      <c r="AT380" s="41" t="s">
        <v>219</v>
      </c>
      <c r="AU380" s="41" t="s">
        <v>173</v>
      </c>
      <c r="AW380" s="41" t="s">
        <v>171</v>
      </c>
      <c r="AX380" s="41" t="s">
        <v>1811</v>
      </c>
      <c r="AY380" s="41"/>
      <c r="AZ380" s="40" t="s">
        <v>2158</v>
      </c>
      <c r="BA380" s="40"/>
    </row>
    <row r="381" spans="6:53" ht="72.5" x14ac:dyDescent="0.35">
      <c r="F381" s="40" t="s">
        <v>1376</v>
      </c>
      <c r="G381" s="85" t="s">
        <v>842</v>
      </c>
      <c r="H381" s="40" t="s">
        <v>843</v>
      </c>
      <c r="I381" s="41" t="s">
        <v>223</v>
      </c>
      <c r="J381" s="41" t="s">
        <v>804</v>
      </c>
      <c r="K381" s="41" t="s">
        <v>805</v>
      </c>
      <c r="L381" s="40" t="s">
        <v>603</v>
      </c>
      <c r="O381" s="40" t="s">
        <v>104</v>
      </c>
      <c r="P381" s="41" t="s">
        <v>844</v>
      </c>
      <c r="Q381" s="41" t="s">
        <v>104</v>
      </c>
      <c r="R381" s="41" t="s">
        <v>104</v>
      </c>
      <c r="S381" s="40" t="s">
        <v>169</v>
      </c>
      <c r="T381" s="41" t="s">
        <v>104</v>
      </c>
      <c r="U381" s="41" t="s">
        <v>104</v>
      </c>
      <c r="V381" s="41" t="s">
        <v>104</v>
      </c>
      <c r="W381" s="41" t="s">
        <v>104</v>
      </c>
      <c r="X381" s="41" t="s">
        <v>104</v>
      </c>
      <c r="Y381" s="40" t="s">
        <v>104</v>
      </c>
      <c r="Z381" s="41" t="s">
        <v>104</v>
      </c>
      <c r="AA381" s="41" t="s">
        <v>102</v>
      </c>
      <c r="AB381" s="41" t="s">
        <v>104</v>
      </c>
      <c r="AC381" s="40" t="s">
        <v>604</v>
      </c>
      <c r="AD381" s="41" t="s">
        <v>607</v>
      </c>
      <c r="AE381" s="41" t="s">
        <v>102</v>
      </c>
      <c r="AF381" s="41" t="s">
        <v>890</v>
      </c>
      <c r="AG381" s="41" t="s">
        <v>139</v>
      </c>
      <c r="AH381" s="41" t="s">
        <v>141</v>
      </c>
      <c r="AI381" s="41">
        <v>4</v>
      </c>
      <c r="AJ381" s="41">
        <v>0</v>
      </c>
      <c r="AK381" s="41">
        <v>4</v>
      </c>
      <c r="AL381" s="42">
        <v>285.01</v>
      </c>
      <c r="AM381" s="41" t="s">
        <v>144</v>
      </c>
      <c r="AN381" s="42">
        <v>1140.04</v>
      </c>
      <c r="AO381" s="41">
        <v>45920</v>
      </c>
      <c r="AP381" s="41" t="s">
        <v>155</v>
      </c>
      <c r="AR381" s="41" t="s">
        <v>164</v>
      </c>
      <c r="AS381" s="41" t="s">
        <v>170</v>
      </c>
      <c r="AT381" s="41" t="s">
        <v>219</v>
      </c>
      <c r="AU381" s="41" t="s">
        <v>173</v>
      </c>
      <c r="AW381" s="41" t="s">
        <v>171</v>
      </c>
      <c r="AX381" s="41" t="s">
        <v>1812</v>
      </c>
      <c r="AY381" s="41"/>
      <c r="AZ381" s="40" t="s">
        <v>2158</v>
      </c>
      <c r="BA381" s="40" t="s">
        <v>2160</v>
      </c>
    </row>
    <row r="382" spans="6:53" ht="72.5" x14ac:dyDescent="0.35">
      <c r="F382" s="40" t="s">
        <v>1377</v>
      </c>
      <c r="G382" s="85" t="s">
        <v>846</v>
      </c>
      <c r="H382" s="40" t="s">
        <v>847</v>
      </c>
      <c r="I382" s="41" t="s">
        <v>223</v>
      </c>
      <c r="J382" s="41" t="s">
        <v>804</v>
      </c>
      <c r="K382" s="41" t="s">
        <v>805</v>
      </c>
      <c r="L382" s="40" t="s">
        <v>603</v>
      </c>
      <c r="O382" s="40" t="s">
        <v>104</v>
      </c>
      <c r="P382" s="41" t="s">
        <v>848</v>
      </c>
      <c r="Q382" s="41" t="s">
        <v>104</v>
      </c>
      <c r="R382" s="41" t="s">
        <v>104</v>
      </c>
      <c r="S382" s="40" t="s">
        <v>169</v>
      </c>
      <c r="T382" s="41" t="s">
        <v>849</v>
      </c>
      <c r="U382" s="41" t="s">
        <v>104</v>
      </c>
      <c r="V382" s="41" t="s">
        <v>107</v>
      </c>
      <c r="W382" s="41" t="s">
        <v>112</v>
      </c>
      <c r="X382" s="41" t="s">
        <v>104</v>
      </c>
      <c r="Y382" s="40" t="s">
        <v>104</v>
      </c>
      <c r="Z382" s="41" t="s">
        <v>104</v>
      </c>
      <c r="AA382" s="41" t="s">
        <v>102</v>
      </c>
      <c r="AB382" s="41" t="s">
        <v>104</v>
      </c>
      <c r="AC382" s="40" t="s">
        <v>604</v>
      </c>
      <c r="AD382" s="41" t="s">
        <v>607</v>
      </c>
      <c r="AE382" s="41" t="s">
        <v>102</v>
      </c>
      <c r="AF382" s="41" t="s">
        <v>890</v>
      </c>
      <c r="AG382" s="41" t="s">
        <v>139</v>
      </c>
      <c r="AH382" s="41" t="s">
        <v>141</v>
      </c>
      <c r="AI382" s="41">
        <v>1</v>
      </c>
      <c r="AJ382" s="41">
        <v>0</v>
      </c>
      <c r="AK382" s="41">
        <v>1</v>
      </c>
      <c r="AL382" s="42">
        <v>945.75</v>
      </c>
      <c r="AM382" s="41" t="s">
        <v>144</v>
      </c>
      <c r="AN382" s="42">
        <v>945.75</v>
      </c>
      <c r="AO382" s="41">
        <v>45920</v>
      </c>
      <c r="AP382" s="41" t="s">
        <v>155</v>
      </c>
      <c r="AR382" s="41" t="s">
        <v>164</v>
      </c>
      <c r="AS382" s="41" t="s">
        <v>170</v>
      </c>
      <c r="AT382" s="41" t="s">
        <v>219</v>
      </c>
      <c r="AU382" s="41" t="s">
        <v>173</v>
      </c>
      <c r="AW382" s="41" t="s">
        <v>171</v>
      </c>
      <c r="AX382" s="41" t="s">
        <v>1813</v>
      </c>
      <c r="AY382" s="41"/>
      <c r="AZ382" s="40" t="s">
        <v>2158</v>
      </c>
      <c r="BA382" s="40"/>
    </row>
    <row r="383" spans="6:53" ht="72.5" x14ac:dyDescent="0.35">
      <c r="F383" s="40" t="s">
        <v>1378</v>
      </c>
      <c r="G383" s="85" t="s">
        <v>850</v>
      </c>
      <c r="H383" s="40" t="s">
        <v>851</v>
      </c>
      <c r="I383" s="41" t="s">
        <v>223</v>
      </c>
      <c r="J383" s="41" t="s">
        <v>804</v>
      </c>
      <c r="K383" s="41" t="s">
        <v>805</v>
      </c>
      <c r="L383" s="40" t="s">
        <v>603</v>
      </c>
      <c r="O383" s="40" t="s">
        <v>104</v>
      </c>
      <c r="P383" s="41" t="s">
        <v>852</v>
      </c>
      <c r="Q383" s="41" t="s">
        <v>104</v>
      </c>
      <c r="R383" s="41" t="s">
        <v>104</v>
      </c>
      <c r="S383" s="40" t="s">
        <v>169</v>
      </c>
      <c r="T383" s="41" t="s">
        <v>853</v>
      </c>
      <c r="U383" s="41" t="s">
        <v>104</v>
      </c>
      <c r="V383" s="41" t="s">
        <v>104</v>
      </c>
      <c r="W383" s="41" t="s">
        <v>104</v>
      </c>
      <c r="X383" s="41" t="s">
        <v>104</v>
      </c>
      <c r="Y383" s="40" t="s">
        <v>104</v>
      </c>
      <c r="Z383" s="41" t="s">
        <v>104</v>
      </c>
      <c r="AA383" s="41" t="s">
        <v>102</v>
      </c>
      <c r="AB383" s="41" t="s">
        <v>104</v>
      </c>
      <c r="AC383" s="40" t="s">
        <v>604</v>
      </c>
      <c r="AD383" s="41" t="s">
        <v>607</v>
      </c>
      <c r="AE383" s="41" t="s">
        <v>102</v>
      </c>
      <c r="AF383" s="41" t="s">
        <v>890</v>
      </c>
      <c r="AG383" s="41" t="s">
        <v>139</v>
      </c>
      <c r="AH383" s="41" t="s">
        <v>141</v>
      </c>
      <c r="AI383" s="41">
        <v>1</v>
      </c>
      <c r="AJ383" s="41">
        <v>0</v>
      </c>
      <c r="AK383" s="41">
        <v>1</v>
      </c>
      <c r="AL383" s="42">
        <v>1122.19</v>
      </c>
      <c r="AM383" s="41" t="s">
        <v>144</v>
      </c>
      <c r="AN383" s="42">
        <v>1122.19</v>
      </c>
      <c r="AO383" s="41">
        <v>45920</v>
      </c>
      <c r="AP383" s="41" t="s">
        <v>155</v>
      </c>
      <c r="AR383" s="41" t="s">
        <v>164</v>
      </c>
      <c r="AS383" s="41" t="s">
        <v>170</v>
      </c>
      <c r="AT383" s="41" t="s">
        <v>219</v>
      </c>
      <c r="AU383" s="41" t="s">
        <v>173</v>
      </c>
      <c r="AW383" s="41" t="s">
        <v>171</v>
      </c>
      <c r="AX383" s="41" t="s">
        <v>1814</v>
      </c>
      <c r="AY383" s="41"/>
      <c r="AZ383" s="40" t="s">
        <v>2158</v>
      </c>
      <c r="BA383" s="40"/>
    </row>
    <row r="384" spans="6:53" ht="72.5" x14ac:dyDescent="0.35">
      <c r="F384" s="40" t="s">
        <v>1379</v>
      </c>
      <c r="G384" s="85" t="s">
        <v>854</v>
      </c>
      <c r="H384" s="40" t="s">
        <v>855</v>
      </c>
      <c r="I384" s="41" t="s">
        <v>223</v>
      </c>
      <c r="J384" s="41" t="s">
        <v>804</v>
      </c>
      <c r="K384" s="41" t="s">
        <v>805</v>
      </c>
      <c r="L384" s="40" t="s">
        <v>603</v>
      </c>
      <c r="O384" s="40" t="s">
        <v>104</v>
      </c>
      <c r="P384" s="41" t="s">
        <v>856</v>
      </c>
      <c r="Q384" s="41" t="s">
        <v>104</v>
      </c>
      <c r="R384" s="41" t="s">
        <v>104</v>
      </c>
      <c r="S384" s="40" t="s">
        <v>169</v>
      </c>
      <c r="T384" s="41" t="s">
        <v>649</v>
      </c>
      <c r="U384" s="41" t="s">
        <v>104</v>
      </c>
      <c r="V384" s="41" t="s">
        <v>104</v>
      </c>
      <c r="W384" s="41" t="s">
        <v>104</v>
      </c>
      <c r="X384" s="41" t="s">
        <v>104</v>
      </c>
      <c r="Y384" s="40" t="s">
        <v>104</v>
      </c>
      <c r="Z384" s="41" t="s">
        <v>104</v>
      </c>
      <c r="AA384" s="41" t="s">
        <v>102</v>
      </c>
      <c r="AB384" s="41" t="s">
        <v>104</v>
      </c>
      <c r="AC384" s="40" t="s">
        <v>604</v>
      </c>
      <c r="AD384" s="41" t="s">
        <v>607</v>
      </c>
      <c r="AE384" s="41" t="s">
        <v>102</v>
      </c>
      <c r="AF384" s="41" t="s">
        <v>890</v>
      </c>
      <c r="AG384" s="41" t="s">
        <v>139</v>
      </c>
      <c r="AH384" s="41" t="s">
        <v>141</v>
      </c>
      <c r="AI384" s="41">
        <v>1</v>
      </c>
      <c r="AJ384" s="41">
        <v>0</v>
      </c>
      <c r="AK384" s="41">
        <v>1</v>
      </c>
      <c r="AL384" s="42">
        <v>487.62</v>
      </c>
      <c r="AM384" s="41" t="s">
        <v>144</v>
      </c>
      <c r="AN384" s="42">
        <v>487.62</v>
      </c>
      <c r="AO384" s="41">
        <v>45920</v>
      </c>
      <c r="AP384" s="41" t="s">
        <v>155</v>
      </c>
      <c r="AR384" s="41" t="s">
        <v>164</v>
      </c>
      <c r="AS384" s="41" t="s">
        <v>170</v>
      </c>
      <c r="AT384" s="41" t="s">
        <v>219</v>
      </c>
      <c r="AU384" s="41" t="s">
        <v>173</v>
      </c>
      <c r="AW384" s="41" t="s">
        <v>171</v>
      </c>
      <c r="AX384" s="41" t="s">
        <v>1815</v>
      </c>
      <c r="AY384" s="41"/>
      <c r="AZ384" s="40" t="s">
        <v>2158</v>
      </c>
      <c r="BA384" s="40"/>
    </row>
    <row r="385" spans="6:53" ht="72.5" x14ac:dyDescent="0.35">
      <c r="F385" s="40" t="s">
        <v>1380</v>
      </c>
      <c r="G385" s="85" t="s">
        <v>842</v>
      </c>
      <c r="H385" s="40" t="s">
        <v>843</v>
      </c>
      <c r="I385" s="41" t="s">
        <v>223</v>
      </c>
      <c r="J385" s="41" t="s">
        <v>804</v>
      </c>
      <c r="K385" s="41" t="s">
        <v>805</v>
      </c>
      <c r="L385" s="40" t="s">
        <v>603</v>
      </c>
      <c r="O385" s="40" t="s">
        <v>104</v>
      </c>
      <c r="P385" s="41" t="s">
        <v>844</v>
      </c>
      <c r="Q385" s="41" t="s">
        <v>104</v>
      </c>
      <c r="R385" s="41" t="s">
        <v>104</v>
      </c>
      <c r="S385" s="40" t="s">
        <v>169</v>
      </c>
      <c r="T385" s="41" t="s">
        <v>104</v>
      </c>
      <c r="U385" s="41" t="s">
        <v>104</v>
      </c>
      <c r="V385" s="41" t="s">
        <v>104</v>
      </c>
      <c r="W385" s="41" t="s">
        <v>104</v>
      </c>
      <c r="X385" s="41" t="s">
        <v>104</v>
      </c>
      <c r="Y385" s="40" t="s">
        <v>104</v>
      </c>
      <c r="Z385" s="41" t="s">
        <v>104</v>
      </c>
      <c r="AA385" s="41" t="s">
        <v>102</v>
      </c>
      <c r="AB385" s="41" t="s">
        <v>104</v>
      </c>
      <c r="AC385" s="40" t="s">
        <v>604</v>
      </c>
      <c r="AD385" s="41" t="s">
        <v>607</v>
      </c>
      <c r="AE385" s="41" t="s">
        <v>102</v>
      </c>
      <c r="AF385" s="41" t="s">
        <v>891</v>
      </c>
      <c r="AG385" s="41" t="s">
        <v>139</v>
      </c>
      <c r="AH385" s="41" t="s">
        <v>141</v>
      </c>
      <c r="AI385" s="41">
        <v>2</v>
      </c>
      <c r="AJ385" s="41">
        <v>0</v>
      </c>
      <c r="AK385" s="41">
        <v>2</v>
      </c>
      <c r="AL385" s="42">
        <v>285.01</v>
      </c>
      <c r="AM385" s="41" t="s">
        <v>144</v>
      </c>
      <c r="AN385" s="42">
        <v>570.02</v>
      </c>
      <c r="AO385" s="41">
        <v>45920</v>
      </c>
      <c r="AP385" s="41" t="s">
        <v>155</v>
      </c>
      <c r="AR385" s="41" t="s">
        <v>164</v>
      </c>
      <c r="AS385" s="41" t="s">
        <v>170</v>
      </c>
      <c r="AT385" s="41" t="s">
        <v>219</v>
      </c>
      <c r="AU385" s="41" t="s">
        <v>173</v>
      </c>
      <c r="AW385" s="41" t="s">
        <v>171</v>
      </c>
      <c r="AX385" s="41" t="s">
        <v>1816</v>
      </c>
      <c r="AY385" s="41"/>
      <c r="AZ385" s="40" t="s">
        <v>2158</v>
      </c>
      <c r="BA385" s="40" t="s">
        <v>2160</v>
      </c>
    </row>
    <row r="386" spans="6:53" ht="72.5" x14ac:dyDescent="0.35">
      <c r="F386" s="40" t="s">
        <v>1381</v>
      </c>
      <c r="G386" s="85" t="s">
        <v>846</v>
      </c>
      <c r="H386" s="40" t="s">
        <v>847</v>
      </c>
      <c r="I386" s="41" t="s">
        <v>223</v>
      </c>
      <c r="J386" s="41" t="s">
        <v>804</v>
      </c>
      <c r="K386" s="41" t="s">
        <v>805</v>
      </c>
      <c r="L386" s="40" t="s">
        <v>603</v>
      </c>
      <c r="O386" s="40" t="s">
        <v>104</v>
      </c>
      <c r="P386" s="41" t="s">
        <v>848</v>
      </c>
      <c r="Q386" s="41" t="s">
        <v>104</v>
      </c>
      <c r="R386" s="41" t="s">
        <v>104</v>
      </c>
      <c r="S386" s="40" t="s">
        <v>169</v>
      </c>
      <c r="T386" s="41" t="s">
        <v>849</v>
      </c>
      <c r="U386" s="41" t="s">
        <v>104</v>
      </c>
      <c r="V386" s="41" t="s">
        <v>107</v>
      </c>
      <c r="W386" s="41" t="s">
        <v>112</v>
      </c>
      <c r="X386" s="41" t="s">
        <v>104</v>
      </c>
      <c r="Y386" s="40" t="s">
        <v>104</v>
      </c>
      <c r="Z386" s="41" t="s">
        <v>104</v>
      </c>
      <c r="AA386" s="41" t="s">
        <v>102</v>
      </c>
      <c r="AB386" s="41" t="s">
        <v>104</v>
      </c>
      <c r="AC386" s="40" t="s">
        <v>604</v>
      </c>
      <c r="AD386" s="41" t="s">
        <v>607</v>
      </c>
      <c r="AE386" s="41" t="s">
        <v>102</v>
      </c>
      <c r="AF386" s="41" t="s">
        <v>891</v>
      </c>
      <c r="AG386" s="41" t="s">
        <v>139</v>
      </c>
      <c r="AH386" s="41" t="s">
        <v>141</v>
      </c>
      <c r="AI386" s="41">
        <v>1</v>
      </c>
      <c r="AJ386" s="41">
        <v>0</v>
      </c>
      <c r="AK386" s="41">
        <v>1</v>
      </c>
      <c r="AL386" s="42">
        <v>945.75</v>
      </c>
      <c r="AM386" s="41" t="s">
        <v>144</v>
      </c>
      <c r="AN386" s="42">
        <v>945.75</v>
      </c>
      <c r="AO386" s="41">
        <v>45920</v>
      </c>
      <c r="AP386" s="41" t="s">
        <v>155</v>
      </c>
      <c r="AR386" s="41" t="s">
        <v>164</v>
      </c>
      <c r="AS386" s="41" t="s">
        <v>170</v>
      </c>
      <c r="AT386" s="41" t="s">
        <v>219</v>
      </c>
      <c r="AU386" s="41" t="s">
        <v>173</v>
      </c>
      <c r="AW386" s="41" t="s">
        <v>171</v>
      </c>
      <c r="AX386" s="41" t="s">
        <v>1817</v>
      </c>
      <c r="AY386" s="41"/>
      <c r="AZ386" s="40" t="s">
        <v>2158</v>
      </c>
      <c r="BA386" s="40"/>
    </row>
    <row r="387" spans="6:53" ht="72.5" x14ac:dyDescent="0.35">
      <c r="F387" s="40" t="s">
        <v>1382</v>
      </c>
      <c r="G387" s="85" t="s">
        <v>850</v>
      </c>
      <c r="H387" s="40" t="s">
        <v>851</v>
      </c>
      <c r="I387" s="41" t="s">
        <v>223</v>
      </c>
      <c r="J387" s="41" t="s">
        <v>804</v>
      </c>
      <c r="K387" s="41" t="s">
        <v>805</v>
      </c>
      <c r="L387" s="40" t="s">
        <v>603</v>
      </c>
      <c r="O387" s="40" t="s">
        <v>104</v>
      </c>
      <c r="P387" s="41" t="s">
        <v>852</v>
      </c>
      <c r="Q387" s="41" t="s">
        <v>104</v>
      </c>
      <c r="R387" s="41" t="s">
        <v>104</v>
      </c>
      <c r="S387" s="40" t="s">
        <v>169</v>
      </c>
      <c r="T387" s="41" t="s">
        <v>853</v>
      </c>
      <c r="U387" s="41" t="s">
        <v>104</v>
      </c>
      <c r="V387" s="41" t="s">
        <v>104</v>
      </c>
      <c r="W387" s="41" t="s">
        <v>104</v>
      </c>
      <c r="X387" s="41" t="s">
        <v>104</v>
      </c>
      <c r="Y387" s="40" t="s">
        <v>104</v>
      </c>
      <c r="Z387" s="41" t="s">
        <v>104</v>
      </c>
      <c r="AA387" s="41" t="s">
        <v>102</v>
      </c>
      <c r="AB387" s="41" t="s">
        <v>104</v>
      </c>
      <c r="AC387" s="40" t="s">
        <v>604</v>
      </c>
      <c r="AD387" s="41" t="s">
        <v>607</v>
      </c>
      <c r="AE387" s="41" t="s">
        <v>102</v>
      </c>
      <c r="AF387" s="41" t="s">
        <v>891</v>
      </c>
      <c r="AG387" s="41" t="s">
        <v>139</v>
      </c>
      <c r="AH387" s="41" t="s">
        <v>141</v>
      </c>
      <c r="AI387" s="41">
        <v>1</v>
      </c>
      <c r="AJ387" s="41">
        <v>0</v>
      </c>
      <c r="AK387" s="41">
        <v>1</v>
      </c>
      <c r="AL387" s="42">
        <v>1122.19</v>
      </c>
      <c r="AM387" s="41" t="s">
        <v>144</v>
      </c>
      <c r="AN387" s="42">
        <v>1122.19</v>
      </c>
      <c r="AO387" s="41">
        <v>45920</v>
      </c>
      <c r="AP387" s="41" t="s">
        <v>155</v>
      </c>
      <c r="AR387" s="41" t="s">
        <v>164</v>
      </c>
      <c r="AS387" s="41" t="s">
        <v>170</v>
      </c>
      <c r="AT387" s="41" t="s">
        <v>219</v>
      </c>
      <c r="AU387" s="41" t="s">
        <v>173</v>
      </c>
      <c r="AW387" s="41" t="s">
        <v>171</v>
      </c>
      <c r="AX387" s="41" t="s">
        <v>1818</v>
      </c>
      <c r="AY387" s="41"/>
      <c r="AZ387" s="40" t="s">
        <v>2158</v>
      </c>
      <c r="BA387" s="40"/>
    </row>
    <row r="388" spans="6:53" ht="72.5" x14ac:dyDescent="0.35">
      <c r="F388" s="40" t="s">
        <v>1383</v>
      </c>
      <c r="G388" s="85" t="s">
        <v>842</v>
      </c>
      <c r="H388" s="40" t="s">
        <v>843</v>
      </c>
      <c r="I388" s="41" t="s">
        <v>223</v>
      </c>
      <c r="J388" s="41" t="s">
        <v>804</v>
      </c>
      <c r="K388" s="41" t="s">
        <v>805</v>
      </c>
      <c r="L388" s="40" t="s">
        <v>603</v>
      </c>
      <c r="O388" s="40" t="s">
        <v>104</v>
      </c>
      <c r="P388" s="41" t="s">
        <v>844</v>
      </c>
      <c r="Q388" s="41" t="s">
        <v>104</v>
      </c>
      <c r="R388" s="41" t="s">
        <v>104</v>
      </c>
      <c r="S388" s="40" t="s">
        <v>169</v>
      </c>
      <c r="T388" s="41" t="s">
        <v>104</v>
      </c>
      <c r="U388" s="41" t="s">
        <v>104</v>
      </c>
      <c r="V388" s="41" t="s">
        <v>104</v>
      </c>
      <c r="W388" s="41" t="s">
        <v>104</v>
      </c>
      <c r="X388" s="41" t="s">
        <v>104</v>
      </c>
      <c r="Y388" s="40" t="s">
        <v>104</v>
      </c>
      <c r="Z388" s="41" t="s">
        <v>104</v>
      </c>
      <c r="AA388" s="41" t="s">
        <v>102</v>
      </c>
      <c r="AB388" s="41" t="s">
        <v>104</v>
      </c>
      <c r="AC388" s="40" t="s">
        <v>604</v>
      </c>
      <c r="AD388" s="41" t="s">
        <v>607</v>
      </c>
      <c r="AE388" s="41" t="s">
        <v>102</v>
      </c>
      <c r="AF388" s="41" t="s">
        <v>892</v>
      </c>
      <c r="AG388" s="41" t="s">
        <v>139</v>
      </c>
      <c r="AH388" s="41" t="s">
        <v>141</v>
      </c>
      <c r="AI388" s="41">
        <v>2</v>
      </c>
      <c r="AJ388" s="41">
        <v>0</v>
      </c>
      <c r="AK388" s="41">
        <v>2</v>
      </c>
      <c r="AL388" s="42">
        <v>285.01</v>
      </c>
      <c r="AM388" s="41" t="s">
        <v>144</v>
      </c>
      <c r="AN388" s="42">
        <v>570.02</v>
      </c>
      <c r="AO388" s="41">
        <v>45920</v>
      </c>
      <c r="AP388" s="41" t="s">
        <v>155</v>
      </c>
      <c r="AR388" s="41" t="s">
        <v>164</v>
      </c>
      <c r="AS388" s="41" t="s">
        <v>170</v>
      </c>
      <c r="AT388" s="41" t="s">
        <v>219</v>
      </c>
      <c r="AU388" s="41" t="s">
        <v>173</v>
      </c>
      <c r="AW388" s="41" t="s">
        <v>171</v>
      </c>
      <c r="AX388" s="41" t="s">
        <v>1819</v>
      </c>
      <c r="AY388" s="41"/>
      <c r="AZ388" s="40" t="s">
        <v>2158</v>
      </c>
      <c r="BA388" s="40" t="s">
        <v>2160</v>
      </c>
    </row>
    <row r="389" spans="6:53" ht="72.5" x14ac:dyDescent="0.35">
      <c r="F389" s="40" t="s">
        <v>1384</v>
      </c>
      <c r="G389" s="85" t="s">
        <v>846</v>
      </c>
      <c r="H389" s="40" t="s">
        <v>847</v>
      </c>
      <c r="I389" s="41" t="s">
        <v>223</v>
      </c>
      <c r="J389" s="41" t="s">
        <v>804</v>
      </c>
      <c r="K389" s="41" t="s">
        <v>805</v>
      </c>
      <c r="L389" s="40" t="s">
        <v>603</v>
      </c>
      <c r="O389" s="40" t="s">
        <v>104</v>
      </c>
      <c r="P389" s="41" t="s">
        <v>848</v>
      </c>
      <c r="Q389" s="41" t="s">
        <v>104</v>
      </c>
      <c r="R389" s="41" t="s">
        <v>104</v>
      </c>
      <c r="S389" s="40" t="s">
        <v>169</v>
      </c>
      <c r="T389" s="41" t="s">
        <v>849</v>
      </c>
      <c r="U389" s="41" t="s">
        <v>104</v>
      </c>
      <c r="V389" s="41" t="s">
        <v>107</v>
      </c>
      <c r="W389" s="41" t="s">
        <v>112</v>
      </c>
      <c r="X389" s="41" t="s">
        <v>104</v>
      </c>
      <c r="Y389" s="40" t="s">
        <v>104</v>
      </c>
      <c r="Z389" s="41" t="s">
        <v>104</v>
      </c>
      <c r="AA389" s="41" t="s">
        <v>102</v>
      </c>
      <c r="AB389" s="41" t="s">
        <v>104</v>
      </c>
      <c r="AC389" s="40" t="s">
        <v>604</v>
      </c>
      <c r="AD389" s="41" t="s">
        <v>607</v>
      </c>
      <c r="AE389" s="41" t="s">
        <v>102</v>
      </c>
      <c r="AF389" s="41" t="s">
        <v>892</v>
      </c>
      <c r="AG389" s="41" t="s">
        <v>139</v>
      </c>
      <c r="AH389" s="41" t="s">
        <v>141</v>
      </c>
      <c r="AI389" s="41">
        <v>1</v>
      </c>
      <c r="AJ389" s="41">
        <v>0</v>
      </c>
      <c r="AK389" s="41">
        <v>1</v>
      </c>
      <c r="AL389" s="42">
        <v>945.75</v>
      </c>
      <c r="AM389" s="41" t="s">
        <v>144</v>
      </c>
      <c r="AN389" s="42">
        <v>945.75</v>
      </c>
      <c r="AO389" s="41">
        <v>45920</v>
      </c>
      <c r="AP389" s="41" t="s">
        <v>155</v>
      </c>
      <c r="AR389" s="41" t="s">
        <v>164</v>
      </c>
      <c r="AS389" s="41" t="s">
        <v>170</v>
      </c>
      <c r="AT389" s="41" t="s">
        <v>219</v>
      </c>
      <c r="AU389" s="41" t="s">
        <v>173</v>
      </c>
      <c r="AW389" s="41" t="s">
        <v>171</v>
      </c>
      <c r="AX389" s="41" t="s">
        <v>1820</v>
      </c>
      <c r="AY389" s="41"/>
      <c r="AZ389" s="40" t="s">
        <v>2158</v>
      </c>
      <c r="BA389" s="40"/>
    </row>
    <row r="390" spans="6:53" ht="72.5" x14ac:dyDescent="0.35">
      <c r="F390" s="40" t="s">
        <v>1385</v>
      </c>
      <c r="G390" s="85" t="s">
        <v>850</v>
      </c>
      <c r="H390" s="40" t="s">
        <v>851</v>
      </c>
      <c r="I390" s="41" t="s">
        <v>223</v>
      </c>
      <c r="J390" s="41" t="s">
        <v>804</v>
      </c>
      <c r="K390" s="41" t="s">
        <v>805</v>
      </c>
      <c r="L390" s="40" t="s">
        <v>603</v>
      </c>
      <c r="O390" s="40" t="s">
        <v>104</v>
      </c>
      <c r="P390" s="41" t="s">
        <v>852</v>
      </c>
      <c r="Q390" s="41" t="s">
        <v>104</v>
      </c>
      <c r="R390" s="41" t="s">
        <v>104</v>
      </c>
      <c r="S390" s="40" t="s">
        <v>169</v>
      </c>
      <c r="T390" s="41" t="s">
        <v>853</v>
      </c>
      <c r="U390" s="41" t="s">
        <v>104</v>
      </c>
      <c r="V390" s="41" t="s">
        <v>104</v>
      </c>
      <c r="W390" s="41" t="s">
        <v>104</v>
      </c>
      <c r="X390" s="41" t="s">
        <v>104</v>
      </c>
      <c r="Y390" s="40" t="s">
        <v>104</v>
      </c>
      <c r="Z390" s="41" t="s">
        <v>104</v>
      </c>
      <c r="AA390" s="41" t="s">
        <v>102</v>
      </c>
      <c r="AB390" s="41" t="s">
        <v>104</v>
      </c>
      <c r="AC390" s="40" t="s">
        <v>604</v>
      </c>
      <c r="AD390" s="41" t="s">
        <v>607</v>
      </c>
      <c r="AE390" s="41" t="s">
        <v>102</v>
      </c>
      <c r="AF390" s="41" t="s">
        <v>892</v>
      </c>
      <c r="AG390" s="41" t="s">
        <v>139</v>
      </c>
      <c r="AH390" s="41" t="s">
        <v>141</v>
      </c>
      <c r="AI390" s="41">
        <v>1</v>
      </c>
      <c r="AJ390" s="41">
        <v>0</v>
      </c>
      <c r="AK390" s="41">
        <v>1</v>
      </c>
      <c r="AL390" s="42">
        <v>1122.19</v>
      </c>
      <c r="AM390" s="41" t="s">
        <v>144</v>
      </c>
      <c r="AN390" s="42">
        <v>1122.19</v>
      </c>
      <c r="AO390" s="41">
        <v>45920</v>
      </c>
      <c r="AP390" s="41" t="s">
        <v>155</v>
      </c>
      <c r="AR390" s="41" t="s">
        <v>164</v>
      </c>
      <c r="AS390" s="41" t="s">
        <v>170</v>
      </c>
      <c r="AT390" s="41" t="s">
        <v>219</v>
      </c>
      <c r="AU390" s="41" t="s">
        <v>173</v>
      </c>
      <c r="AW390" s="41" t="s">
        <v>171</v>
      </c>
      <c r="AX390" s="41" t="s">
        <v>1821</v>
      </c>
      <c r="AY390" s="41"/>
      <c r="AZ390" s="40" t="s">
        <v>2158</v>
      </c>
      <c r="BA390" s="40"/>
    </row>
    <row r="391" spans="6:53" ht="72.5" x14ac:dyDescent="0.35">
      <c r="F391" s="40" t="s">
        <v>1386</v>
      </c>
      <c r="G391" s="85" t="s">
        <v>842</v>
      </c>
      <c r="H391" s="40" t="s">
        <v>843</v>
      </c>
      <c r="I391" s="41" t="s">
        <v>223</v>
      </c>
      <c r="J391" s="41" t="s">
        <v>804</v>
      </c>
      <c r="K391" s="41" t="s">
        <v>805</v>
      </c>
      <c r="L391" s="40" t="s">
        <v>603</v>
      </c>
      <c r="O391" s="40" t="s">
        <v>104</v>
      </c>
      <c r="P391" s="41" t="s">
        <v>844</v>
      </c>
      <c r="Q391" s="41" t="s">
        <v>104</v>
      </c>
      <c r="R391" s="41" t="s">
        <v>104</v>
      </c>
      <c r="S391" s="40" t="s">
        <v>169</v>
      </c>
      <c r="T391" s="41" t="s">
        <v>104</v>
      </c>
      <c r="U391" s="41" t="s">
        <v>104</v>
      </c>
      <c r="V391" s="41" t="s">
        <v>104</v>
      </c>
      <c r="W391" s="41" t="s">
        <v>104</v>
      </c>
      <c r="X391" s="41" t="s">
        <v>104</v>
      </c>
      <c r="Y391" s="40" t="s">
        <v>104</v>
      </c>
      <c r="Z391" s="41" t="s">
        <v>104</v>
      </c>
      <c r="AA391" s="41" t="s">
        <v>102</v>
      </c>
      <c r="AB391" s="41" t="s">
        <v>104</v>
      </c>
      <c r="AC391" s="40" t="s">
        <v>604</v>
      </c>
      <c r="AD391" s="41" t="s">
        <v>607</v>
      </c>
      <c r="AE391" s="41" t="s">
        <v>102</v>
      </c>
      <c r="AF391" s="41" t="s">
        <v>893</v>
      </c>
      <c r="AG391" s="41" t="s">
        <v>139</v>
      </c>
      <c r="AH391" s="41" t="s">
        <v>141</v>
      </c>
      <c r="AI391" s="41">
        <v>2</v>
      </c>
      <c r="AJ391" s="41">
        <v>0</v>
      </c>
      <c r="AK391" s="41">
        <v>2</v>
      </c>
      <c r="AL391" s="42">
        <v>285.01</v>
      </c>
      <c r="AM391" s="41" t="s">
        <v>144</v>
      </c>
      <c r="AN391" s="42">
        <v>570.02</v>
      </c>
      <c r="AO391" s="41">
        <v>45920</v>
      </c>
      <c r="AP391" s="41" t="s">
        <v>155</v>
      </c>
      <c r="AR391" s="41" t="s">
        <v>164</v>
      </c>
      <c r="AS391" s="41" t="s">
        <v>170</v>
      </c>
      <c r="AT391" s="41" t="s">
        <v>219</v>
      </c>
      <c r="AU391" s="41" t="s">
        <v>173</v>
      </c>
      <c r="AW391" s="41" t="s">
        <v>171</v>
      </c>
      <c r="AX391" s="41" t="s">
        <v>1822</v>
      </c>
      <c r="AY391" s="41"/>
      <c r="AZ391" s="40" t="s">
        <v>2158</v>
      </c>
      <c r="BA391" s="40" t="s">
        <v>2160</v>
      </c>
    </row>
    <row r="392" spans="6:53" ht="72.5" x14ac:dyDescent="0.35">
      <c r="F392" s="40" t="s">
        <v>1387</v>
      </c>
      <c r="G392" s="85" t="s">
        <v>846</v>
      </c>
      <c r="H392" s="40" t="s">
        <v>847</v>
      </c>
      <c r="I392" s="41" t="s">
        <v>223</v>
      </c>
      <c r="J392" s="41" t="s">
        <v>804</v>
      </c>
      <c r="K392" s="41" t="s">
        <v>805</v>
      </c>
      <c r="L392" s="40" t="s">
        <v>603</v>
      </c>
      <c r="O392" s="40" t="s">
        <v>104</v>
      </c>
      <c r="P392" s="41" t="s">
        <v>848</v>
      </c>
      <c r="Q392" s="41" t="s">
        <v>104</v>
      </c>
      <c r="R392" s="41" t="s">
        <v>104</v>
      </c>
      <c r="S392" s="40" t="s">
        <v>169</v>
      </c>
      <c r="T392" s="41" t="s">
        <v>849</v>
      </c>
      <c r="U392" s="41" t="s">
        <v>104</v>
      </c>
      <c r="V392" s="41" t="s">
        <v>107</v>
      </c>
      <c r="W392" s="41" t="s">
        <v>112</v>
      </c>
      <c r="X392" s="41" t="s">
        <v>104</v>
      </c>
      <c r="Y392" s="40" t="s">
        <v>104</v>
      </c>
      <c r="Z392" s="41" t="s">
        <v>104</v>
      </c>
      <c r="AA392" s="41" t="s">
        <v>102</v>
      </c>
      <c r="AB392" s="41" t="s">
        <v>104</v>
      </c>
      <c r="AC392" s="40" t="s">
        <v>604</v>
      </c>
      <c r="AD392" s="41" t="s">
        <v>607</v>
      </c>
      <c r="AE392" s="41" t="s">
        <v>102</v>
      </c>
      <c r="AF392" s="41" t="s">
        <v>893</v>
      </c>
      <c r="AG392" s="41" t="s">
        <v>139</v>
      </c>
      <c r="AH392" s="41" t="s">
        <v>141</v>
      </c>
      <c r="AI392" s="41">
        <v>1</v>
      </c>
      <c r="AJ392" s="41">
        <v>0</v>
      </c>
      <c r="AK392" s="41">
        <v>1</v>
      </c>
      <c r="AL392" s="42">
        <v>945.75</v>
      </c>
      <c r="AM392" s="41" t="s">
        <v>144</v>
      </c>
      <c r="AN392" s="42">
        <v>945.75</v>
      </c>
      <c r="AO392" s="41">
        <v>45920</v>
      </c>
      <c r="AP392" s="41" t="s">
        <v>155</v>
      </c>
      <c r="AR392" s="41" t="s">
        <v>164</v>
      </c>
      <c r="AS392" s="41" t="s">
        <v>170</v>
      </c>
      <c r="AT392" s="41" t="s">
        <v>219</v>
      </c>
      <c r="AU392" s="41" t="s">
        <v>173</v>
      </c>
      <c r="AW392" s="41" t="s">
        <v>171</v>
      </c>
      <c r="AX392" s="41" t="s">
        <v>1823</v>
      </c>
      <c r="AY392" s="41"/>
      <c r="AZ392" s="40" t="s">
        <v>2158</v>
      </c>
      <c r="BA392" s="40"/>
    </row>
    <row r="393" spans="6:53" ht="72.5" x14ac:dyDescent="0.35">
      <c r="F393" s="40" t="s">
        <v>1388</v>
      </c>
      <c r="G393" s="85" t="s">
        <v>850</v>
      </c>
      <c r="H393" s="40" t="s">
        <v>851</v>
      </c>
      <c r="I393" s="41" t="s">
        <v>223</v>
      </c>
      <c r="J393" s="41" t="s">
        <v>804</v>
      </c>
      <c r="K393" s="41" t="s">
        <v>805</v>
      </c>
      <c r="L393" s="40" t="s">
        <v>603</v>
      </c>
      <c r="O393" s="40" t="s">
        <v>104</v>
      </c>
      <c r="P393" s="41" t="s">
        <v>852</v>
      </c>
      <c r="Q393" s="41" t="s">
        <v>104</v>
      </c>
      <c r="R393" s="41" t="s">
        <v>104</v>
      </c>
      <c r="S393" s="40" t="s">
        <v>169</v>
      </c>
      <c r="T393" s="41" t="s">
        <v>853</v>
      </c>
      <c r="U393" s="41" t="s">
        <v>104</v>
      </c>
      <c r="V393" s="41" t="s">
        <v>104</v>
      </c>
      <c r="W393" s="41" t="s">
        <v>104</v>
      </c>
      <c r="X393" s="41" t="s">
        <v>104</v>
      </c>
      <c r="Y393" s="40" t="s">
        <v>104</v>
      </c>
      <c r="Z393" s="41" t="s">
        <v>104</v>
      </c>
      <c r="AA393" s="41" t="s">
        <v>102</v>
      </c>
      <c r="AB393" s="41" t="s">
        <v>104</v>
      </c>
      <c r="AC393" s="40" t="s">
        <v>604</v>
      </c>
      <c r="AD393" s="41" t="s">
        <v>607</v>
      </c>
      <c r="AE393" s="41" t="s">
        <v>102</v>
      </c>
      <c r="AF393" s="41" t="s">
        <v>893</v>
      </c>
      <c r="AG393" s="41" t="s">
        <v>139</v>
      </c>
      <c r="AH393" s="41" t="s">
        <v>141</v>
      </c>
      <c r="AI393" s="41">
        <v>1</v>
      </c>
      <c r="AJ393" s="41">
        <v>0</v>
      </c>
      <c r="AK393" s="41">
        <v>1</v>
      </c>
      <c r="AL393" s="42">
        <v>1122.19</v>
      </c>
      <c r="AM393" s="41" t="s">
        <v>144</v>
      </c>
      <c r="AN393" s="42">
        <v>1122.19</v>
      </c>
      <c r="AO393" s="41">
        <v>45920</v>
      </c>
      <c r="AP393" s="41" t="s">
        <v>155</v>
      </c>
      <c r="AR393" s="41" t="s">
        <v>164</v>
      </c>
      <c r="AS393" s="41" t="s">
        <v>170</v>
      </c>
      <c r="AT393" s="41" t="s">
        <v>219</v>
      </c>
      <c r="AU393" s="41" t="s">
        <v>173</v>
      </c>
      <c r="AW393" s="41" t="s">
        <v>171</v>
      </c>
      <c r="AX393" s="41" t="s">
        <v>1824</v>
      </c>
      <c r="AY393" s="41"/>
      <c r="AZ393" s="40" t="s">
        <v>2158</v>
      </c>
      <c r="BA393" s="40"/>
    </row>
    <row r="394" spans="6:53" ht="72.5" x14ac:dyDescent="0.35">
      <c r="F394" s="40" t="s">
        <v>1389</v>
      </c>
      <c r="G394" s="85" t="s">
        <v>842</v>
      </c>
      <c r="H394" s="40" t="s">
        <v>843</v>
      </c>
      <c r="I394" s="41" t="s">
        <v>223</v>
      </c>
      <c r="J394" s="41" t="s">
        <v>804</v>
      </c>
      <c r="K394" s="41" t="s">
        <v>805</v>
      </c>
      <c r="L394" s="40" t="s">
        <v>603</v>
      </c>
      <c r="O394" s="40" t="s">
        <v>104</v>
      </c>
      <c r="P394" s="41" t="s">
        <v>844</v>
      </c>
      <c r="Q394" s="41" t="s">
        <v>104</v>
      </c>
      <c r="R394" s="41" t="s">
        <v>104</v>
      </c>
      <c r="S394" s="40" t="s">
        <v>169</v>
      </c>
      <c r="T394" s="41" t="s">
        <v>104</v>
      </c>
      <c r="U394" s="41" t="s">
        <v>104</v>
      </c>
      <c r="V394" s="41" t="s">
        <v>104</v>
      </c>
      <c r="W394" s="41" t="s">
        <v>104</v>
      </c>
      <c r="X394" s="41" t="s">
        <v>104</v>
      </c>
      <c r="Y394" s="40" t="s">
        <v>104</v>
      </c>
      <c r="Z394" s="41" t="s">
        <v>104</v>
      </c>
      <c r="AA394" s="41" t="s">
        <v>102</v>
      </c>
      <c r="AB394" s="41" t="s">
        <v>104</v>
      </c>
      <c r="AC394" s="40" t="s">
        <v>604</v>
      </c>
      <c r="AD394" s="41" t="s">
        <v>607</v>
      </c>
      <c r="AE394" s="41" t="s">
        <v>102</v>
      </c>
      <c r="AF394" s="41" t="s">
        <v>894</v>
      </c>
      <c r="AG394" s="41" t="s">
        <v>139</v>
      </c>
      <c r="AH394" s="41" t="s">
        <v>141</v>
      </c>
      <c r="AI394" s="41">
        <v>2</v>
      </c>
      <c r="AJ394" s="41">
        <v>0</v>
      </c>
      <c r="AK394" s="41">
        <v>2</v>
      </c>
      <c r="AL394" s="42">
        <v>285.01</v>
      </c>
      <c r="AM394" s="41" t="s">
        <v>144</v>
      </c>
      <c r="AN394" s="42">
        <v>570.02</v>
      </c>
      <c r="AO394" s="41">
        <v>45920</v>
      </c>
      <c r="AP394" s="41" t="s">
        <v>155</v>
      </c>
      <c r="AR394" s="41" t="s">
        <v>164</v>
      </c>
      <c r="AS394" s="41" t="s">
        <v>170</v>
      </c>
      <c r="AT394" s="41" t="s">
        <v>219</v>
      </c>
      <c r="AU394" s="41" t="s">
        <v>173</v>
      </c>
      <c r="AW394" s="41" t="s">
        <v>171</v>
      </c>
      <c r="AX394" s="41" t="s">
        <v>1825</v>
      </c>
      <c r="AY394" s="41"/>
      <c r="AZ394" s="40" t="s">
        <v>2158</v>
      </c>
      <c r="BA394" s="40" t="s">
        <v>2160</v>
      </c>
    </row>
    <row r="395" spans="6:53" ht="72.5" x14ac:dyDescent="0.35">
      <c r="F395" s="40" t="s">
        <v>1390</v>
      </c>
      <c r="G395" s="85" t="s">
        <v>846</v>
      </c>
      <c r="H395" s="40" t="s">
        <v>847</v>
      </c>
      <c r="I395" s="41" t="s">
        <v>223</v>
      </c>
      <c r="J395" s="41" t="s">
        <v>804</v>
      </c>
      <c r="K395" s="41" t="s">
        <v>805</v>
      </c>
      <c r="L395" s="40" t="s">
        <v>603</v>
      </c>
      <c r="O395" s="40" t="s">
        <v>104</v>
      </c>
      <c r="P395" s="41" t="s">
        <v>848</v>
      </c>
      <c r="Q395" s="41" t="s">
        <v>104</v>
      </c>
      <c r="R395" s="41" t="s">
        <v>104</v>
      </c>
      <c r="S395" s="40" t="s">
        <v>169</v>
      </c>
      <c r="T395" s="41" t="s">
        <v>849</v>
      </c>
      <c r="U395" s="41" t="s">
        <v>104</v>
      </c>
      <c r="V395" s="41" t="s">
        <v>107</v>
      </c>
      <c r="W395" s="41" t="s">
        <v>112</v>
      </c>
      <c r="X395" s="41" t="s">
        <v>104</v>
      </c>
      <c r="Y395" s="40" t="s">
        <v>104</v>
      </c>
      <c r="Z395" s="41" t="s">
        <v>104</v>
      </c>
      <c r="AA395" s="41" t="s">
        <v>102</v>
      </c>
      <c r="AB395" s="41" t="s">
        <v>104</v>
      </c>
      <c r="AC395" s="40" t="s">
        <v>604</v>
      </c>
      <c r="AD395" s="41" t="s">
        <v>607</v>
      </c>
      <c r="AE395" s="41" t="s">
        <v>102</v>
      </c>
      <c r="AF395" s="41" t="s">
        <v>894</v>
      </c>
      <c r="AG395" s="41" t="s">
        <v>139</v>
      </c>
      <c r="AH395" s="41" t="s">
        <v>141</v>
      </c>
      <c r="AI395" s="41">
        <v>1</v>
      </c>
      <c r="AJ395" s="41">
        <v>0</v>
      </c>
      <c r="AK395" s="41">
        <v>1</v>
      </c>
      <c r="AL395" s="42">
        <v>945.75</v>
      </c>
      <c r="AM395" s="41" t="s">
        <v>144</v>
      </c>
      <c r="AN395" s="42">
        <v>945.75</v>
      </c>
      <c r="AO395" s="41">
        <v>45920</v>
      </c>
      <c r="AP395" s="41" t="s">
        <v>155</v>
      </c>
      <c r="AR395" s="41" t="s">
        <v>164</v>
      </c>
      <c r="AS395" s="41" t="s">
        <v>170</v>
      </c>
      <c r="AT395" s="41" t="s">
        <v>219</v>
      </c>
      <c r="AU395" s="41" t="s">
        <v>173</v>
      </c>
      <c r="AW395" s="41" t="s">
        <v>171</v>
      </c>
      <c r="AX395" s="41" t="s">
        <v>1826</v>
      </c>
      <c r="AY395" s="41"/>
      <c r="AZ395" s="40" t="s">
        <v>2158</v>
      </c>
      <c r="BA395" s="40"/>
    </row>
    <row r="396" spans="6:53" ht="72.5" x14ac:dyDescent="0.35">
      <c r="F396" s="40" t="s">
        <v>1391</v>
      </c>
      <c r="G396" s="85" t="s">
        <v>850</v>
      </c>
      <c r="H396" s="40" t="s">
        <v>851</v>
      </c>
      <c r="I396" s="41" t="s">
        <v>223</v>
      </c>
      <c r="J396" s="41" t="s">
        <v>804</v>
      </c>
      <c r="K396" s="41" t="s">
        <v>805</v>
      </c>
      <c r="L396" s="40" t="s">
        <v>603</v>
      </c>
      <c r="O396" s="40" t="s">
        <v>104</v>
      </c>
      <c r="P396" s="41" t="s">
        <v>852</v>
      </c>
      <c r="Q396" s="41" t="s">
        <v>104</v>
      </c>
      <c r="R396" s="41" t="s">
        <v>104</v>
      </c>
      <c r="S396" s="40" t="s">
        <v>169</v>
      </c>
      <c r="T396" s="41" t="s">
        <v>853</v>
      </c>
      <c r="U396" s="41" t="s">
        <v>104</v>
      </c>
      <c r="V396" s="41" t="s">
        <v>104</v>
      </c>
      <c r="W396" s="41" t="s">
        <v>104</v>
      </c>
      <c r="X396" s="41" t="s">
        <v>104</v>
      </c>
      <c r="Y396" s="40" t="s">
        <v>104</v>
      </c>
      <c r="Z396" s="41" t="s">
        <v>104</v>
      </c>
      <c r="AA396" s="41" t="s">
        <v>102</v>
      </c>
      <c r="AB396" s="41" t="s">
        <v>104</v>
      </c>
      <c r="AC396" s="40" t="s">
        <v>604</v>
      </c>
      <c r="AD396" s="41" t="s">
        <v>607</v>
      </c>
      <c r="AE396" s="41" t="s">
        <v>102</v>
      </c>
      <c r="AF396" s="41" t="s">
        <v>894</v>
      </c>
      <c r="AG396" s="41" t="s">
        <v>139</v>
      </c>
      <c r="AH396" s="41" t="s">
        <v>141</v>
      </c>
      <c r="AI396" s="41">
        <v>1</v>
      </c>
      <c r="AJ396" s="41">
        <v>0</v>
      </c>
      <c r="AK396" s="41">
        <v>1</v>
      </c>
      <c r="AL396" s="42">
        <v>1122.19</v>
      </c>
      <c r="AM396" s="41" t="s">
        <v>144</v>
      </c>
      <c r="AN396" s="42">
        <v>1122.19</v>
      </c>
      <c r="AO396" s="41">
        <v>45920</v>
      </c>
      <c r="AP396" s="41" t="s">
        <v>155</v>
      </c>
      <c r="AR396" s="41" t="s">
        <v>164</v>
      </c>
      <c r="AS396" s="41" t="s">
        <v>170</v>
      </c>
      <c r="AT396" s="41" t="s">
        <v>219</v>
      </c>
      <c r="AU396" s="41" t="s">
        <v>173</v>
      </c>
      <c r="AW396" s="41" t="s">
        <v>171</v>
      </c>
      <c r="AX396" s="41" t="s">
        <v>1827</v>
      </c>
      <c r="AY396" s="41"/>
      <c r="AZ396" s="40" t="s">
        <v>2158</v>
      </c>
      <c r="BA396" s="40"/>
    </row>
    <row r="397" spans="6:53" ht="72.5" x14ac:dyDescent="0.35">
      <c r="F397" s="40" t="s">
        <v>1392</v>
      </c>
      <c r="G397" s="85" t="s">
        <v>895</v>
      </c>
      <c r="H397" s="40" t="s">
        <v>896</v>
      </c>
      <c r="I397" s="41" t="s">
        <v>223</v>
      </c>
      <c r="J397" s="41" t="s">
        <v>804</v>
      </c>
      <c r="K397" s="41" t="s">
        <v>805</v>
      </c>
      <c r="L397" s="40" t="s">
        <v>603</v>
      </c>
      <c r="O397" s="40" t="s">
        <v>104</v>
      </c>
      <c r="P397" s="41" t="s">
        <v>897</v>
      </c>
      <c r="Q397" s="41" t="s">
        <v>104</v>
      </c>
      <c r="R397" s="41" t="s">
        <v>104</v>
      </c>
      <c r="S397" s="40" t="s">
        <v>169</v>
      </c>
      <c r="T397" s="41" t="s">
        <v>898</v>
      </c>
      <c r="U397" s="41" t="s">
        <v>104</v>
      </c>
      <c r="V397" s="41" t="s">
        <v>107</v>
      </c>
      <c r="W397" s="41" t="s">
        <v>112</v>
      </c>
      <c r="X397" s="41" t="s">
        <v>104</v>
      </c>
      <c r="Y397" s="40" t="s">
        <v>104</v>
      </c>
      <c r="Z397" s="41" t="s">
        <v>104</v>
      </c>
      <c r="AA397" s="41" t="s">
        <v>102</v>
      </c>
      <c r="AB397" s="41" t="s">
        <v>104</v>
      </c>
      <c r="AC397" s="40" t="s">
        <v>604</v>
      </c>
      <c r="AD397" s="41" t="s">
        <v>607</v>
      </c>
      <c r="AE397" s="41" t="s">
        <v>102</v>
      </c>
      <c r="AF397" s="41" t="s">
        <v>899</v>
      </c>
      <c r="AG397" s="41" t="s">
        <v>139</v>
      </c>
      <c r="AH397" s="41" t="s">
        <v>141</v>
      </c>
      <c r="AI397" s="41">
        <v>2</v>
      </c>
      <c r="AJ397" s="41">
        <v>0</v>
      </c>
      <c r="AK397" s="41">
        <v>2</v>
      </c>
      <c r="AL397" s="42">
        <v>1053.1600000000001</v>
      </c>
      <c r="AM397" s="41" t="s">
        <v>144</v>
      </c>
      <c r="AN397" s="42">
        <v>2106.3200000000002</v>
      </c>
      <c r="AO397" s="41">
        <v>45920</v>
      </c>
      <c r="AP397" s="41" t="s">
        <v>155</v>
      </c>
      <c r="AR397" s="41" t="s">
        <v>164</v>
      </c>
      <c r="AS397" s="41" t="s">
        <v>170</v>
      </c>
      <c r="AT397" s="41" t="s">
        <v>219</v>
      </c>
      <c r="AU397" s="41" t="s">
        <v>173</v>
      </c>
      <c r="AW397" s="41" t="s">
        <v>171</v>
      </c>
      <c r="AX397" s="41" t="s">
        <v>1828</v>
      </c>
      <c r="AY397" s="41"/>
      <c r="AZ397" s="40" t="s">
        <v>2158</v>
      </c>
      <c r="BA397" s="40"/>
    </row>
    <row r="398" spans="6:53" ht="72.5" x14ac:dyDescent="0.35">
      <c r="F398" s="40" t="s">
        <v>1393</v>
      </c>
      <c r="G398" s="85" t="s">
        <v>850</v>
      </c>
      <c r="H398" s="40" t="s">
        <v>851</v>
      </c>
      <c r="I398" s="41" t="s">
        <v>223</v>
      </c>
      <c r="J398" s="41" t="s">
        <v>804</v>
      </c>
      <c r="K398" s="41" t="s">
        <v>805</v>
      </c>
      <c r="L398" s="40" t="s">
        <v>603</v>
      </c>
      <c r="O398" s="40" t="s">
        <v>104</v>
      </c>
      <c r="P398" s="41" t="s">
        <v>852</v>
      </c>
      <c r="Q398" s="41" t="s">
        <v>104</v>
      </c>
      <c r="R398" s="41" t="s">
        <v>104</v>
      </c>
      <c r="S398" s="40" t="s">
        <v>169</v>
      </c>
      <c r="T398" s="41" t="s">
        <v>853</v>
      </c>
      <c r="U398" s="41" t="s">
        <v>104</v>
      </c>
      <c r="V398" s="41" t="s">
        <v>104</v>
      </c>
      <c r="W398" s="41" t="s">
        <v>104</v>
      </c>
      <c r="X398" s="41" t="s">
        <v>104</v>
      </c>
      <c r="Y398" s="40" t="s">
        <v>104</v>
      </c>
      <c r="Z398" s="41" t="s">
        <v>104</v>
      </c>
      <c r="AA398" s="41" t="s">
        <v>102</v>
      </c>
      <c r="AB398" s="41" t="s">
        <v>104</v>
      </c>
      <c r="AC398" s="40" t="s">
        <v>604</v>
      </c>
      <c r="AD398" s="41" t="s">
        <v>607</v>
      </c>
      <c r="AE398" s="41" t="s">
        <v>102</v>
      </c>
      <c r="AF398" s="41" t="s">
        <v>893</v>
      </c>
      <c r="AG398" s="41" t="s">
        <v>139</v>
      </c>
      <c r="AH398" s="41" t="s">
        <v>141</v>
      </c>
      <c r="AI398" s="41">
        <v>2</v>
      </c>
      <c r="AJ398" s="41">
        <v>0</v>
      </c>
      <c r="AK398" s="41">
        <v>2</v>
      </c>
      <c r="AL398" s="42">
        <v>1122.19</v>
      </c>
      <c r="AM398" s="41" t="s">
        <v>144</v>
      </c>
      <c r="AN398" s="42">
        <v>2244.38</v>
      </c>
      <c r="AO398" s="41">
        <v>45920</v>
      </c>
      <c r="AP398" s="41" t="s">
        <v>155</v>
      </c>
      <c r="AR398" s="41" t="s">
        <v>164</v>
      </c>
      <c r="AS398" s="41" t="s">
        <v>170</v>
      </c>
      <c r="AT398" s="41" t="s">
        <v>219</v>
      </c>
      <c r="AU398" s="41" t="s">
        <v>173</v>
      </c>
      <c r="AW398" s="41" t="s">
        <v>171</v>
      </c>
      <c r="AX398" s="41" t="s">
        <v>1829</v>
      </c>
      <c r="AY398" s="41"/>
      <c r="AZ398" s="40" t="s">
        <v>2158</v>
      </c>
      <c r="BA398" s="40"/>
    </row>
    <row r="399" spans="6:53" ht="72.5" x14ac:dyDescent="0.35">
      <c r="F399" s="40" t="s">
        <v>1394</v>
      </c>
      <c r="G399" s="85" t="s">
        <v>900</v>
      </c>
      <c r="H399" s="40" t="s">
        <v>901</v>
      </c>
      <c r="I399" s="41" t="s">
        <v>223</v>
      </c>
      <c r="J399" s="41" t="s">
        <v>804</v>
      </c>
      <c r="K399" s="41" t="s">
        <v>805</v>
      </c>
      <c r="L399" s="40" t="s">
        <v>603</v>
      </c>
      <c r="O399" s="40" t="s">
        <v>104</v>
      </c>
      <c r="P399" s="41" t="s">
        <v>902</v>
      </c>
      <c r="Q399" s="41" t="s">
        <v>104</v>
      </c>
      <c r="R399" s="41" t="s">
        <v>104</v>
      </c>
      <c r="S399" s="40" t="s">
        <v>169</v>
      </c>
      <c r="T399" s="41" t="s">
        <v>849</v>
      </c>
      <c r="U399" s="41" t="s">
        <v>104</v>
      </c>
      <c r="V399" s="41" t="s">
        <v>104</v>
      </c>
      <c r="W399" s="41" t="s">
        <v>104</v>
      </c>
      <c r="X399" s="41" t="s">
        <v>104</v>
      </c>
      <c r="Y399" s="40" t="s">
        <v>104</v>
      </c>
      <c r="Z399" s="41" t="s">
        <v>104</v>
      </c>
      <c r="AA399" s="41" t="s">
        <v>102</v>
      </c>
      <c r="AB399" s="41" t="s">
        <v>104</v>
      </c>
      <c r="AC399" s="40" t="s">
        <v>604</v>
      </c>
      <c r="AD399" s="41" t="s">
        <v>607</v>
      </c>
      <c r="AE399" s="41" t="s">
        <v>102</v>
      </c>
      <c r="AF399" s="41" t="s">
        <v>903</v>
      </c>
      <c r="AG399" s="41" t="s">
        <v>139</v>
      </c>
      <c r="AH399" s="41" t="s">
        <v>141</v>
      </c>
      <c r="AI399" s="41">
        <v>2</v>
      </c>
      <c r="AJ399" s="41">
        <v>0</v>
      </c>
      <c r="AK399" s="41">
        <v>2</v>
      </c>
      <c r="AL399" s="42">
        <v>736.95</v>
      </c>
      <c r="AM399" s="41" t="s">
        <v>144</v>
      </c>
      <c r="AN399" s="42">
        <v>1473.9</v>
      </c>
      <c r="AO399" s="41">
        <v>45920</v>
      </c>
      <c r="AP399" s="41" t="s">
        <v>155</v>
      </c>
      <c r="AR399" s="41" t="s">
        <v>164</v>
      </c>
      <c r="AS399" s="41" t="s">
        <v>170</v>
      </c>
      <c r="AT399" s="41" t="s">
        <v>219</v>
      </c>
      <c r="AU399" s="41" t="s">
        <v>173</v>
      </c>
      <c r="AW399" s="41" t="s">
        <v>171</v>
      </c>
      <c r="AX399" s="41" t="s">
        <v>1830</v>
      </c>
      <c r="AY399" s="41"/>
      <c r="AZ399" s="40" t="s">
        <v>2158</v>
      </c>
      <c r="BA399" s="40"/>
    </row>
    <row r="400" spans="6:53" ht="72.5" x14ac:dyDescent="0.35">
      <c r="F400" s="40" t="s">
        <v>1395</v>
      </c>
      <c r="G400" s="85" t="s">
        <v>904</v>
      </c>
      <c r="H400" s="40" t="s">
        <v>905</v>
      </c>
      <c r="I400" s="41" t="s">
        <v>223</v>
      </c>
      <c r="J400" s="41" t="s">
        <v>804</v>
      </c>
      <c r="K400" s="41" t="s">
        <v>805</v>
      </c>
      <c r="L400" s="40" t="s">
        <v>603</v>
      </c>
      <c r="O400" s="40" t="s">
        <v>104</v>
      </c>
      <c r="P400" s="41" t="s">
        <v>906</v>
      </c>
      <c r="Q400" s="41" t="s">
        <v>104</v>
      </c>
      <c r="R400" s="41" t="s">
        <v>104</v>
      </c>
      <c r="S400" s="40" t="s">
        <v>169</v>
      </c>
      <c r="T400" s="41" t="s">
        <v>104</v>
      </c>
      <c r="U400" s="41" t="s">
        <v>104</v>
      </c>
      <c r="V400" s="41" t="s">
        <v>104</v>
      </c>
      <c r="W400" s="41" t="s">
        <v>104</v>
      </c>
      <c r="X400" s="41" t="s">
        <v>104</v>
      </c>
      <c r="Y400" s="40" t="s">
        <v>104</v>
      </c>
      <c r="Z400" s="41" t="s">
        <v>104</v>
      </c>
      <c r="AA400" s="41" t="s">
        <v>102</v>
      </c>
      <c r="AB400" s="41" t="s">
        <v>104</v>
      </c>
      <c r="AC400" s="40" t="s">
        <v>604</v>
      </c>
      <c r="AD400" s="41" t="s">
        <v>607</v>
      </c>
      <c r="AE400" s="41" t="s">
        <v>102</v>
      </c>
      <c r="AF400" s="41" t="s">
        <v>907</v>
      </c>
      <c r="AG400" s="41" t="s">
        <v>139</v>
      </c>
      <c r="AH400" s="41" t="s">
        <v>141</v>
      </c>
      <c r="AI400" s="41">
        <v>1</v>
      </c>
      <c r="AJ400" s="41">
        <v>0</v>
      </c>
      <c r="AK400" s="41">
        <v>1</v>
      </c>
      <c r="AL400" s="42">
        <v>3468.91</v>
      </c>
      <c r="AM400" s="41" t="s">
        <v>144</v>
      </c>
      <c r="AN400" s="42">
        <v>3468.91</v>
      </c>
      <c r="AO400" s="41">
        <v>45920</v>
      </c>
      <c r="AP400" s="41" t="s">
        <v>155</v>
      </c>
      <c r="AR400" s="41" t="s">
        <v>164</v>
      </c>
      <c r="AS400" s="41" t="s">
        <v>170</v>
      </c>
      <c r="AT400" s="41" t="s">
        <v>219</v>
      </c>
      <c r="AU400" s="41" t="s">
        <v>173</v>
      </c>
      <c r="AW400" s="41" t="s">
        <v>171</v>
      </c>
      <c r="AX400" s="41" t="s">
        <v>1831</v>
      </c>
      <c r="AY400" s="41"/>
      <c r="AZ400" s="40" t="s">
        <v>2158</v>
      </c>
      <c r="BA400" s="40"/>
    </row>
    <row r="401" spans="6:53" ht="72.5" x14ac:dyDescent="0.35">
      <c r="F401" s="40" t="s">
        <v>1396</v>
      </c>
      <c r="G401" s="85" t="s">
        <v>832</v>
      </c>
      <c r="H401" s="40" t="s">
        <v>908</v>
      </c>
      <c r="I401" s="41" t="s">
        <v>223</v>
      </c>
      <c r="J401" s="41" t="s">
        <v>804</v>
      </c>
      <c r="K401" s="41" t="s">
        <v>805</v>
      </c>
      <c r="L401" s="40" t="s">
        <v>603</v>
      </c>
      <c r="O401" s="40" t="s">
        <v>104</v>
      </c>
      <c r="P401" s="41" t="s">
        <v>909</v>
      </c>
      <c r="Q401" s="41" t="s">
        <v>104</v>
      </c>
      <c r="R401" s="41" t="s">
        <v>104</v>
      </c>
      <c r="S401" s="40" t="s">
        <v>169</v>
      </c>
      <c r="T401" s="41" t="s">
        <v>104</v>
      </c>
      <c r="U401" s="41" t="s">
        <v>104</v>
      </c>
      <c r="V401" s="41" t="s">
        <v>104</v>
      </c>
      <c r="W401" s="41" t="s">
        <v>104</v>
      </c>
      <c r="X401" s="41" t="s">
        <v>104</v>
      </c>
      <c r="Y401" s="40" t="s">
        <v>104</v>
      </c>
      <c r="Z401" s="41" t="s">
        <v>104</v>
      </c>
      <c r="AA401" s="41" t="s">
        <v>102</v>
      </c>
      <c r="AB401" s="41" t="s">
        <v>104</v>
      </c>
      <c r="AC401" s="40" t="s">
        <v>604</v>
      </c>
      <c r="AD401" s="41" t="s">
        <v>607</v>
      </c>
      <c r="AE401" s="41" t="s">
        <v>102</v>
      </c>
      <c r="AF401" s="41" t="s">
        <v>907</v>
      </c>
      <c r="AG401" s="41" t="s">
        <v>139</v>
      </c>
      <c r="AH401" s="41" t="s">
        <v>141</v>
      </c>
      <c r="AI401" s="41">
        <v>2</v>
      </c>
      <c r="AJ401" s="41">
        <v>0</v>
      </c>
      <c r="AK401" s="41">
        <v>2</v>
      </c>
      <c r="AL401" s="42">
        <v>1045.55</v>
      </c>
      <c r="AM401" s="41" t="s">
        <v>144</v>
      </c>
      <c r="AN401" s="42">
        <v>2091.1</v>
      </c>
      <c r="AO401" s="41">
        <v>45920</v>
      </c>
      <c r="AP401" s="41" t="s">
        <v>155</v>
      </c>
      <c r="AR401" s="41" t="s">
        <v>164</v>
      </c>
      <c r="AS401" s="41" t="s">
        <v>170</v>
      </c>
      <c r="AT401" s="41" t="s">
        <v>219</v>
      </c>
      <c r="AU401" s="41" t="s">
        <v>173</v>
      </c>
      <c r="AW401" s="41" t="s">
        <v>171</v>
      </c>
      <c r="AX401" s="41" t="s">
        <v>1832</v>
      </c>
      <c r="AY401" s="41"/>
      <c r="AZ401" s="40" t="s">
        <v>2158</v>
      </c>
      <c r="BA401" s="40"/>
    </row>
    <row r="402" spans="6:53" ht="72.5" x14ac:dyDescent="0.35">
      <c r="F402" s="40" t="s">
        <v>1397</v>
      </c>
      <c r="G402" s="85" t="s">
        <v>910</v>
      </c>
      <c r="H402" s="40" t="s">
        <v>911</v>
      </c>
      <c r="I402" s="41" t="s">
        <v>223</v>
      </c>
      <c r="J402" s="41" t="s">
        <v>804</v>
      </c>
      <c r="K402" s="41" t="s">
        <v>805</v>
      </c>
      <c r="L402" s="40" t="s">
        <v>603</v>
      </c>
      <c r="O402" s="40" t="s">
        <v>104</v>
      </c>
      <c r="P402" s="41" t="s">
        <v>912</v>
      </c>
      <c r="Q402" s="41" t="s">
        <v>104</v>
      </c>
      <c r="R402" s="41" t="s">
        <v>104</v>
      </c>
      <c r="S402" s="40" t="s">
        <v>169</v>
      </c>
      <c r="T402" s="41" t="s">
        <v>104</v>
      </c>
      <c r="U402" s="41" t="s">
        <v>104</v>
      </c>
      <c r="V402" s="41" t="s">
        <v>104</v>
      </c>
      <c r="W402" s="41" t="s">
        <v>104</v>
      </c>
      <c r="X402" s="41" t="s">
        <v>104</v>
      </c>
      <c r="Y402" s="40" t="s">
        <v>104</v>
      </c>
      <c r="Z402" s="41" t="s">
        <v>104</v>
      </c>
      <c r="AA402" s="41" t="s">
        <v>102</v>
      </c>
      <c r="AB402" s="41" t="s">
        <v>104</v>
      </c>
      <c r="AC402" s="40" t="s">
        <v>604</v>
      </c>
      <c r="AD402" s="41" t="s">
        <v>607</v>
      </c>
      <c r="AE402" s="41" t="s">
        <v>102</v>
      </c>
      <c r="AF402" s="41" t="s">
        <v>907</v>
      </c>
      <c r="AG402" s="41" t="s">
        <v>139</v>
      </c>
      <c r="AH402" s="41" t="s">
        <v>141</v>
      </c>
      <c r="AI402" s="41">
        <v>1</v>
      </c>
      <c r="AJ402" s="41">
        <v>0</v>
      </c>
      <c r="AK402" s="41">
        <v>1</v>
      </c>
      <c r="AL402" s="42">
        <v>2607.25</v>
      </c>
      <c r="AM402" s="41" t="s">
        <v>144</v>
      </c>
      <c r="AN402" s="42">
        <v>2607.25</v>
      </c>
      <c r="AO402" s="41">
        <v>45920</v>
      </c>
      <c r="AP402" s="41" t="s">
        <v>155</v>
      </c>
      <c r="AR402" s="41" t="s">
        <v>164</v>
      </c>
      <c r="AS402" s="41" t="s">
        <v>170</v>
      </c>
      <c r="AT402" s="41" t="s">
        <v>219</v>
      </c>
      <c r="AU402" s="41" t="s">
        <v>173</v>
      </c>
      <c r="AW402" s="41" t="s">
        <v>171</v>
      </c>
      <c r="AX402" s="41" t="s">
        <v>1833</v>
      </c>
      <c r="AY402" s="41"/>
      <c r="AZ402" s="40" t="s">
        <v>2158</v>
      </c>
      <c r="BA402" s="40"/>
    </row>
    <row r="403" spans="6:53" ht="72.5" x14ac:dyDescent="0.35">
      <c r="F403" s="40" t="s">
        <v>1398</v>
      </c>
      <c r="G403" s="85" t="s">
        <v>913</v>
      </c>
      <c r="H403" s="40" t="s">
        <v>914</v>
      </c>
      <c r="I403" s="41" t="s">
        <v>223</v>
      </c>
      <c r="J403" s="41" t="s">
        <v>804</v>
      </c>
      <c r="K403" s="41" t="s">
        <v>805</v>
      </c>
      <c r="L403" s="40" t="s">
        <v>603</v>
      </c>
      <c r="O403" s="40" t="s">
        <v>104</v>
      </c>
      <c r="P403" s="41" t="s">
        <v>915</v>
      </c>
      <c r="Q403" s="41" t="s">
        <v>104</v>
      </c>
      <c r="R403" s="41" t="s">
        <v>104</v>
      </c>
      <c r="S403" s="40" t="s">
        <v>169</v>
      </c>
      <c r="T403" s="41" t="s">
        <v>916</v>
      </c>
      <c r="U403" s="41" t="s">
        <v>104</v>
      </c>
      <c r="V403" s="41" t="s">
        <v>104</v>
      </c>
      <c r="W403" s="41" t="s">
        <v>104</v>
      </c>
      <c r="X403" s="41" t="s">
        <v>104</v>
      </c>
      <c r="Y403" s="40" t="s">
        <v>104</v>
      </c>
      <c r="Z403" s="41" t="s">
        <v>104</v>
      </c>
      <c r="AA403" s="41" t="s">
        <v>102</v>
      </c>
      <c r="AB403" s="41" t="s">
        <v>104</v>
      </c>
      <c r="AC403" s="40" t="s">
        <v>604</v>
      </c>
      <c r="AD403" s="41" t="s">
        <v>607</v>
      </c>
      <c r="AE403" s="41" t="s">
        <v>102</v>
      </c>
      <c r="AF403" s="41" t="s">
        <v>907</v>
      </c>
      <c r="AG403" s="41" t="s">
        <v>139</v>
      </c>
      <c r="AH403" s="41" t="s">
        <v>141</v>
      </c>
      <c r="AI403" s="41">
        <v>1</v>
      </c>
      <c r="AJ403" s="41">
        <v>0</v>
      </c>
      <c r="AK403" s="41">
        <v>1</v>
      </c>
      <c r="AL403" s="42">
        <v>785.11</v>
      </c>
      <c r="AM403" s="41" t="s">
        <v>144</v>
      </c>
      <c r="AN403" s="42">
        <v>785.11</v>
      </c>
      <c r="AO403" s="41">
        <v>45920</v>
      </c>
      <c r="AP403" s="41" t="s">
        <v>155</v>
      </c>
      <c r="AR403" s="41" t="s">
        <v>164</v>
      </c>
      <c r="AS403" s="41" t="s">
        <v>170</v>
      </c>
      <c r="AT403" s="41" t="s">
        <v>219</v>
      </c>
      <c r="AU403" s="41" t="s">
        <v>173</v>
      </c>
      <c r="AW403" s="41" t="s">
        <v>171</v>
      </c>
      <c r="AX403" s="41" t="s">
        <v>1834</v>
      </c>
      <c r="AY403" s="41"/>
      <c r="AZ403" s="40" t="s">
        <v>2158</v>
      </c>
      <c r="BA403" s="40"/>
    </row>
    <row r="404" spans="6:53" ht="72.5" x14ac:dyDescent="0.35">
      <c r="F404" s="40" t="s">
        <v>1399</v>
      </c>
      <c r="G404" s="85" t="s">
        <v>838</v>
      </c>
      <c r="H404" s="40" t="s">
        <v>917</v>
      </c>
      <c r="I404" s="41" t="s">
        <v>223</v>
      </c>
      <c r="J404" s="41" t="s">
        <v>804</v>
      </c>
      <c r="K404" s="41" t="s">
        <v>805</v>
      </c>
      <c r="L404" s="40" t="s">
        <v>603</v>
      </c>
      <c r="O404" s="40" t="s">
        <v>104</v>
      </c>
      <c r="P404" s="41" t="s">
        <v>918</v>
      </c>
      <c r="Q404" s="41" t="s">
        <v>104</v>
      </c>
      <c r="R404" s="41" t="s">
        <v>104</v>
      </c>
      <c r="S404" s="40" t="s">
        <v>169</v>
      </c>
      <c r="T404" s="41" t="s">
        <v>841</v>
      </c>
      <c r="U404" s="41" t="s">
        <v>104</v>
      </c>
      <c r="V404" s="41" t="s">
        <v>104</v>
      </c>
      <c r="W404" s="41" t="s">
        <v>104</v>
      </c>
      <c r="X404" s="41" t="s">
        <v>104</v>
      </c>
      <c r="Y404" s="40" t="s">
        <v>104</v>
      </c>
      <c r="Z404" s="41" t="s">
        <v>104</v>
      </c>
      <c r="AA404" s="41" t="s">
        <v>102</v>
      </c>
      <c r="AB404" s="41" t="s">
        <v>104</v>
      </c>
      <c r="AC404" s="40" t="s">
        <v>604</v>
      </c>
      <c r="AD404" s="41" t="s">
        <v>607</v>
      </c>
      <c r="AE404" s="41" t="s">
        <v>102</v>
      </c>
      <c r="AF404" s="41" t="s">
        <v>907</v>
      </c>
      <c r="AG404" s="41" t="s">
        <v>139</v>
      </c>
      <c r="AH404" s="41" t="s">
        <v>141</v>
      </c>
      <c r="AI404" s="41">
        <v>1</v>
      </c>
      <c r="AJ404" s="41">
        <v>0</v>
      </c>
      <c r="AK404" s="41">
        <v>1</v>
      </c>
      <c r="AL404" s="42">
        <v>788.13</v>
      </c>
      <c r="AM404" s="41" t="s">
        <v>144</v>
      </c>
      <c r="AN404" s="42">
        <v>788.13</v>
      </c>
      <c r="AO404" s="41">
        <v>45920</v>
      </c>
      <c r="AP404" s="41" t="s">
        <v>155</v>
      </c>
      <c r="AR404" s="41" t="s">
        <v>164</v>
      </c>
      <c r="AS404" s="41" t="s">
        <v>170</v>
      </c>
      <c r="AT404" s="41" t="s">
        <v>219</v>
      </c>
      <c r="AU404" s="41" t="s">
        <v>173</v>
      </c>
      <c r="AW404" s="41" t="s">
        <v>171</v>
      </c>
      <c r="AX404" s="41" t="s">
        <v>1835</v>
      </c>
      <c r="AY404" s="41"/>
      <c r="AZ404" s="40" t="s">
        <v>2158</v>
      </c>
      <c r="BA404" s="40"/>
    </row>
    <row r="405" spans="6:53" ht="72.5" x14ac:dyDescent="0.35">
      <c r="F405" s="40" t="s">
        <v>1400</v>
      </c>
      <c r="G405" s="85" t="s">
        <v>919</v>
      </c>
      <c r="H405" s="40" t="s">
        <v>920</v>
      </c>
      <c r="I405" s="41" t="s">
        <v>223</v>
      </c>
      <c r="J405" s="41" t="s">
        <v>804</v>
      </c>
      <c r="K405" s="41" t="s">
        <v>805</v>
      </c>
      <c r="L405" s="40" t="s">
        <v>603</v>
      </c>
      <c r="O405" s="40" t="s">
        <v>104</v>
      </c>
      <c r="P405" s="41" t="s">
        <v>921</v>
      </c>
      <c r="Q405" s="41" t="s">
        <v>104</v>
      </c>
      <c r="R405" s="41" t="s">
        <v>104</v>
      </c>
      <c r="S405" s="40" t="s">
        <v>169</v>
      </c>
      <c r="T405" s="41" t="s">
        <v>922</v>
      </c>
      <c r="U405" s="41" t="s">
        <v>104</v>
      </c>
      <c r="V405" s="41" t="s">
        <v>104</v>
      </c>
      <c r="W405" s="41" t="s">
        <v>104</v>
      </c>
      <c r="X405" s="41" t="s">
        <v>104</v>
      </c>
      <c r="Y405" s="40" t="s">
        <v>104</v>
      </c>
      <c r="Z405" s="41" t="s">
        <v>104</v>
      </c>
      <c r="AA405" s="41" t="s">
        <v>102</v>
      </c>
      <c r="AB405" s="41" t="s">
        <v>104</v>
      </c>
      <c r="AC405" s="40" t="s">
        <v>604</v>
      </c>
      <c r="AD405" s="41" t="s">
        <v>607</v>
      </c>
      <c r="AE405" s="41" t="s">
        <v>102</v>
      </c>
      <c r="AF405" s="41" t="s">
        <v>907</v>
      </c>
      <c r="AG405" s="41" t="s">
        <v>139</v>
      </c>
      <c r="AH405" s="41" t="s">
        <v>141</v>
      </c>
      <c r="AI405" s="41">
        <v>2</v>
      </c>
      <c r="AJ405" s="41">
        <v>0</v>
      </c>
      <c r="AK405" s="41">
        <v>2</v>
      </c>
      <c r="AL405" s="42">
        <v>197.8</v>
      </c>
      <c r="AM405" s="41" t="s">
        <v>144</v>
      </c>
      <c r="AN405" s="42">
        <v>395.6</v>
      </c>
      <c r="AO405" s="41">
        <v>45920</v>
      </c>
      <c r="AP405" s="41" t="s">
        <v>155</v>
      </c>
      <c r="AR405" s="41" t="s">
        <v>164</v>
      </c>
      <c r="AS405" s="41" t="s">
        <v>170</v>
      </c>
      <c r="AT405" s="41" t="s">
        <v>219</v>
      </c>
      <c r="AU405" s="41" t="s">
        <v>173</v>
      </c>
      <c r="AW405" s="41" t="s">
        <v>171</v>
      </c>
      <c r="AX405" s="41" t="s">
        <v>1836</v>
      </c>
      <c r="AY405" s="41"/>
      <c r="AZ405" s="40" t="s">
        <v>2158</v>
      </c>
      <c r="BA405" s="40"/>
    </row>
    <row r="406" spans="6:53" ht="72.5" x14ac:dyDescent="0.35">
      <c r="F406" s="40" t="s">
        <v>1401</v>
      </c>
      <c r="G406" s="85" t="s">
        <v>923</v>
      </c>
      <c r="H406" s="40" t="s">
        <v>924</v>
      </c>
      <c r="I406" s="41" t="s">
        <v>223</v>
      </c>
      <c r="J406" s="41" t="s">
        <v>804</v>
      </c>
      <c r="K406" s="41" t="s">
        <v>805</v>
      </c>
      <c r="L406" s="40" t="s">
        <v>603</v>
      </c>
      <c r="O406" s="40" t="s">
        <v>104</v>
      </c>
      <c r="P406" s="41" t="s">
        <v>925</v>
      </c>
      <c r="Q406" s="41" t="s">
        <v>104</v>
      </c>
      <c r="R406" s="41" t="s">
        <v>104</v>
      </c>
      <c r="S406" s="40" t="s">
        <v>169</v>
      </c>
      <c r="T406" s="41" t="s">
        <v>104</v>
      </c>
      <c r="U406" s="41" t="s">
        <v>104</v>
      </c>
      <c r="V406" s="41" t="s">
        <v>104</v>
      </c>
      <c r="W406" s="41" t="s">
        <v>104</v>
      </c>
      <c r="X406" s="41" t="s">
        <v>104</v>
      </c>
      <c r="Y406" s="40" t="s">
        <v>104</v>
      </c>
      <c r="Z406" s="41" t="s">
        <v>104</v>
      </c>
      <c r="AA406" s="41" t="s">
        <v>102</v>
      </c>
      <c r="AB406" s="41" t="s">
        <v>104</v>
      </c>
      <c r="AC406" s="40" t="s">
        <v>604</v>
      </c>
      <c r="AD406" s="41" t="s">
        <v>607</v>
      </c>
      <c r="AE406" s="41" t="s">
        <v>102</v>
      </c>
      <c r="AF406" s="41" t="s">
        <v>926</v>
      </c>
      <c r="AG406" s="41" t="s">
        <v>139</v>
      </c>
      <c r="AH406" s="41" t="s">
        <v>141</v>
      </c>
      <c r="AI406" s="41">
        <v>4</v>
      </c>
      <c r="AJ406" s="41">
        <v>0</v>
      </c>
      <c r="AK406" s="41">
        <v>4</v>
      </c>
      <c r="AL406" s="42">
        <v>1051.5999999999999</v>
      </c>
      <c r="AM406" s="41" t="s">
        <v>144</v>
      </c>
      <c r="AN406" s="42">
        <v>4206.3999999999996</v>
      </c>
      <c r="AO406" s="41">
        <v>45920</v>
      </c>
      <c r="AP406" s="41" t="s">
        <v>155</v>
      </c>
      <c r="AR406" s="41" t="s">
        <v>164</v>
      </c>
      <c r="AS406" s="41" t="s">
        <v>170</v>
      </c>
      <c r="AT406" s="41" t="s">
        <v>219</v>
      </c>
      <c r="AU406" s="41" t="s">
        <v>173</v>
      </c>
      <c r="AW406" s="41" t="s">
        <v>171</v>
      </c>
      <c r="AX406" s="41" t="s">
        <v>1837</v>
      </c>
      <c r="AY406" s="41"/>
      <c r="AZ406" s="40" t="s">
        <v>2158</v>
      </c>
      <c r="BA406" s="40"/>
    </row>
    <row r="407" spans="6:53" ht="72.5" x14ac:dyDescent="0.35">
      <c r="F407" s="40" t="s">
        <v>1402</v>
      </c>
      <c r="G407" s="85" t="s">
        <v>927</v>
      </c>
      <c r="H407" s="40" t="s">
        <v>928</v>
      </c>
      <c r="I407" s="41" t="s">
        <v>223</v>
      </c>
      <c r="J407" s="41" t="s">
        <v>804</v>
      </c>
      <c r="K407" s="41" t="s">
        <v>805</v>
      </c>
      <c r="L407" s="40" t="s">
        <v>603</v>
      </c>
      <c r="O407" s="40" t="s">
        <v>104</v>
      </c>
      <c r="P407" s="41" t="s">
        <v>929</v>
      </c>
      <c r="Q407" s="41" t="s">
        <v>104</v>
      </c>
      <c r="R407" s="41" t="s">
        <v>104</v>
      </c>
      <c r="S407" s="40" t="s">
        <v>169</v>
      </c>
      <c r="T407" s="41" t="s">
        <v>930</v>
      </c>
      <c r="U407" s="41" t="s">
        <v>104</v>
      </c>
      <c r="V407" s="41" t="s">
        <v>104</v>
      </c>
      <c r="W407" s="41" t="s">
        <v>104</v>
      </c>
      <c r="X407" s="41" t="s">
        <v>104</v>
      </c>
      <c r="Y407" s="40" t="s">
        <v>104</v>
      </c>
      <c r="Z407" s="41" t="s">
        <v>104</v>
      </c>
      <c r="AA407" s="41" t="s">
        <v>102</v>
      </c>
      <c r="AB407" s="41" t="s">
        <v>104</v>
      </c>
      <c r="AC407" s="40" t="s">
        <v>604</v>
      </c>
      <c r="AD407" s="41" t="s">
        <v>607</v>
      </c>
      <c r="AE407" s="41" t="s">
        <v>102</v>
      </c>
      <c r="AF407" s="41" t="s">
        <v>931</v>
      </c>
      <c r="AG407" s="41" t="s">
        <v>139</v>
      </c>
      <c r="AH407" s="41" t="s">
        <v>141</v>
      </c>
      <c r="AI407" s="41">
        <v>8</v>
      </c>
      <c r="AJ407" s="41">
        <v>0</v>
      </c>
      <c r="AK407" s="41">
        <v>8</v>
      </c>
      <c r="AL407" s="42">
        <v>635.1</v>
      </c>
      <c r="AM407" s="41" t="s">
        <v>144</v>
      </c>
      <c r="AN407" s="42">
        <v>5080.8</v>
      </c>
      <c r="AO407" s="41">
        <v>45920</v>
      </c>
      <c r="AP407" s="41" t="s">
        <v>155</v>
      </c>
      <c r="AR407" s="41" t="s">
        <v>164</v>
      </c>
      <c r="AS407" s="41" t="s">
        <v>170</v>
      </c>
      <c r="AT407" s="41" t="s">
        <v>219</v>
      </c>
      <c r="AU407" s="41" t="s">
        <v>173</v>
      </c>
      <c r="AW407" s="41" t="s">
        <v>171</v>
      </c>
      <c r="AX407" s="41" t="s">
        <v>1838</v>
      </c>
      <c r="AY407" s="41"/>
      <c r="AZ407" s="40" t="s">
        <v>2158</v>
      </c>
      <c r="BA407" s="40"/>
    </row>
    <row r="408" spans="6:53" ht="72.5" x14ac:dyDescent="0.35">
      <c r="F408" s="40" t="s">
        <v>1403</v>
      </c>
      <c r="G408" s="85" t="s">
        <v>923</v>
      </c>
      <c r="H408" s="40" t="s">
        <v>924</v>
      </c>
      <c r="I408" s="41" t="s">
        <v>223</v>
      </c>
      <c r="J408" s="41" t="s">
        <v>804</v>
      </c>
      <c r="K408" s="41" t="s">
        <v>805</v>
      </c>
      <c r="L408" s="40" t="s">
        <v>603</v>
      </c>
      <c r="O408" s="40" t="s">
        <v>104</v>
      </c>
      <c r="P408" s="41" t="s">
        <v>925</v>
      </c>
      <c r="Q408" s="41" t="s">
        <v>104</v>
      </c>
      <c r="R408" s="41" t="s">
        <v>104</v>
      </c>
      <c r="S408" s="40" t="s">
        <v>169</v>
      </c>
      <c r="T408" s="41" t="s">
        <v>104</v>
      </c>
      <c r="U408" s="41" t="s">
        <v>104</v>
      </c>
      <c r="V408" s="41" t="s">
        <v>104</v>
      </c>
      <c r="W408" s="41" t="s">
        <v>104</v>
      </c>
      <c r="X408" s="41" t="s">
        <v>104</v>
      </c>
      <c r="Y408" s="40" t="s">
        <v>104</v>
      </c>
      <c r="Z408" s="41" t="s">
        <v>104</v>
      </c>
      <c r="AA408" s="41" t="s">
        <v>102</v>
      </c>
      <c r="AB408" s="41" t="s">
        <v>104</v>
      </c>
      <c r="AC408" s="40" t="s">
        <v>604</v>
      </c>
      <c r="AD408" s="41" t="s">
        <v>607</v>
      </c>
      <c r="AE408" s="41" t="s">
        <v>102</v>
      </c>
      <c r="AF408" s="41" t="s">
        <v>931</v>
      </c>
      <c r="AG408" s="41" t="s">
        <v>139</v>
      </c>
      <c r="AH408" s="41" t="s">
        <v>141</v>
      </c>
      <c r="AI408" s="41">
        <v>4</v>
      </c>
      <c r="AJ408" s="41">
        <v>0</v>
      </c>
      <c r="AK408" s="41">
        <v>4</v>
      </c>
      <c r="AL408" s="42">
        <v>1051.5999999999999</v>
      </c>
      <c r="AM408" s="41" t="s">
        <v>144</v>
      </c>
      <c r="AN408" s="42">
        <v>4206.3999999999996</v>
      </c>
      <c r="AO408" s="41">
        <v>45920</v>
      </c>
      <c r="AP408" s="41" t="s">
        <v>155</v>
      </c>
      <c r="AR408" s="41" t="s">
        <v>164</v>
      </c>
      <c r="AS408" s="41" t="s">
        <v>170</v>
      </c>
      <c r="AT408" s="41" t="s">
        <v>219</v>
      </c>
      <c r="AU408" s="41" t="s">
        <v>173</v>
      </c>
      <c r="AW408" s="41" t="s">
        <v>171</v>
      </c>
      <c r="AX408" s="41" t="s">
        <v>1839</v>
      </c>
      <c r="AY408" s="41"/>
      <c r="AZ408" s="40" t="s">
        <v>2158</v>
      </c>
      <c r="BA408" s="40"/>
    </row>
    <row r="409" spans="6:53" ht="72.5" x14ac:dyDescent="0.35">
      <c r="F409" s="40" t="s">
        <v>1404</v>
      </c>
      <c r="G409" s="85" t="s">
        <v>932</v>
      </c>
      <c r="H409" s="40" t="s">
        <v>933</v>
      </c>
      <c r="I409" s="41" t="s">
        <v>223</v>
      </c>
      <c r="J409" s="41" t="s">
        <v>804</v>
      </c>
      <c r="K409" s="41" t="s">
        <v>805</v>
      </c>
      <c r="L409" s="40" t="s">
        <v>603</v>
      </c>
      <c r="O409" s="40" t="s">
        <v>104</v>
      </c>
      <c r="P409" s="41" t="s">
        <v>934</v>
      </c>
      <c r="Q409" s="41" t="s">
        <v>104</v>
      </c>
      <c r="R409" s="41" t="s">
        <v>104</v>
      </c>
      <c r="S409" s="40" t="s">
        <v>169</v>
      </c>
      <c r="T409" s="41" t="s">
        <v>693</v>
      </c>
      <c r="U409" s="41" t="s">
        <v>104</v>
      </c>
      <c r="V409" s="41" t="s">
        <v>104</v>
      </c>
      <c r="W409" s="41" t="s">
        <v>104</v>
      </c>
      <c r="X409" s="41" t="s">
        <v>104</v>
      </c>
      <c r="Y409" s="40" t="s">
        <v>104</v>
      </c>
      <c r="Z409" s="41" t="s">
        <v>104</v>
      </c>
      <c r="AA409" s="41" t="s">
        <v>102</v>
      </c>
      <c r="AB409" s="41" t="s">
        <v>104</v>
      </c>
      <c r="AC409" s="40" t="s">
        <v>604</v>
      </c>
      <c r="AD409" s="41" t="s">
        <v>607</v>
      </c>
      <c r="AE409" s="41" t="s">
        <v>102</v>
      </c>
      <c r="AF409" s="41" t="s">
        <v>935</v>
      </c>
      <c r="AG409" s="41" t="s">
        <v>139</v>
      </c>
      <c r="AH409" s="41" t="s">
        <v>141</v>
      </c>
      <c r="AI409" s="41">
        <v>6</v>
      </c>
      <c r="AJ409" s="41">
        <v>0</v>
      </c>
      <c r="AK409" s="41">
        <v>6</v>
      </c>
      <c r="AL409" s="42">
        <v>5279.4</v>
      </c>
      <c r="AM409" s="41" t="s">
        <v>144</v>
      </c>
      <c r="AN409" s="42">
        <v>31676.399999999998</v>
      </c>
      <c r="AO409" s="41">
        <v>45920</v>
      </c>
      <c r="AP409" s="41" t="s">
        <v>155</v>
      </c>
      <c r="AR409" s="41" t="s">
        <v>167</v>
      </c>
      <c r="AS409" s="41" t="s">
        <v>171</v>
      </c>
      <c r="AT409" s="41" t="s">
        <v>104</v>
      </c>
      <c r="AU409" s="41" t="s">
        <v>173</v>
      </c>
      <c r="AW409" s="41" t="s">
        <v>171</v>
      </c>
      <c r="AX409" s="41" t="s">
        <v>1840</v>
      </c>
      <c r="AY409" s="41"/>
      <c r="AZ409" s="40"/>
      <c r="BA409" s="40"/>
    </row>
    <row r="410" spans="6:53" ht="72.5" x14ac:dyDescent="0.35">
      <c r="F410" s="40" t="s">
        <v>1405</v>
      </c>
      <c r="G410" s="85" t="s">
        <v>936</v>
      </c>
      <c r="H410" s="40" t="s">
        <v>937</v>
      </c>
      <c r="I410" s="41" t="s">
        <v>223</v>
      </c>
      <c r="J410" s="41" t="s">
        <v>804</v>
      </c>
      <c r="K410" s="41" t="s">
        <v>805</v>
      </c>
      <c r="L410" s="40" t="s">
        <v>603</v>
      </c>
      <c r="O410" s="40" t="s">
        <v>104</v>
      </c>
      <c r="P410" s="41" t="s">
        <v>938</v>
      </c>
      <c r="Q410" s="41" t="s">
        <v>104</v>
      </c>
      <c r="R410" s="41" t="s">
        <v>104</v>
      </c>
      <c r="S410" s="40" t="s">
        <v>169</v>
      </c>
      <c r="T410" s="41" t="s">
        <v>693</v>
      </c>
      <c r="U410" s="41" t="s">
        <v>104</v>
      </c>
      <c r="V410" s="41" t="s">
        <v>104</v>
      </c>
      <c r="W410" s="41" t="s">
        <v>104</v>
      </c>
      <c r="X410" s="41" t="s">
        <v>104</v>
      </c>
      <c r="Y410" s="40" t="s">
        <v>104</v>
      </c>
      <c r="Z410" s="41" t="s">
        <v>104</v>
      </c>
      <c r="AA410" s="41" t="s">
        <v>102</v>
      </c>
      <c r="AB410" s="41" t="s">
        <v>104</v>
      </c>
      <c r="AC410" s="40" t="s">
        <v>604</v>
      </c>
      <c r="AD410" s="41" t="s">
        <v>607</v>
      </c>
      <c r="AE410" s="41" t="s">
        <v>102</v>
      </c>
      <c r="AF410" s="41" t="s">
        <v>935</v>
      </c>
      <c r="AG410" s="41" t="s">
        <v>139</v>
      </c>
      <c r="AH410" s="41" t="s">
        <v>141</v>
      </c>
      <c r="AI410" s="41">
        <v>1</v>
      </c>
      <c r="AJ410" s="41">
        <v>0</v>
      </c>
      <c r="AK410" s="41">
        <v>1</v>
      </c>
      <c r="AL410" s="42">
        <v>3042.2</v>
      </c>
      <c r="AM410" s="41" t="s">
        <v>144</v>
      </c>
      <c r="AN410" s="42">
        <v>3042.2</v>
      </c>
      <c r="AO410" s="41">
        <v>45920</v>
      </c>
      <c r="AP410" s="41" t="s">
        <v>155</v>
      </c>
      <c r="AR410" s="41" t="s">
        <v>167</v>
      </c>
      <c r="AS410" s="41" t="s">
        <v>171</v>
      </c>
      <c r="AT410" s="41" t="s">
        <v>104</v>
      </c>
      <c r="AU410" s="41" t="s">
        <v>173</v>
      </c>
      <c r="AW410" s="41" t="s">
        <v>171</v>
      </c>
      <c r="AX410" s="41" t="s">
        <v>1841</v>
      </c>
      <c r="AY410" s="41"/>
      <c r="AZ410" s="40"/>
      <c r="BA410" s="40"/>
    </row>
    <row r="411" spans="6:53" ht="72.5" x14ac:dyDescent="0.35">
      <c r="F411" s="40" t="s">
        <v>1406</v>
      </c>
      <c r="G411" s="85" t="s">
        <v>939</v>
      </c>
      <c r="H411" s="40" t="s">
        <v>940</v>
      </c>
      <c r="I411" s="41" t="s">
        <v>223</v>
      </c>
      <c r="J411" s="41" t="s">
        <v>804</v>
      </c>
      <c r="K411" s="41" t="s">
        <v>805</v>
      </c>
      <c r="L411" s="40" t="s">
        <v>603</v>
      </c>
      <c r="O411" s="40" t="s">
        <v>104</v>
      </c>
      <c r="P411" s="41" t="s">
        <v>941</v>
      </c>
      <c r="Q411" s="41" t="s">
        <v>104</v>
      </c>
      <c r="R411" s="41" t="s">
        <v>104</v>
      </c>
      <c r="S411" s="40" t="s">
        <v>169</v>
      </c>
      <c r="T411" s="41" t="s">
        <v>104</v>
      </c>
      <c r="U411" s="41" t="s">
        <v>104</v>
      </c>
      <c r="V411" s="41" t="s">
        <v>104</v>
      </c>
      <c r="W411" s="41" t="s">
        <v>104</v>
      </c>
      <c r="X411" s="41" t="s">
        <v>104</v>
      </c>
      <c r="Y411" s="40" t="s">
        <v>104</v>
      </c>
      <c r="Z411" s="41" t="s">
        <v>104</v>
      </c>
      <c r="AA411" s="41" t="s">
        <v>102</v>
      </c>
      <c r="AB411" s="41" t="s">
        <v>104</v>
      </c>
      <c r="AC411" s="40" t="s">
        <v>604</v>
      </c>
      <c r="AD411" s="41" t="s">
        <v>607</v>
      </c>
      <c r="AE411" s="41" t="s">
        <v>102</v>
      </c>
      <c r="AF411" s="41" t="s">
        <v>935</v>
      </c>
      <c r="AG411" s="41" t="s">
        <v>139</v>
      </c>
      <c r="AH411" s="41" t="s">
        <v>141</v>
      </c>
      <c r="AI411" s="41">
        <v>14</v>
      </c>
      <c r="AJ411" s="41">
        <v>0</v>
      </c>
      <c r="AK411" s="41">
        <v>14</v>
      </c>
      <c r="AL411" s="42">
        <v>428.65</v>
      </c>
      <c r="AM411" s="41" t="s">
        <v>144</v>
      </c>
      <c r="AN411" s="42">
        <v>6001.0999999999995</v>
      </c>
      <c r="AO411" s="41">
        <v>45920</v>
      </c>
      <c r="AP411" s="41" t="s">
        <v>155</v>
      </c>
      <c r="AR411" s="41" t="s">
        <v>164</v>
      </c>
      <c r="AS411" s="41" t="s">
        <v>170</v>
      </c>
      <c r="AT411" s="41" t="s">
        <v>219</v>
      </c>
      <c r="AU411" s="41" t="s">
        <v>173</v>
      </c>
      <c r="AW411" s="41" t="s">
        <v>171</v>
      </c>
      <c r="AX411" s="41" t="s">
        <v>1842</v>
      </c>
      <c r="AY411" s="41"/>
      <c r="AZ411" s="40" t="s">
        <v>2158</v>
      </c>
      <c r="BA411" s="40"/>
    </row>
    <row r="412" spans="6:53" ht="29" x14ac:dyDescent="0.35">
      <c r="F412" s="40" t="s">
        <v>1407</v>
      </c>
      <c r="G412" s="85" t="s">
        <v>942</v>
      </c>
      <c r="H412" s="40" t="s">
        <v>943</v>
      </c>
      <c r="I412" s="41" t="s">
        <v>223</v>
      </c>
      <c r="J412" s="41" t="s">
        <v>804</v>
      </c>
      <c r="K412" s="41" t="s">
        <v>805</v>
      </c>
      <c r="L412" s="40" t="s">
        <v>603</v>
      </c>
      <c r="O412" s="40" t="s">
        <v>104</v>
      </c>
      <c r="P412" s="41" t="s">
        <v>944</v>
      </c>
      <c r="Q412" s="41" t="s">
        <v>104</v>
      </c>
      <c r="R412" s="41" t="s">
        <v>104</v>
      </c>
      <c r="S412" s="40" t="s">
        <v>169</v>
      </c>
      <c r="T412" s="41" t="s">
        <v>104</v>
      </c>
      <c r="U412" s="41" t="s">
        <v>104</v>
      </c>
      <c r="V412" s="41" t="s">
        <v>104</v>
      </c>
      <c r="W412" s="41" t="s">
        <v>104</v>
      </c>
      <c r="X412" s="41" t="s">
        <v>104</v>
      </c>
      <c r="Y412" s="40" t="s">
        <v>604</v>
      </c>
      <c r="Z412" s="41" t="s">
        <v>605</v>
      </c>
      <c r="AA412" s="41" t="s">
        <v>117</v>
      </c>
      <c r="AB412" s="41" t="s">
        <v>935</v>
      </c>
      <c r="AC412" s="40" t="s">
        <v>604</v>
      </c>
      <c r="AD412" s="41" t="s">
        <v>607</v>
      </c>
      <c r="AE412" s="41" t="s">
        <v>117</v>
      </c>
      <c r="AF412" s="41" t="s">
        <v>935</v>
      </c>
      <c r="AG412" s="41" t="s">
        <v>139</v>
      </c>
      <c r="AH412" s="41" t="s">
        <v>141</v>
      </c>
      <c r="AI412" s="41">
        <v>12</v>
      </c>
      <c r="AJ412" s="41">
        <v>12</v>
      </c>
      <c r="AK412" s="41">
        <v>0</v>
      </c>
      <c r="AL412" s="42">
        <v>0</v>
      </c>
      <c r="AM412" s="41" t="s">
        <v>144</v>
      </c>
      <c r="AN412" s="42">
        <v>0</v>
      </c>
      <c r="AO412" s="41">
        <v>45920</v>
      </c>
      <c r="AP412" s="41" t="s">
        <v>155</v>
      </c>
      <c r="AR412" s="41" t="s">
        <v>165</v>
      </c>
      <c r="AS412" s="41" t="s">
        <v>169</v>
      </c>
      <c r="AT412" s="41" t="s">
        <v>104</v>
      </c>
      <c r="AU412" s="41" t="s">
        <v>173</v>
      </c>
      <c r="AW412" s="41" t="s">
        <v>171</v>
      </c>
      <c r="AX412" s="41" t="s">
        <v>1843</v>
      </c>
      <c r="AY412" s="41"/>
      <c r="AZ412" s="40"/>
      <c r="BA412" s="40" t="s">
        <v>2161</v>
      </c>
    </row>
    <row r="413" spans="6:53" ht="72.5" x14ac:dyDescent="0.35">
      <c r="F413" s="40" t="s">
        <v>1408</v>
      </c>
      <c r="G413" s="85" t="s">
        <v>939</v>
      </c>
      <c r="H413" s="40" t="s">
        <v>940</v>
      </c>
      <c r="I413" s="41" t="s">
        <v>223</v>
      </c>
      <c r="J413" s="41" t="s">
        <v>804</v>
      </c>
      <c r="K413" s="41" t="s">
        <v>805</v>
      </c>
      <c r="L413" s="40" t="s">
        <v>603</v>
      </c>
      <c r="O413" s="40" t="s">
        <v>104</v>
      </c>
      <c r="P413" s="41" t="s">
        <v>941</v>
      </c>
      <c r="Q413" s="41" t="s">
        <v>104</v>
      </c>
      <c r="R413" s="41" t="s">
        <v>104</v>
      </c>
      <c r="S413" s="40" t="s">
        <v>169</v>
      </c>
      <c r="T413" s="41" t="s">
        <v>104</v>
      </c>
      <c r="U413" s="41" t="s">
        <v>104</v>
      </c>
      <c r="V413" s="41" t="s">
        <v>104</v>
      </c>
      <c r="W413" s="41" t="s">
        <v>104</v>
      </c>
      <c r="X413" s="41" t="s">
        <v>104</v>
      </c>
      <c r="Y413" s="40" t="s">
        <v>104</v>
      </c>
      <c r="Z413" s="41" t="s">
        <v>104</v>
      </c>
      <c r="AA413" s="41" t="s">
        <v>102</v>
      </c>
      <c r="AB413" s="41" t="s">
        <v>104</v>
      </c>
      <c r="AC413" s="40" t="s">
        <v>604</v>
      </c>
      <c r="AD413" s="41" t="s">
        <v>607</v>
      </c>
      <c r="AE413" s="41" t="s">
        <v>102</v>
      </c>
      <c r="AF413" s="41" t="s">
        <v>903</v>
      </c>
      <c r="AG413" s="41" t="s">
        <v>139</v>
      </c>
      <c r="AH413" s="41" t="s">
        <v>141</v>
      </c>
      <c r="AI413" s="41">
        <v>4</v>
      </c>
      <c r="AJ413" s="41">
        <v>0</v>
      </c>
      <c r="AK413" s="41">
        <v>4</v>
      </c>
      <c r="AL413" s="42">
        <v>428.65</v>
      </c>
      <c r="AM413" s="41" t="s">
        <v>144</v>
      </c>
      <c r="AN413" s="42">
        <v>1714.6</v>
      </c>
      <c r="AO413" s="41">
        <v>45920</v>
      </c>
      <c r="AP413" s="41" t="s">
        <v>155</v>
      </c>
      <c r="AR413" s="41" t="s">
        <v>164</v>
      </c>
      <c r="AS413" s="41" t="s">
        <v>170</v>
      </c>
      <c r="AT413" s="41" t="s">
        <v>219</v>
      </c>
      <c r="AU413" s="41" t="s">
        <v>173</v>
      </c>
      <c r="AW413" s="41" t="s">
        <v>171</v>
      </c>
      <c r="AX413" s="41" t="s">
        <v>1844</v>
      </c>
      <c r="AY413" s="41"/>
      <c r="AZ413" s="40" t="s">
        <v>2158</v>
      </c>
      <c r="BA413" s="40"/>
    </row>
    <row r="414" spans="6:53" ht="29" x14ac:dyDescent="0.35">
      <c r="F414" s="40" t="s">
        <v>1409</v>
      </c>
      <c r="G414" s="85" t="s">
        <v>942</v>
      </c>
      <c r="H414" s="40" t="s">
        <v>945</v>
      </c>
      <c r="I414" s="41" t="s">
        <v>223</v>
      </c>
      <c r="J414" s="41" t="s">
        <v>804</v>
      </c>
      <c r="K414" s="41" t="s">
        <v>805</v>
      </c>
      <c r="L414" s="40" t="s">
        <v>603</v>
      </c>
      <c r="O414" s="40" t="s">
        <v>104</v>
      </c>
      <c r="P414" s="41" t="s">
        <v>946</v>
      </c>
      <c r="Q414" s="41" t="s">
        <v>104</v>
      </c>
      <c r="R414" s="41" t="s">
        <v>104</v>
      </c>
      <c r="S414" s="40" t="s">
        <v>169</v>
      </c>
      <c r="T414" s="41" t="s">
        <v>104</v>
      </c>
      <c r="U414" s="41" t="s">
        <v>104</v>
      </c>
      <c r="V414" s="41" t="s">
        <v>104</v>
      </c>
      <c r="W414" s="41" t="s">
        <v>104</v>
      </c>
      <c r="X414" s="41" t="s">
        <v>104</v>
      </c>
      <c r="Y414" s="40" t="s">
        <v>604</v>
      </c>
      <c r="Z414" s="41" t="s">
        <v>605</v>
      </c>
      <c r="AA414" s="41" t="s">
        <v>102</v>
      </c>
      <c r="AB414" s="41" t="s">
        <v>903</v>
      </c>
      <c r="AC414" s="40" t="s">
        <v>604</v>
      </c>
      <c r="AD414" s="41" t="s">
        <v>607</v>
      </c>
      <c r="AE414" s="41" t="s">
        <v>102</v>
      </c>
      <c r="AF414" s="41" t="s">
        <v>903</v>
      </c>
      <c r="AG414" s="41" t="s">
        <v>139</v>
      </c>
      <c r="AH414" s="41" t="s">
        <v>141</v>
      </c>
      <c r="AI414" s="41">
        <v>4</v>
      </c>
      <c r="AJ414" s="41">
        <v>4</v>
      </c>
      <c r="AK414" s="41">
        <v>0</v>
      </c>
      <c r="AL414" s="42">
        <v>0</v>
      </c>
      <c r="AM414" s="41" t="s">
        <v>144</v>
      </c>
      <c r="AN414" s="42">
        <v>0</v>
      </c>
      <c r="AO414" s="41">
        <v>45920</v>
      </c>
      <c r="AP414" s="41" t="s">
        <v>155</v>
      </c>
      <c r="AR414" s="41" t="s">
        <v>165</v>
      </c>
      <c r="AS414" s="41" t="s">
        <v>169</v>
      </c>
      <c r="AT414" s="41" t="s">
        <v>104</v>
      </c>
      <c r="AU414" s="41" t="s">
        <v>173</v>
      </c>
      <c r="AW414" s="41" t="s">
        <v>171</v>
      </c>
      <c r="AX414" s="41" t="s">
        <v>1845</v>
      </c>
      <c r="AY414" s="41"/>
      <c r="AZ414" s="40"/>
      <c r="BA414" s="40" t="s">
        <v>2161</v>
      </c>
    </row>
    <row r="415" spans="6:53" ht="72.5" x14ac:dyDescent="0.35">
      <c r="F415" s="40" t="s">
        <v>1410</v>
      </c>
      <c r="G415" s="85" t="s">
        <v>932</v>
      </c>
      <c r="H415" s="40" t="s">
        <v>933</v>
      </c>
      <c r="I415" s="41" t="s">
        <v>223</v>
      </c>
      <c r="J415" s="41" t="s">
        <v>804</v>
      </c>
      <c r="K415" s="41" t="s">
        <v>805</v>
      </c>
      <c r="L415" s="40" t="s">
        <v>603</v>
      </c>
      <c r="O415" s="40" t="s">
        <v>104</v>
      </c>
      <c r="P415" s="41" t="s">
        <v>934</v>
      </c>
      <c r="Q415" s="41" t="s">
        <v>104</v>
      </c>
      <c r="R415" s="41" t="s">
        <v>104</v>
      </c>
      <c r="S415" s="40" t="s">
        <v>169</v>
      </c>
      <c r="T415" s="41" t="s">
        <v>693</v>
      </c>
      <c r="U415" s="41" t="s">
        <v>104</v>
      </c>
      <c r="V415" s="41" t="s">
        <v>104</v>
      </c>
      <c r="W415" s="41" t="s">
        <v>104</v>
      </c>
      <c r="X415" s="41" t="s">
        <v>104</v>
      </c>
      <c r="Y415" s="40" t="s">
        <v>104</v>
      </c>
      <c r="Z415" s="41" t="s">
        <v>104</v>
      </c>
      <c r="AA415" s="41" t="s">
        <v>102</v>
      </c>
      <c r="AB415" s="41" t="s">
        <v>104</v>
      </c>
      <c r="AC415" s="40" t="s">
        <v>604</v>
      </c>
      <c r="AD415" s="41" t="s">
        <v>607</v>
      </c>
      <c r="AE415" s="41" t="s">
        <v>102</v>
      </c>
      <c r="AF415" s="41" t="s">
        <v>903</v>
      </c>
      <c r="AG415" s="41" t="s">
        <v>139</v>
      </c>
      <c r="AH415" s="41" t="s">
        <v>141</v>
      </c>
      <c r="AI415" s="41">
        <v>1</v>
      </c>
      <c r="AJ415" s="41">
        <v>0</v>
      </c>
      <c r="AK415" s="41">
        <v>1</v>
      </c>
      <c r="AL415" s="42">
        <v>5279.4</v>
      </c>
      <c r="AM415" s="41" t="s">
        <v>144</v>
      </c>
      <c r="AN415" s="42">
        <v>5279.4</v>
      </c>
      <c r="AO415" s="41">
        <v>45920</v>
      </c>
      <c r="AP415" s="41" t="s">
        <v>155</v>
      </c>
      <c r="AR415" s="41" t="s">
        <v>167</v>
      </c>
      <c r="AS415" s="41" t="s">
        <v>171</v>
      </c>
      <c r="AT415" s="41" t="s">
        <v>104</v>
      </c>
      <c r="AU415" s="41" t="s">
        <v>173</v>
      </c>
      <c r="AW415" s="41" t="s">
        <v>171</v>
      </c>
      <c r="AX415" s="41" t="s">
        <v>1846</v>
      </c>
      <c r="AY415" s="41"/>
      <c r="AZ415" s="40"/>
      <c r="BA415" s="40"/>
    </row>
    <row r="416" spans="6:53" ht="72.5" x14ac:dyDescent="0.35">
      <c r="F416" s="40" t="s">
        <v>1411</v>
      </c>
      <c r="G416" s="85" t="s">
        <v>936</v>
      </c>
      <c r="H416" s="40" t="s">
        <v>937</v>
      </c>
      <c r="I416" s="41" t="s">
        <v>223</v>
      </c>
      <c r="J416" s="41" t="s">
        <v>804</v>
      </c>
      <c r="K416" s="41" t="s">
        <v>805</v>
      </c>
      <c r="L416" s="40" t="s">
        <v>603</v>
      </c>
      <c r="O416" s="40" t="s">
        <v>104</v>
      </c>
      <c r="P416" s="41" t="s">
        <v>938</v>
      </c>
      <c r="Q416" s="41" t="s">
        <v>104</v>
      </c>
      <c r="R416" s="41" t="s">
        <v>104</v>
      </c>
      <c r="S416" s="40" t="s">
        <v>169</v>
      </c>
      <c r="T416" s="41" t="s">
        <v>693</v>
      </c>
      <c r="U416" s="41" t="s">
        <v>104</v>
      </c>
      <c r="V416" s="41" t="s">
        <v>104</v>
      </c>
      <c r="W416" s="41" t="s">
        <v>104</v>
      </c>
      <c r="X416" s="41" t="s">
        <v>104</v>
      </c>
      <c r="Y416" s="40" t="s">
        <v>104</v>
      </c>
      <c r="Z416" s="41" t="s">
        <v>104</v>
      </c>
      <c r="AA416" s="41" t="s">
        <v>102</v>
      </c>
      <c r="AB416" s="41" t="s">
        <v>104</v>
      </c>
      <c r="AC416" s="40" t="s">
        <v>604</v>
      </c>
      <c r="AD416" s="41" t="s">
        <v>607</v>
      </c>
      <c r="AE416" s="41" t="s">
        <v>102</v>
      </c>
      <c r="AF416" s="41" t="s">
        <v>903</v>
      </c>
      <c r="AG416" s="41" t="s">
        <v>139</v>
      </c>
      <c r="AH416" s="41" t="s">
        <v>141</v>
      </c>
      <c r="AI416" s="41">
        <v>2</v>
      </c>
      <c r="AJ416" s="41">
        <v>0</v>
      </c>
      <c r="AK416" s="41">
        <v>2</v>
      </c>
      <c r="AL416" s="42">
        <v>3057.99</v>
      </c>
      <c r="AM416" s="41" t="s">
        <v>144</v>
      </c>
      <c r="AN416" s="42">
        <v>6115.98</v>
      </c>
      <c r="AO416" s="41">
        <v>45920</v>
      </c>
      <c r="AP416" s="41" t="s">
        <v>155</v>
      </c>
      <c r="AR416" s="41" t="s">
        <v>167</v>
      </c>
      <c r="AS416" s="41" t="s">
        <v>171</v>
      </c>
      <c r="AT416" s="41" t="s">
        <v>104</v>
      </c>
      <c r="AU416" s="41" t="s">
        <v>173</v>
      </c>
      <c r="AW416" s="41" t="s">
        <v>171</v>
      </c>
      <c r="AX416" s="41" t="s">
        <v>1847</v>
      </c>
      <c r="AY416" s="41"/>
      <c r="AZ416" s="40"/>
      <c r="BA416" s="40" t="s">
        <v>2162</v>
      </c>
    </row>
    <row r="417" spans="6:53" ht="72.5" x14ac:dyDescent="0.35">
      <c r="F417" s="40" t="s">
        <v>1412</v>
      </c>
      <c r="G417" s="85" t="s">
        <v>947</v>
      </c>
      <c r="H417" s="40" t="s">
        <v>948</v>
      </c>
      <c r="I417" s="41" t="s">
        <v>223</v>
      </c>
      <c r="J417" s="41" t="s">
        <v>804</v>
      </c>
      <c r="K417" s="41" t="s">
        <v>805</v>
      </c>
      <c r="L417" s="40" t="s">
        <v>603</v>
      </c>
      <c r="O417" s="40" t="s">
        <v>104</v>
      </c>
      <c r="P417" s="41" t="s">
        <v>948</v>
      </c>
      <c r="Q417" s="41" t="s">
        <v>104</v>
      </c>
      <c r="R417" s="41" t="s">
        <v>104</v>
      </c>
      <c r="S417" s="40" t="s">
        <v>169</v>
      </c>
      <c r="T417" s="41" t="s">
        <v>104</v>
      </c>
      <c r="U417" s="41" t="s">
        <v>104</v>
      </c>
      <c r="V417" s="41" t="s">
        <v>104</v>
      </c>
      <c r="W417" s="41" t="s">
        <v>104</v>
      </c>
      <c r="X417" s="41" t="s">
        <v>114</v>
      </c>
      <c r="Y417" s="40" t="s">
        <v>104</v>
      </c>
      <c r="Z417" s="41" t="s">
        <v>104</v>
      </c>
      <c r="AA417" s="41" t="s">
        <v>102</v>
      </c>
      <c r="AB417" s="41" t="s">
        <v>104</v>
      </c>
      <c r="AC417" s="40" t="s">
        <v>604</v>
      </c>
      <c r="AD417" s="41" t="s">
        <v>607</v>
      </c>
      <c r="AE417" s="41" t="s">
        <v>102</v>
      </c>
      <c r="AF417" s="41" t="s">
        <v>903</v>
      </c>
      <c r="AG417" s="41" t="s">
        <v>139</v>
      </c>
      <c r="AH417" s="41" t="s">
        <v>141</v>
      </c>
      <c r="AI417" s="41">
        <v>1</v>
      </c>
      <c r="AJ417" s="41">
        <v>0</v>
      </c>
      <c r="AK417" s="41">
        <v>1</v>
      </c>
      <c r="AL417" s="42">
        <v>138.6</v>
      </c>
      <c r="AM417" s="41" t="s">
        <v>144</v>
      </c>
      <c r="AN417" s="42">
        <v>138.6</v>
      </c>
      <c r="AO417" s="41">
        <v>45920</v>
      </c>
      <c r="AP417" s="41" t="s">
        <v>155</v>
      </c>
      <c r="AR417" s="41" t="s">
        <v>164</v>
      </c>
      <c r="AS417" s="41" t="s">
        <v>170</v>
      </c>
      <c r="AT417" s="41" t="s">
        <v>219</v>
      </c>
      <c r="AU417" s="41" t="s">
        <v>173</v>
      </c>
      <c r="AW417" s="41" t="s">
        <v>171</v>
      </c>
      <c r="AX417" s="41" t="s">
        <v>1848</v>
      </c>
      <c r="AY417" s="41"/>
      <c r="AZ417" s="40" t="s">
        <v>2158</v>
      </c>
      <c r="BA417" s="40"/>
    </row>
    <row r="418" spans="6:53" ht="72.5" x14ac:dyDescent="0.35">
      <c r="F418" s="40" t="s">
        <v>1413</v>
      </c>
      <c r="G418" s="85" t="s">
        <v>939</v>
      </c>
      <c r="H418" s="40" t="s">
        <v>940</v>
      </c>
      <c r="I418" s="41" t="s">
        <v>223</v>
      </c>
      <c r="J418" s="41" t="s">
        <v>804</v>
      </c>
      <c r="K418" s="41" t="s">
        <v>805</v>
      </c>
      <c r="L418" s="40" t="s">
        <v>603</v>
      </c>
      <c r="O418" s="40" t="s">
        <v>104</v>
      </c>
      <c r="P418" s="41" t="s">
        <v>941</v>
      </c>
      <c r="Q418" s="41" t="s">
        <v>104</v>
      </c>
      <c r="R418" s="41" t="s">
        <v>104</v>
      </c>
      <c r="S418" s="40" t="s">
        <v>169</v>
      </c>
      <c r="T418" s="41" t="s">
        <v>104</v>
      </c>
      <c r="U418" s="41" t="s">
        <v>104</v>
      </c>
      <c r="V418" s="41" t="s">
        <v>104</v>
      </c>
      <c r="W418" s="41" t="s">
        <v>104</v>
      </c>
      <c r="X418" s="41" t="s">
        <v>104</v>
      </c>
      <c r="Y418" s="40" t="s">
        <v>104</v>
      </c>
      <c r="Z418" s="41" t="s">
        <v>104</v>
      </c>
      <c r="AA418" s="41" t="s">
        <v>102</v>
      </c>
      <c r="AB418" s="41" t="s">
        <v>104</v>
      </c>
      <c r="AC418" s="40" t="s">
        <v>604</v>
      </c>
      <c r="AD418" s="41" t="s">
        <v>607</v>
      </c>
      <c r="AE418" s="41" t="s">
        <v>102</v>
      </c>
      <c r="AF418" s="41" t="s">
        <v>949</v>
      </c>
      <c r="AG418" s="41" t="s">
        <v>139</v>
      </c>
      <c r="AH418" s="41" t="s">
        <v>141</v>
      </c>
      <c r="AI418" s="41">
        <v>4</v>
      </c>
      <c r="AJ418" s="41">
        <v>0</v>
      </c>
      <c r="AK418" s="41">
        <v>4</v>
      </c>
      <c r="AL418" s="42">
        <v>428.65</v>
      </c>
      <c r="AM418" s="41" t="s">
        <v>144</v>
      </c>
      <c r="AN418" s="42">
        <v>1714.6</v>
      </c>
      <c r="AO418" s="41">
        <v>45920</v>
      </c>
      <c r="AP418" s="41" t="s">
        <v>155</v>
      </c>
      <c r="AR418" s="41" t="s">
        <v>164</v>
      </c>
      <c r="AS418" s="41" t="s">
        <v>170</v>
      </c>
      <c r="AT418" s="41" t="s">
        <v>219</v>
      </c>
      <c r="AU418" s="41" t="s">
        <v>173</v>
      </c>
      <c r="AW418" s="41" t="s">
        <v>171</v>
      </c>
      <c r="AX418" s="41" t="s">
        <v>1849</v>
      </c>
      <c r="AY418" s="41"/>
      <c r="AZ418" s="40" t="s">
        <v>2158</v>
      </c>
      <c r="BA418" s="40"/>
    </row>
    <row r="419" spans="6:53" ht="72.5" x14ac:dyDescent="0.35">
      <c r="F419" s="40" t="s">
        <v>1414</v>
      </c>
      <c r="G419" s="85" t="s">
        <v>936</v>
      </c>
      <c r="H419" s="40" t="s">
        <v>937</v>
      </c>
      <c r="I419" s="41" t="s">
        <v>223</v>
      </c>
      <c r="J419" s="41" t="s">
        <v>804</v>
      </c>
      <c r="K419" s="41" t="s">
        <v>805</v>
      </c>
      <c r="L419" s="40" t="s">
        <v>603</v>
      </c>
      <c r="O419" s="40" t="s">
        <v>104</v>
      </c>
      <c r="P419" s="41" t="s">
        <v>938</v>
      </c>
      <c r="Q419" s="41" t="s">
        <v>104</v>
      </c>
      <c r="R419" s="41" t="s">
        <v>104</v>
      </c>
      <c r="S419" s="40" t="s">
        <v>169</v>
      </c>
      <c r="T419" s="41" t="s">
        <v>693</v>
      </c>
      <c r="U419" s="41" t="s">
        <v>104</v>
      </c>
      <c r="V419" s="41" t="s">
        <v>104</v>
      </c>
      <c r="W419" s="41" t="s">
        <v>104</v>
      </c>
      <c r="X419" s="41" t="s">
        <v>104</v>
      </c>
      <c r="Y419" s="40" t="s">
        <v>104</v>
      </c>
      <c r="Z419" s="41" t="s">
        <v>104</v>
      </c>
      <c r="AA419" s="41" t="s">
        <v>102</v>
      </c>
      <c r="AB419" s="41" t="s">
        <v>104</v>
      </c>
      <c r="AC419" s="40" t="s">
        <v>604</v>
      </c>
      <c r="AD419" s="41" t="s">
        <v>607</v>
      </c>
      <c r="AE419" s="41" t="s">
        <v>102</v>
      </c>
      <c r="AF419" s="41" t="s">
        <v>949</v>
      </c>
      <c r="AG419" s="41" t="s">
        <v>139</v>
      </c>
      <c r="AH419" s="41" t="s">
        <v>141</v>
      </c>
      <c r="AI419" s="41">
        <v>2</v>
      </c>
      <c r="AJ419" s="41">
        <v>0</v>
      </c>
      <c r="AK419" s="41">
        <v>2</v>
      </c>
      <c r="AL419" s="42">
        <v>3042.2</v>
      </c>
      <c r="AM419" s="41" t="s">
        <v>144</v>
      </c>
      <c r="AN419" s="42">
        <v>6084.4</v>
      </c>
      <c r="AO419" s="41">
        <v>45920</v>
      </c>
      <c r="AP419" s="41" t="s">
        <v>155</v>
      </c>
      <c r="AR419" s="41" t="s">
        <v>167</v>
      </c>
      <c r="AS419" s="41" t="s">
        <v>171</v>
      </c>
      <c r="AT419" s="41" t="s">
        <v>104</v>
      </c>
      <c r="AU419" s="41" t="s">
        <v>173</v>
      </c>
      <c r="AW419" s="41" t="s">
        <v>171</v>
      </c>
      <c r="AX419" s="41" t="s">
        <v>1850</v>
      </c>
      <c r="AY419" s="41"/>
      <c r="AZ419" s="40"/>
      <c r="BA419" s="40"/>
    </row>
    <row r="420" spans="6:53" ht="72.5" x14ac:dyDescent="0.35">
      <c r="F420" s="40" t="s">
        <v>1415</v>
      </c>
      <c r="G420" s="85" t="s">
        <v>936</v>
      </c>
      <c r="H420" s="40" t="s">
        <v>937</v>
      </c>
      <c r="I420" s="41" t="s">
        <v>223</v>
      </c>
      <c r="J420" s="41" t="s">
        <v>804</v>
      </c>
      <c r="K420" s="41" t="s">
        <v>805</v>
      </c>
      <c r="L420" s="40" t="s">
        <v>603</v>
      </c>
      <c r="O420" s="40" t="s">
        <v>104</v>
      </c>
      <c r="P420" s="41" t="s">
        <v>938</v>
      </c>
      <c r="Q420" s="41" t="s">
        <v>104</v>
      </c>
      <c r="R420" s="41" t="s">
        <v>104</v>
      </c>
      <c r="S420" s="40" t="s">
        <v>169</v>
      </c>
      <c r="T420" s="41" t="s">
        <v>693</v>
      </c>
      <c r="U420" s="41" t="s">
        <v>104</v>
      </c>
      <c r="V420" s="41" t="s">
        <v>104</v>
      </c>
      <c r="W420" s="41" t="s">
        <v>104</v>
      </c>
      <c r="X420" s="41" t="s">
        <v>104</v>
      </c>
      <c r="Y420" s="40" t="s">
        <v>104</v>
      </c>
      <c r="Z420" s="41" t="s">
        <v>104</v>
      </c>
      <c r="AA420" s="41" t="s">
        <v>102</v>
      </c>
      <c r="AB420" s="41" t="s">
        <v>104</v>
      </c>
      <c r="AC420" s="40" t="s">
        <v>604</v>
      </c>
      <c r="AD420" s="41" t="s">
        <v>607</v>
      </c>
      <c r="AE420" s="41" t="s">
        <v>102</v>
      </c>
      <c r="AF420" s="41" t="s">
        <v>950</v>
      </c>
      <c r="AG420" s="41" t="s">
        <v>139</v>
      </c>
      <c r="AH420" s="41" t="s">
        <v>141</v>
      </c>
      <c r="AI420" s="41">
        <v>1</v>
      </c>
      <c r="AJ420" s="41">
        <v>0</v>
      </c>
      <c r="AK420" s="41">
        <v>1</v>
      </c>
      <c r="AL420" s="42">
        <v>3042.2</v>
      </c>
      <c r="AM420" s="41" t="s">
        <v>144</v>
      </c>
      <c r="AN420" s="42">
        <v>3042.2</v>
      </c>
      <c r="AO420" s="41">
        <v>45920</v>
      </c>
      <c r="AP420" s="41" t="s">
        <v>155</v>
      </c>
      <c r="AR420" s="41" t="s">
        <v>167</v>
      </c>
      <c r="AS420" s="41" t="s">
        <v>171</v>
      </c>
      <c r="AT420" s="41" t="s">
        <v>104</v>
      </c>
      <c r="AU420" s="41" t="s">
        <v>173</v>
      </c>
      <c r="AW420" s="41" t="s">
        <v>171</v>
      </c>
      <c r="AX420" s="41" t="s">
        <v>1851</v>
      </c>
      <c r="AY420" s="41"/>
      <c r="AZ420" s="40"/>
      <c r="BA420" s="40" t="s">
        <v>2162</v>
      </c>
    </row>
    <row r="421" spans="6:53" ht="29" x14ac:dyDescent="0.35">
      <c r="F421" s="40" t="s">
        <v>1416</v>
      </c>
      <c r="G421" s="85" t="s">
        <v>942</v>
      </c>
      <c r="H421" s="40" t="s">
        <v>945</v>
      </c>
      <c r="I421" s="41" t="s">
        <v>223</v>
      </c>
      <c r="J421" s="41" t="s">
        <v>804</v>
      </c>
      <c r="K421" s="41" t="s">
        <v>805</v>
      </c>
      <c r="L421" s="40" t="s">
        <v>603</v>
      </c>
      <c r="O421" s="40" t="s">
        <v>104</v>
      </c>
      <c r="P421" s="41" t="s">
        <v>946</v>
      </c>
      <c r="Q421" s="41" t="s">
        <v>104</v>
      </c>
      <c r="R421" s="41" t="s">
        <v>104</v>
      </c>
      <c r="S421" s="40" t="s">
        <v>169</v>
      </c>
      <c r="T421" s="41" t="s">
        <v>104</v>
      </c>
      <c r="U421" s="41" t="s">
        <v>104</v>
      </c>
      <c r="V421" s="41" t="s">
        <v>104</v>
      </c>
      <c r="W421" s="41" t="s">
        <v>104</v>
      </c>
      <c r="X421" s="41" t="s">
        <v>104</v>
      </c>
      <c r="Y421" s="40" t="s">
        <v>604</v>
      </c>
      <c r="Z421" s="41" t="s">
        <v>605</v>
      </c>
      <c r="AA421" s="41" t="s">
        <v>117</v>
      </c>
      <c r="AB421" s="41" t="s">
        <v>950</v>
      </c>
      <c r="AC421" s="40" t="s">
        <v>604</v>
      </c>
      <c r="AD421" s="41" t="s">
        <v>607</v>
      </c>
      <c r="AE421" s="41" t="s">
        <v>117</v>
      </c>
      <c r="AF421" s="41" t="s">
        <v>950</v>
      </c>
      <c r="AG421" s="41" t="s">
        <v>139</v>
      </c>
      <c r="AH421" s="41" t="s">
        <v>141</v>
      </c>
      <c r="AI421" s="41">
        <v>2</v>
      </c>
      <c r="AJ421" s="41">
        <v>2</v>
      </c>
      <c r="AK421" s="41">
        <v>0</v>
      </c>
      <c r="AL421" s="42">
        <v>0</v>
      </c>
      <c r="AM421" s="41" t="s">
        <v>144</v>
      </c>
      <c r="AN421" s="42">
        <v>0</v>
      </c>
      <c r="AO421" s="41">
        <v>45920</v>
      </c>
      <c r="AP421" s="41" t="s">
        <v>155</v>
      </c>
      <c r="AR421" s="41" t="s">
        <v>165</v>
      </c>
      <c r="AS421" s="41" t="s">
        <v>169</v>
      </c>
      <c r="AT421" s="41" t="s">
        <v>104</v>
      </c>
      <c r="AU421" s="41" t="s">
        <v>173</v>
      </c>
      <c r="AW421" s="41" t="s">
        <v>171</v>
      </c>
      <c r="AX421" s="41" t="s">
        <v>1852</v>
      </c>
      <c r="AY421" s="41"/>
      <c r="AZ421" s="40"/>
      <c r="BA421" s="40" t="s">
        <v>2161</v>
      </c>
    </row>
    <row r="422" spans="6:53" x14ac:dyDescent="0.35">
      <c r="F422" s="40" t="s">
        <v>1417</v>
      </c>
      <c r="G422" s="85" t="s">
        <v>951</v>
      </c>
      <c r="H422" s="40" t="s">
        <v>951</v>
      </c>
      <c r="I422" s="41" t="s">
        <v>102</v>
      </c>
      <c r="J422" s="41" t="s">
        <v>804</v>
      </c>
      <c r="K422" s="41" t="s">
        <v>805</v>
      </c>
      <c r="L422" s="40" t="s">
        <v>603</v>
      </c>
      <c r="O422" s="40" t="s">
        <v>104</v>
      </c>
      <c r="P422" s="41" t="s">
        <v>104</v>
      </c>
      <c r="Q422" s="41" t="s">
        <v>104</v>
      </c>
      <c r="R422" s="41" t="s">
        <v>104</v>
      </c>
      <c r="AC422" s="40" t="s">
        <v>604</v>
      </c>
      <c r="AD422" s="41" t="s">
        <v>607</v>
      </c>
      <c r="AI422" s="41">
        <v>1</v>
      </c>
      <c r="AK422" s="41">
        <v>1</v>
      </c>
      <c r="AL422" s="42">
        <v>11150.44</v>
      </c>
      <c r="AM422" s="41" t="s">
        <v>144</v>
      </c>
      <c r="AN422" s="42">
        <v>11150.44</v>
      </c>
      <c r="AW422" s="41" t="s">
        <v>171</v>
      </c>
      <c r="AX422" s="41" t="s">
        <v>1853</v>
      </c>
      <c r="AY422" s="41"/>
      <c r="AZ422" s="40"/>
      <c r="BA422" s="40"/>
    </row>
    <row r="423" spans="6:53" ht="29" x14ac:dyDescent="0.35">
      <c r="F423" s="40" t="s">
        <v>1418</v>
      </c>
      <c r="G423" s="85" t="s">
        <v>952</v>
      </c>
      <c r="H423" s="40" t="s">
        <v>952</v>
      </c>
      <c r="I423" s="41" t="s">
        <v>102</v>
      </c>
      <c r="J423" s="41" t="s">
        <v>804</v>
      </c>
      <c r="K423" s="41" t="s">
        <v>805</v>
      </c>
      <c r="L423" s="40" t="s">
        <v>603</v>
      </c>
      <c r="O423" s="40" t="s">
        <v>104</v>
      </c>
      <c r="P423" s="41" t="s">
        <v>104</v>
      </c>
      <c r="Q423" s="41" t="s">
        <v>104</v>
      </c>
      <c r="R423" s="41" t="s">
        <v>104</v>
      </c>
      <c r="AC423" s="40" t="s">
        <v>604</v>
      </c>
      <c r="AD423" s="41" t="s">
        <v>607</v>
      </c>
      <c r="AI423" s="41">
        <v>1</v>
      </c>
      <c r="AK423" s="41">
        <v>1</v>
      </c>
      <c r="AL423" s="42">
        <v>7500</v>
      </c>
      <c r="AM423" s="41" t="s">
        <v>144</v>
      </c>
      <c r="AN423" s="42">
        <v>7500</v>
      </c>
      <c r="AW423" s="41" t="s">
        <v>171</v>
      </c>
      <c r="AX423" s="41" t="s">
        <v>1854</v>
      </c>
      <c r="AY423" s="41"/>
      <c r="AZ423" s="40"/>
      <c r="BA423" s="40"/>
    </row>
    <row r="424" spans="6:53" ht="29" x14ac:dyDescent="0.35">
      <c r="F424" s="40" t="s">
        <v>1419</v>
      </c>
      <c r="G424" s="85" t="s">
        <v>953</v>
      </c>
      <c r="H424" s="40" t="s">
        <v>954</v>
      </c>
      <c r="I424" s="41" t="s">
        <v>102</v>
      </c>
      <c r="J424" s="41" t="s">
        <v>804</v>
      </c>
      <c r="K424" s="41" t="s">
        <v>805</v>
      </c>
      <c r="L424" s="40" t="s">
        <v>603</v>
      </c>
      <c r="O424" s="40" t="s">
        <v>104</v>
      </c>
      <c r="P424" s="41" t="s">
        <v>104</v>
      </c>
      <c r="Q424" s="41" t="s">
        <v>104</v>
      </c>
      <c r="R424" s="41" t="s">
        <v>104</v>
      </c>
      <c r="AC424" s="40" t="s">
        <v>604</v>
      </c>
      <c r="AD424" s="41" t="s">
        <v>607</v>
      </c>
      <c r="AI424" s="41">
        <v>1</v>
      </c>
      <c r="AK424" s="41">
        <v>1</v>
      </c>
      <c r="AL424" s="42">
        <v>35100</v>
      </c>
      <c r="AM424" s="41" t="s">
        <v>144</v>
      </c>
      <c r="AN424" s="42">
        <v>35100</v>
      </c>
      <c r="AW424" s="41" t="s">
        <v>171</v>
      </c>
      <c r="AX424" s="41" t="s">
        <v>1855</v>
      </c>
      <c r="AY424" s="41"/>
      <c r="AZ424" s="40"/>
      <c r="BA424" s="40"/>
    </row>
    <row r="425" spans="6:53" ht="29" x14ac:dyDescent="0.35">
      <c r="F425" s="40" t="s">
        <v>1420</v>
      </c>
      <c r="G425" s="85" t="s">
        <v>955</v>
      </c>
      <c r="H425" s="40" t="s">
        <v>956</v>
      </c>
      <c r="I425" s="41" t="s">
        <v>102</v>
      </c>
      <c r="J425" s="41" t="s">
        <v>804</v>
      </c>
      <c r="K425" s="41" t="s">
        <v>805</v>
      </c>
      <c r="L425" s="40" t="s">
        <v>603</v>
      </c>
      <c r="O425" s="40" t="s">
        <v>104</v>
      </c>
      <c r="P425" s="41" t="s">
        <v>104</v>
      </c>
      <c r="Q425" s="41" t="s">
        <v>104</v>
      </c>
      <c r="R425" s="41" t="s">
        <v>104</v>
      </c>
      <c r="AC425" s="40" t="s">
        <v>604</v>
      </c>
      <c r="AD425" s="41" t="s">
        <v>607</v>
      </c>
      <c r="AI425" s="41">
        <v>1</v>
      </c>
      <c r="AK425" s="41">
        <v>1</v>
      </c>
      <c r="AL425" s="42">
        <v>8000</v>
      </c>
      <c r="AM425" s="41" t="s">
        <v>144</v>
      </c>
      <c r="AN425" s="42">
        <v>8000</v>
      </c>
      <c r="AW425" s="41" t="s">
        <v>171</v>
      </c>
      <c r="AX425" s="41" t="s">
        <v>1856</v>
      </c>
      <c r="AY425" s="41"/>
      <c r="AZ425" s="40"/>
      <c r="BA425" s="40"/>
    </row>
    <row r="426" spans="6:53" x14ac:dyDescent="0.35">
      <c r="F426" s="40" t="s">
        <v>1421</v>
      </c>
      <c r="G426" s="85" t="s">
        <v>957</v>
      </c>
      <c r="H426" s="40" t="s">
        <v>958</v>
      </c>
      <c r="I426" s="41" t="s">
        <v>102</v>
      </c>
      <c r="J426" s="41" t="s">
        <v>804</v>
      </c>
      <c r="K426" s="41" t="s">
        <v>805</v>
      </c>
      <c r="L426" s="40" t="s">
        <v>603</v>
      </c>
      <c r="O426" s="40" t="s">
        <v>104</v>
      </c>
      <c r="P426" s="41" t="s">
        <v>104</v>
      </c>
      <c r="Q426" s="41" t="s">
        <v>104</v>
      </c>
      <c r="R426" s="41" t="s">
        <v>104</v>
      </c>
      <c r="AC426" s="40" t="s">
        <v>604</v>
      </c>
      <c r="AD426" s="41" t="s">
        <v>607</v>
      </c>
      <c r="AI426" s="41">
        <v>1</v>
      </c>
      <c r="AK426" s="41">
        <v>1</v>
      </c>
      <c r="AL426" s="42">
        <v>22068.83</v>
      </c>
      <c r="AM426" s="41" t="s">
        <v>144</v>
      </c>
      <c r="AN426" s="42">
        <v>22068.83</v>
      </c>
      <c r="AW426" s="41" t="s">
        <v>171</v>
      </c>
      <c r="AX426" s="41" t="s">
        <v>1857</v>
      </c>
      <c r="AY426" s="41"/>
      <c r="AZ426" s="40"/>
      <c r="BA426" s="40"/>
    </row>
    <row r="427" spans="6:53" ht="43.5" x14ac:dyDescent="0.35">
      <c r="F427" s="40" t="s">
        <v>1422</v>
      </c>
      <c r="G427" s="85" t="s">
        <v>959</v>
      </c>
      <c r="H427" s="40" t="s">
        <v>960</v>
      </c>
      <c r="I427" s="41" t="s">
        <v>223</v>
      </c>
      <c r="J427" s="41" t="s">
        <v>804</v>
      </c>
      <c r="K427" s="41" t="s">
        <v>805</v>
      </c>
      <c r="L427" s="40" t="s">
        <v>603</v>
      </c>
      <c r="O427" s="40" t="s">
        <v>104</v>
      </c>
      <c r="P427" s="41" t="s">
        <v>961</v>
      </c>
      <c r="Q427" s="41" t="s">
        <v>104</v>
      </c>
      <c r="R427" s="41" t="s">
        <v>104</v>
      </c>
      <c r="S427" s="40" t="s">
        <v>169</v>
      </c>
      <c r="T427" s="41" t="s">
        <v>962</v>
      </c>
      <c r="U427" s="41" t="s">
        <v>104</v>
      </c>
      <c r="V427" s="41" t="s">
        <v>104</v>
      </c>
      <c r="W427" s="41" t="s">
        <v>104</v>
      </c>
      <c r="X427" s="41" t="s">
        <v>102</v>
      </c>
      <c r="Y427" s="40" t="s">
        <v>104</v>
      </c>
      <c r="Z427" s="41" t="s">
        <v>104</v>
      </c>
      <c r="AA427" s="41" t="s">
        <v>102</v>
      </c>
      <c r="AB427" s="41" t="s">
        <v>104</v>
      </c>
      <c r="AC427" s="40" t="s">
        <v>604</v>
      </c>
      <c r="AD427" s="41" t="s">
        <v>607</v>
      </c>
      <c r="AE427" s="41" t="s">
        <v>102</v>
      </c>
      <c r="AG427" s="41" t="s">
        <v>139</v>
      </c>
      <c r="AH427" s="41" t="s">
        <v>141</v>
      </c>
      <c r="AI427" s="41">
        <v>40</v>
      </c>
      <c r="AJ427" s="41">
        <v>0</v>
      </c>
      <c r="AK427" s="41">
        <v>40</v>
      </c>
      <c r="AL427" s="42">
        <v>55</v>
      </c>
      <c r="AM427" s="41" t="s">
        <v>144</v>
      </c>
      <c r="AN427" s="42">
        <v>2200</v>
      </c>
      <c r="AO427" s="41">
        <v>45920</v>
      </c>
      <c r="AP427" s="41" t="s">
        <v>155</v>
      </c>
      <c r="AR427" s="41" t="s">
        <v>167</v>
      </c>
      <c r="AS427" s="41" t="s">
        <v>171</v>
      </c>
      <c r="AT427" s="41" t="s">
        <v>104</v>
      </c>
      <c r="AU427" s="41" t="s">
        <v>173</v>
      </c>
      <c r="AW427" s="41" t="s">
        <v>171</v>
      </c>
      <c r="AX427" s="41" t="s">
        <v>1858</v>
      </c>
      <c r="AY427" s="41"/>
      <c r="AZ427" s="40"/>
      <c r="BA427" s="40" t="s">
        <v>2163</v>
      </c>
    </row>
    <row r="428" spans="6:53" ht="29" x14ac:dyDescent="0.35">
      <c r="F428" s="40" t="s">
        <v>1423</v>
      </c>
      <c r="G428" s="85" t="s">
        <v>963</v>
      </c>
      <c r="H428" s="40" t="s">
        <v>963</v>
      </c>
      <c r="I428" s="41" t="s">
        <v>223</v>
      </c>
      <c r="J428" s="41" t="s">
        <v>169</v>
      </c>
      <c r="K428" s="41" t="s">
        <v>169</v>
      </c>
      <c r="L428" s="40" t="s">
        <v>603</v>
      </c>
      <c r="O428" s="40" t="s">
        <v>104</v>
      </c>
      <c r="P428" s="41" t="s">
        <v>104</v>
      </c>
      <c r="Q428" s="41" t="s">
        <v>104</v>
      </c>
      <c r="R428" s="41" t="s">
        <v>104</v>
      </c>
      <c r="S428" s="40" t="s">
        <v>169</v>
      </c>
      <c r="T428" s="41" t="s">
        <v>169</v>
      </c>
      <c r="U428" s="41" t="s">
        <v>169</v>
      </c>
      <c r="V428" s="41" t="s">
        <v>107</v>
      </c>
      <c r="W428" s="41" t="s">
        <v>104</v>
      </c>
      <c r="X428" s="41" t="s">
        <v>37</v>
      </c>
      <c r="Y428" s="40" t="s">
        <v>104</v>
      </c>
      <c r="Z428" s="41" t="s">
        <v>104</v>
      </c>
      <c r="AA428" s="41" t="s">
        <v>120</v>
      </c>
      <c r="AB428" s="41">
        <v>559</v>
      </c>
      <c r="AC428" s="40" t="s">
        <v>604</v>
      </c>
      <c r="AD428" s="41" t="s">
        <v>607</v>
      </c>
      <c r="AE428" s="41" t="s">
        <v>120</v>
      </c>
      <c r="AG428" s="41" t="s">
        <v>137</v>
      </c>
      <c r="AH428" s="41" t="s">
        <v>141</v>
      </c>
      <c r="AI428" s="41">
        <v>1</v>
      </c>
      <c r="AK428" s="41">
        <v>1</v>
      </c>
      <c r="AL428" s="42"/>
      <c r="AM428" s="41" t="s">
        <v>144</v>
      </c>
      <c r="AN428" s="42">
        <v>0</v>
      </c>
      <c r="AO428" s="41" t="s">
        <v>169</v>
      </c>
      <c r="AP428" s="41" t="s">
        <v>154</v>
      </c>
      <c r="AQ428" s="41" t="s">
        <v>559</v>
      </c>
      <c r="AR428" s="41" t="s">
        <v>164</v>
      </c>
      <c r="AS428" s="41" t="s">
        <v>169</v>
      </c>
      <c r="AT428" s="41" t="s">
        <v>104</v>
      </c>
      <c r="AU428" s="41" t="s">
        <v>173</v>
      </c>
      <c r="AW428" s="41" t="s">
        <v>171</v>
      </c>
      <c r="AX428" s="41" t="s">
        <v>1859</v>
      </c>
      <c r="AY428" s="41"/>
      <c r="AZ428" s="40"/>
      <c r="BA428" s="40" t="s">
        <v>2164</v>
      </c>
    </row>
    <row r="429" spans="6:53" ht="29" x14ac:dyDescent="0.35">
      <c r="F429" s="40" t="s">
        <v>1424</v>
      </c>
      <c r="G429" s="85" t="s">
        <v>964</v>
      </c>
      <c r="H429" s="40" t="s">
        <v>964</v>
      </c>
      <c r="I429" s="41" t="s">
        <v>223</v>
      </c>
      <c r="J429" s="41" t="s">
        <v>169</v>
      </c>
      <c r="K429" s="41" t="s">
        <v>169</v>
      </c>
      <c r="L429" s="40" t="s">
        <v>603</v>
      </c>
      <c r="O429" s="40" t="s">
        <v>104</v>
      </c>
      <c r="P429" s="41" t="s">
        <v>104</v>
      </c>
      <c r="Q429" s="41" t="s">
        <v>104</v>
      </c>
      <c r="R429" s="41" t="s">
        <v>104</v>
      </c>
      <c r="S429" s="40" t="s">
        <v>169</v>
      </c>
      <c r="T429" s="41" t="s">
        <v>169</v>
      </c>
      <c r="U429" s="41" t="s">
        <v>169</v>
      </c>
      <c r="X429" s="41" t="s">
        <v>115</v>
      </c>
      <c r="Y429" s="40" t="s">
        <v>104</v>
      </c>
      <c r="Z429" s="41" t="s">
        <v>104</v>
      </c>
      <c r="AA429" s="41" t="s">
        <v>125</v>
      </c>
      <c r="AB429" s="41">
        <v>553</v>
      </c>
      <c r="AC429" s="40" t="s">
        <v>604</v>
      </c>
      <c r="AD429" s="41" t="s">
        <v>607</v>
      </c>
      <c r="AE429" s="41" t="s">
        <v>125</v>
      </c>
      <c r="AG429" s="41" t="s">
        <v>137</v>
      </c>
      <c r="AH429" s="41" t="s">
        <v>141</v>
      </c>
      <c r="AI429" s="41">
        <v>1</v>
      </c>
      <c r="AK429" s="41">
        <v>1</v>
      </c>
      <c r="AL429" s="42"/>
      <c r="AM429" s="41" t="s">
        <v>144</v>
      </c>
      <c r="AN429" s="42">
        <v>0</v>
      </c>
      <c r="AO429" s="41" t="s">
        <v>169</v>
      </c>
      <c r="AP429" s="41" t="s">
        <v>154</v>
      </c>
      <c r="AQ429" s="41" t="s">
        <v>163</v>
      </c>
      <c r="AR429" s="41" t="s">
        <v>164</v>
      </c>
      <c r="AS429" s="41" t="s">
        <v>169</v>
      </c>
      <c r="AT429" s="41" t="s">
        <v>104</v>
      </c>
      <c r="AU429" s="41" t="s">
        <v>173</v>
      </c>
      <c r="AW429" s="41" t="s">
        <v>171</v>
      </c>
      <c r="AX429" s="41" t="s">
        <v>1860</v>
      </c>
      <c r="AY429" s="41"/>
      <c r="AZ429" s="40"/>
      <c r="BA429" s="40" t="s">
        <v>2164</v>
      </c>
    </row>
    <row r="430" spans="6:53" ht="43.5" x14ac:dyDescent="0.35">
      <c r="F430" s="40" t="s">
        <v>1425</v>
      </c>
      <c r="G430" s="85" t="s">
        <v>965</v>
      </c>
      <c r="H430" s="40" t="s">
        <v>965</v>
      </c>
      <c r="I430" s="41" t="s">
        <v>101</v>
      </c>
      <c r="L430" s="40" t="s">
        <v>603</v>
      </c>
      <c r="O430" s="40" t="s">
        <v>104</v>
      </c>
      <c r="P430" s="41" t="s">
        <v>104</v>
      </c>
      <c r="Q430" s="41" t="s">
        <v>104</v>
      </c>
      <c r="R430" s="41" t="s">
        <v>104</v>
      </c>
      <c r="S430" s="40" t="s">
        <v>169</v>
      </c>
      <c r="T430" s="41" t="s">
        <v>169</v>
      </c>
      <c r="U430" s="41" t="s">
        <v>169</v>
      </c>
      <c r="X430" s="41" t="s">
        <v>102</v>
      </c>
      <c r="Y430" s="40" t="s">
        <v>104</v>
      </c>
      <c r="Z430" s="41" t="s">
        <v>104</v>
      </c>
      <c r="AA430" s="41" t="s">
        <v>125</v>
      </c>
      <c r="AB430" s="41">
        <v>553</v>
      </c>
      <c r="AC430" s="40" t="s">
        <v>604</v>
      </c>
      <c r="AD430" s="41" t="s">
        <v>607</v>
      </c>
      <c r="AE430" s="41" t="s">
        <v>125</v>
      </c>
      <c r="AG430" s="41" t="s">
        <v>137</v>
      </c>
      <c r="AH430" s="41" t="s">
        <v>141</v>
      </c>
      <c r="AI430" s="41">
        <v>1</v>
      </c>
      <c r="AK430" s="41">
        <v>1</v>
      </c>
      <c r="AL430" s="42"/>
      <c r="AM430" s="41" t="s">
        <v>144</v>
      </c>
      <c r="AN430" s="42">
        <v>0</v>
      </c>
      <c r="AO430" s="41" t="s">
        <v>169</v>
      </c>
      <c r="AP430" s="41" t="s">
        <v>154</v>
      </c>
      <c r="AQ430" s="41" t="s">
        <v>559</v>
      </c>
      <c r="AR430" s="41" t="s">
        <v>164</v>
      </c>
      <c r="AS430" s="41" t="s">
        <v>169</v>
      </c>
      <c r="AT430" s="41" t="s">
        <v>104</v>
      </c>
      <c r="AU430" s="41" t="s">
        <v>172</v>
      </c>
      <c r="AW430" s="41" t="s">
        <v>171</v>
      </c>
      <c r="AX430" s="41" t="s">
        <v>1861</v>
      </c>
      <c r="AY430" s="41"/>
      <c r="AZ430" s="40"/>
      <c r="BA430" s="40" t="s">
        <v>2165</v>
      </c>
    </row>
    <row r="431" spans="6:53" ht="29" x14ac:dyDescent="0.35">
      <c r="F431" s="40" t="s">
        <v>1426</v>
      </c>
      <c r="G431" s="85" t="s">
        <v>966</v>
      </c>
      <c r="H431" s="40" t="s">
        <v>966</v>
      </c>
      <c r="I431" s="41" t="s">
        <v>101</v>
      </c>
      <c r="J431" s="41" t="s">
        <v>169</v>
      </c>
      <c r="K431" s="41" t="s">
        <v>169</v>
      </c>
      <c r="L431" s="40" t="s">
        <v>603</v>
      </c>
      <c r="O431" s="40" t="s">
        <v>104</v>
      </c>
      <c r="P431" s="41" t="s">
        <v>104</v>
      </c>
      <c r="Q431" s="41" t="s">
        <v>104</v>
      </c>
      <c r="R431" s="41" t="s">
        <v>104</v>
      </c>
      <c r="S431" s="40" t="s">
        <v>169</v>
      </c>
      <c r="T431" s="41" t="s">
        <v>169</v>
      </c>
      <c r="U431" s="41" t="s">
        <v>169</v>
      </c>
      <c r="X431" s="41" t="s">
        <v>102</v>
      </c>
      <c r="Y431" s="40" t="s">
        <v>104</v>
      </c>
      <c r="Z431" s="41" t="s">
        <v>104</v>
      </c>
      <c r="AA431" s="41" t="s">
        <v>125</v>
      </c>
      <c r="AB431" s="41">
        <v>553</v>
      </c>
      <c r="AC431" s="40" t="s">
        <v>604</v>
      </c>
      <c r="AD431" s="41" t="s">
        <v>607</v>
      </c>
      <c r="AE431" s="41" t="s">
        <v>125</v>
      </c>
      <c r="AG431" s="41" t="s">
        <v>137</v>
      </c>
      <c r="AH431" s="41" t="s">
        <v>141</v>
      </c>
      <c r="AI431" s="41">
        <v>1</v>
      </c>
      <c r="AK431" s="41">
        <v>1</v>
      </c>
      <c r="AL431" s="42"/>
      <c r="AM431" s="41" t="s">
        <v>144</v>
      </c>
      <c r="AN431" s="42">
        <v>0</v>
      </c>
      <c r="AO431" s="41" t="s">
        <v>169</v>
      </c>
      <c r="AP431" s="41" t="s">
        <v>158</v>
      </c>
      <c r="AQ431" s="41" t="s">
        <v>559</v>
      </c>
      <c r="AR431" s="41" t="s">
        <v>164</v>
      </c>
      <c r="AS431" s="41" t="s">
        <v>169</v>
      </c>
      <c r="AT431" s="41" t="s">
        <v>104</v>
      </c>
      <c r="AU431" s="41" t="s">
        <v>172</v>
      </c>
      <c r="AW431" s="41" t="s">
        <v>171</v>
      </c>
      <c r="AX431" s="41" t="s">
        <v>1862</v>
      </c>
      <c r="AY431" s="41"/>
      <c r="AZ431" s="40"/>
      <c r="BA431" s="40" t="s">
        <v>2166</v>
      </c>
    </row>
    <row r="432" spans="6:53" ht="58" x14ac:dyDescent="0.35">
      <c r="F432" s="40" t="s">
        <v>1427</v>
      </c>
      <c r="G432" s="85" t="s">
        <v>967</v>
      </c>
      <c r="H432" s="40" t="s">
        <v>968</v>
      </c>
      <c r="I432" s="41" t="s">
        <v>223</v>
      </c>
      <c r="J432" s="41" t="s">
        <v>969</v>
      </c>
      <c r="L432" s="40" t="s">
        <v>603</v>
      </c>
      <c r="O432" s="40" t="s">
        <v>104</v>
      </c>
      <c r="P432" s="41" t="s">
        <v>104</v>
      </c>
      <c r="Q432" s="41" t="s">
        <v>104</v>
      </c>
      <c r="R432" s="41" t="s">
        <v>104</v>
      </c>
      <c r="S432" s="40" t="s">
        <v>104</v>
      </c>
      <c r="T432" s="41" t="s">
        <v>104</v>
      </c>
      <c r="U432" s="41" t="s">
        <v>104</v>
      </c>
      <c r="V432" s="41" t="s">
        <v>104</v>
      </c>
      <c r="W432" s="41" t="s">
        <v>104</v>
      </c>
      <c r="X432" s="41" t="s">
        <v>104</v>
      </c>
      <c r="Y432" s="40" t="s">
        <v>604</v>
      </c>
      <c r="Z432" s="41" t="s">
        <v>605</v>
      </c>
      <c r="AA432" s="41" t="s">
        <v>102</v>
      </c>
      <c r="AC432" s="40" t="s">
        <v>604</v>
      </c>
      <c r="AD432" s="41" t="s">
        <v>607</v>
      </c>
      <c r="AE432" s="41" t="s">
        <v>102</v>
      </c>
      <c r="AG432" s="41" t="s">
        <v>138</v>
      </c>
      <c r="AH432" s="41" t="s">
        <v>141</v>
      </c>
      <c r="AL432" s="42"/>
      <c r="AN432" s="42"/>
      <c r="AP432" s="41" t="s">
        <v>541</v>
      </c>
      <c r="AQ432" s="41" t="s">
        <v>559</v>
      </c>
      <c r="AR432" s="41" t="s">
        <v>165</v>
      </c>
      <c r="AS432" s="41" t="s">
        <v>171</v>
      </c>
      <c r="AT432" s="41" t="s">
        <v>104</v>
      </c>
      <c r="AU432" s="41" t="s">
        <v>173</v>
      </c>
      <c r="AW432" s="41" t="s">
        <v>171</v>
      </c>
      <c r="AX432" s="41" t="s">
        <v>1863</v>
      </c>
      <c r="AY432" s="41"/>
      <c r="AZ432" s="40"/>
      <c r="BA432" s="40" t="s">
        <v>2167</v>
      </c>
    </row>
    <row r="433" spans="6:53" ht="29" x14ac:dyDescent="0.35">
      <c r="F433" s="40" t="s">
        <v>1428</v>
      </c>
      <c r="G433" s="85" t="s">
        <v>970</v>
      </c>
      <c r="H433" s="40" t="s">
        <v>971</v>
      </c>
      <c r="I433" s="41" t="s">
        <v>101</v>
      </c>
      <c r="J433" s="41" t="s">
        <v>601</v>
      </c>
      <c r="K433" s="41" t="s">
        <v>972</v>
      </c>
      <c r="L433" s="40" t="s">
        <v>603</v>
      </c>
      <c r="O433" s="40" t="s">
        <v>104</v>
      </c>
      <c r="P433" s="41" t="s">
        <v>104</v>
      </c>
      <c r="Q433" s="41" t="s">
        <v>104</v>
      </c>
      <c r="R433" s="41" t="s">
        <v>104</v>
      </c>
      <c r="S433" s="40" t="s">
        <v>104</v>
      </c>
      <c r="T433" s="41" t="s">
        <v>104</v>
      </c>
      <c r="U433" s="41" t="s">
        <v>104</v>
      </c>
      <c r="V433" s="41" t="s">
        <v>104</v>
      </c>
      <c r="W433" s="41" t="s">
        <v>104</v>
      </c>
      <c r="AC433" s="40" t="s">
        <v>604</v>
      </c>
      <c r="AD433" s="41" t="s">
        <v>607</v>
      </c>
      <c r="AH433" s="41" t="s">
        <v>141</v>
      </c>
      <c r="AL433" s="42"/>
      <c r="AN433" s="42"/>
      <c r="AQ433" s="41" t="s">
        <v>162</v>
      </c>
      <c r="AT433" s="41" t="s">
        <v>104</v>
      </c>
      <c r="AU433" s="41" t="s">
        <v>173</v>
      </c>
      <c r="AW433" s="41" t="s">
        <v>171</v>
      </c>
      <c r="AX433" s="41" t="s">
        <v>1864</v>
      </c>
      <c r="AY433" s="41"/>
      <c r="AZ433" s="40"/>
      <c r="BA433" s="40" t="s">
        <v>2168</v>
      </c>
    </row>
    <row r="434" spans="6:53" ht="29" x14ac:dyDescent="0.35">
      <c r="F434" s="40" t="s">
        <v>1429</v>
      </c>
      <c r="G434" s="85" t="s">
        <v>973</v>
      </c>
      <c r="H434" s="40" t="s">
        <v>973</v>
      </c>
      <c r="I434" s="41" t="s">
        <v>101</v>
      </c>
      <c r="J434" s="41" t="s">
        <v>974</v>
      </c>
      <c r="K434" s="41" t="s">
        <v>975</v>
      </c>
      <c r="L434" s="40" t="s">
        <v>603</v>
      </c>
      <c r="O434" s="40" t="s">
        <v>104</v>
      </c>
      <c r="P434" s="41" t="s">
        <v>104</v>
      </c>
      <c r="Q434" s="41" t="s">
        <v>104</v>
      </c>
      <c r="R434" s="41" t="s">
        <v>104</v>
      </c>
      <c r="AC434" s="40" t="s">
        <v>604</v>
      </c>
      <c r="AD434" s="41" t="s">
        <v>607</v>
      </c>
      <c r="AG434" s="41" t="s">
        <v>139</v>
      </c>
      <c r="AH434" s="41" t="s">
        <v>141</v>
      </c>
      <c r="AL434" s="42"/>
      <c r="AN434" s="42"/>
      <c r="AP434" s="41" t="s">
        <v>154</v>
      </c>
      <c r="AQ434" s="41" t="s">
        <v>559</v>
      </c>
      <c r="AU434" s="41" t="s">
        <v>173</v>
      </c>
      <c r="AW434" s="41" t="s">
        <v>171</v>
      </c>
      <c r="AX434" s="41" t="s">
        <v>1865</v>
      </c>
      <c r="AY434" s="41"/>
      <c r="AZ434" s="40"/>
      <c r="BA434" s="40" t="s">
        <v>2169</v>
      </c>
    </row>
    <row r="435" spans="6:53" ht="43.5" x14ac:dyDescent="0.35">
      <c r="F435" s="40" t="s">
        <v>1430</v>
      </c>
      <c r="G435" s="85" t="s">
        <v>976</v>
      </c>
      <c r="H435" s="40" t="s">
        <v>977</v>
      </c>
      <c r="I435" s="41" t="s">
        <v>223</v>
      </c>
      <c r="J435" s="41" t="s">
        <v>804</v>
      </c>
      <c r="K435" s="41" t="s">
        <v>805</v>
      </c>
      <c r="L435" s="40" t="s">
        <v>603</v>
      </c>
      <c r="O435" s="40" t="s">
        <v>104</v>
      </c>
      <c r="P435" s="41" t="s">
        <v>104</v>
      </c>
      <c r="Q435" s="41" t="s">
        <v>104</v>
      </c>
      <c r="R435" s="41" t="s">
        <v>104</v>
      </c>
      <c r="AC435" s="40" t="s">
        <v>604</v>
      </c>
      <c r="AD435" s="41" t="s">
        <v>607</v>
      </c>
      <c r="AG435" s="41" t="s">
        <v>139</v>
      </c>
      <c r="AH435" s="41" t="s">
        <v>141</v>
      </c>
      <c r="AL435" s="42"/>
      <c r="AN435" s="42"/>
      <c r="AP435" s="41" t="s">
        <v>154</v>
      </c>
      <c r="AQ435" s="41" t="s">
        <v>559</v>
      </c>
      <c r="AU435" s="41" t="s">
        <v>173</v>
      </c>
      <c r="AW435" s="41" t="s">
        <v>171</v>
      </c>
      <c r="AX435" s="41" t="s">
        <v>1866</v>
      </c>
      <c r="AY435" s="41"/>
      <c r="AZ435" s="40"/>
      <c r="BA435" s="40" t="s">
        <v>2170</v>
      </c>
    </row>
    <row r="436" spans="6:53" ht="29" x14ac:dyDescent="0.35">
      <c r="F436" s="40" t="s">
        <v>1431</v>
      </c>
      <c r="G436" s="85" t="s">
        <v>978</v>
      </c>
      <c r="H436" s="40" t="s">
        <v>978</v>
      </c>
      <c r="I436" s="41" t="s">
        <v>101</v>
      </c>
      <c r="J436" s="41" t="s">
        <v>974</v>
      </c>
      <c r="K436" s="41" t="s">
        <v>975</v>
      </c>
      <c r="L436" s="40" t="s">
        <v>603</v>
      </c>
      <c r="O436" s="40" t="s">
        <v>104</v>
      </c>
      <c r="P436" s="41" t="s">
        <v>104</v>
      </c>
      <c r="Q436" s="41" t="s">
        <v>104</v>
      </c>
      <c r="R436" s="41" t="s">
        <v>104</v>
      </c>
      <c r="AB436" s="41" t="s">
        <v>979</v>
      </c>
      <c r="AC436" s="40" t="s">
        <v>604</v>
      </c>
      <c r="AD436" s="41" t="s">
        <v>607</v>
      </c>
      <c r="AG436" s="41" t="s">
        <v>139</v>
      </c>
      <c r="AH436" s="41" t="s">
        <v>141</v>
      </c>
      <c r="AL436" s="42"/>
      <c r="AN436" s="42"/>
      <c r="AP436" s="41" t="s">
        <v>154</v>
      </c>
      <c r="AQ436" s="41" t="s">
        <v>559</v>
      </c>
      <c r="AU436" s="41" t="s">
        <v>173</v>
      </c>
      <c r="AW436" s="41" t="s">
        <v>171</v>
      </c>
      <c r="AX436" s="41" t="s">
        <v>1867</v>
      </c>
      <c r="AY436" s="41"/>
      <c r="AZ436" s="40"/>
      <c r="BA436" s="40" t="s">
        <v>2171</v>
      </c>
    </row>
    <row r="437" spans="6:53" ht="29" x14ac:dyDescent="0.35">
      <c r="F437" s="40" t="s">
        <v>1432</v>
      </c>
      <c r="G437" s="85" t="s">
        <v>980</v>
      </c>
      <c r="H437" s="40" t="s">
        <v>981</v>
      </c>
      <c r="I437" s="41" t="s">
        <v>102</v>
      </c>
      <c r="L437" s="40" t="s">
        <v>603</v>
      </c>
      <c r="O437" s="40" t="s">
        <v>104</v>
      </c>
      <c r="P437" s="41" t="s">
        <v>104</v>
      </c>
      <c r="Q437" s="41" t="s">
        <v>104</v>
      </c>
      <c r="R437" s="41" t="s">
        <v>104</v>
      </c>
      <c r="Z437" s="41" t="s">
        <v>605</v>
      </c>
      <c r="AB437" s="41" t="s">
        <v>982</v>
      </c>
      <c r="AC437" s="40" t="s">
        <v>604</v>
      </c>
      <c r="AD437" s="41" t="s">
        <v>607</v>
      </c>
      <c r="AG437" s="41" t="s">
        <v>139</v>
      </c>
      <c r="AH437" s="41" t="s">
        <v>141</v>
      </c>
      <c r="AL437" s="42"/>
      <c r="AN437" s="42"/>
      <c r="AP437" s="41" t="s">
        <v>154</v>
      </c>
      <c r="AQ437" s="41" t="s">
        <v>559</v>
      </c>
      <c r="AR437" s="41" t="s">
        <v>165</v>
      </c>
      <c r="AS437" s="41" t="s">
        <v>171</v>
      </c>
      <c r="AU437" s="41" t="s">
        <v>173</v>
      </c>
      <c r="AW437" s="41" t="s">
        <v>171</v>
      </c>
      <c r="AX437" s="41" t="s">
        <v>1868</v>
      </c>
      <c r="AY437" s="41"/>
      <c r="AZ437" s="40"/>
      <c r="BA437" s="40" t="s">
        <v>2172</v>
      </c>
    </row>
    <row r="438" spans="6:53" ht="29" x14ac:dyDescent="0.35">
      <c r="F438" s="40" t="s">
        <v>1117</v>
      </c>
      <c r="G438" s="85" t="s">
        <v>701</v>
      </c>
      <c r="H438" s="40" t="s">
        <v>701</v>
      </c>
      <c r="I438" s="41" t="s">
        <v>223</v>
      </c>
      <c r="J438" s="41" t="s">
        <v>601</v>
      </c>
      <c r="K438" s="41" t="s">
        <v>602</v>
      </c>
      <c r="L438" s="40" t="s">
        <v>603</v>
      </c>
      <c r="O438" s="40" t="s">
        <v>104</v>
      </c>
      <c r="P438" s="41" t="s">
        <v>104</v>
      </c>
      <c r="Q438" s="41" t="s">
        <v>104</v>
      </c>
      <c r="R438" s="41" t="s">
        <v>104</v>
      </c>
      <c r="S438" s="40" t="s">
        <v>169</v>
      </c>
      <c r="U438" s="41" t="s">
        <v>104</v>
      </c>
      <c r="V438" s="41" t="s">
        <v>104</v>
      </c>
      <c r="W438" s="41" t="s">
        <v>104</v>
      </c>
      <c r="X438" s="41" t="s">
        <v>104</v>
      </c>
      <c r="Y438" s="40" t="s">
        <v>604</v>
      </c>
      <c r="Z438" s="41" t="s">
        <v>605</v>
      </c>
      <c r="AA438" s="41" t="s">
        <v>117</v>
      </c>
      <c r="AB438" s="41" t="s">
        <v>699</v>
      </c>
      <c r="AC438" s="40" t="s">
        <v>604</v>
      </c>
      <c r="AD438" s="41" t="s">
        <v>605</v>
      </c>
      <c r="AE438" s="41" t="s">
        <v>117</v>
      </c>
      <c r="AF438" s="41" t="s">
        <v>699</v>
      </c>
      <c r="AG438" s="41" t="s">
        <v>138</v>
      </c>
      <c r="AH438" s="41" t="s">
        <v>169</v>
      </c>
      <c r="AI438" s="41">
        <v>1</v>
      </c>
      <c r="AJ438" s="41">
        <v>1</v>
      </c>
      <c r="AK438" s="41">
        <v>0</v>
      </c>
      <c r="AL438" s="42">
        <v>0</v>
      </c>
      <c r="AM438" s="41" t="s">
        <v>144</v>
      </c>
      <c r="AN438" s="42">
        <v>0</v>
      </c>
      <c r="AO438" s="41" t="s">
        <v>104</v>
      </c>
      <c r="AP438" s="41" t="s">
        <v>541</v>
      </c>
      <c r="AQ438" s="41" t="s">
        <v>104</v>
      </c>
      <c r="AR438" s="41" t="s">
        <v>165</v>
      </c>
      <c r="AS438" s="41" t="s">
        <v>169</v>
      </c>
      <c r="AT438" s="41" t="s">
        <v>104</v>
      </c>
      <c r="AU438" s="41" t="s">
        <v>173</v>
      </c>
      <c r="AW438" s="41" t="s">
        <v>170</v>
      </c>
      <c r="AX438" s="41" t="s">
        <v>1553</v>
      </c>
      <c r="AY438" s="41" t="s">
        <v>1989</v>
      </c>
      <c r="AZ438" s="40"/>
      <c r="BA438" s="40"/>
    </row>
    <row r="439" spans="6:53" x14ac:dyDescent="0.35">
      <c r="F439" s="40" t="s">
        <v>1434</v>
      </c>
      <c r="G439" s="85" t="s">
        <v>988</v>
      </c>
      <c r="H439" s="40" t="s">
        <v>989</v>
      </c>
      <c r="I439" s="41" t="s">
        <v>102</v>
      </c>
      <c r="J439" s="41" t="s">
        <v>169</v>
      </c>
      <c r="K439" s="41" t="s">
        <v>169</v>
      </c>
      <c r="L439" s="40" t="s">
        <v>603</v>
      </c>
      <c r="V439" s="41" t="s">
        <v>104</v>
      </c>
      <c r="W439" s="41" t="s">
        <v>104</v>
      </c>
      <c r="X439" s="41" t="s">
        <v>115</v>
      </c>
      <c r="Y439" s="40" t="s">
        <v>104</v>
      </c>
      <c r="Z439" s="40" t="s">
        <v>104</v>
      </c>
      <c r="AA439" s="40" t="s">
        <v>104</v>
      </c>
      <c r="AB439" s="40" t="s">
        <v>104</v>
      </c>
      <c r="AC439" s="40" t="s">
        <v>990</v>
      </c>
      <c r="AD439" s="41" t="s">
        <v>607</v>
      </c>
      <c r="AG439" s="41" t="s">
        <v>139</v>
      </c>
      <c r="AH439" s="41" t="s">
        <v>141</v>
      </c>
      <c r="AL439" s="42"/>
      <c r="AN439" s="42"/>
      <c r="AP439" s="41" t="s">
        <v>156</v>
      </c>
      <c r="AQ439" s="41" t="s">
        <v>162</v>
      </c>
      <c r="AU439" s="41" t="s">
        <v>172</v>
      </c>
      <c r="AW439" s="41" t="s">
        <v>171</v>
      </c>
      <c r="AX439" s="41" t="s">
        <v>1870</v>
      </c>
      <c r="AY439" s="41"/>
      <c r="AZ439" s="40"/>
      <c r="BA439" s="40" t="s">
        <v>2174</v>
      </c>
    </row>
    <row r="440" spans="6:53" ht="29" x14ac:dyDescent="0.35">
      <c r="F440" s="40" t="s">
        <v>1435</v>
      </c>
      <c r="G440" s="85" t="s">
        <v>991</v>
      </c>
      <c r="H440" s="40" t="s">
        <v>992</v>
      </c>
      <c r="I440" s="41" t="s">
        <v>101</v>
      </c>
      <c r="L440" s="40" t="s">
        <v>603</v>
      </c>
      <c r="AC440" s="40" t="s">
        <v>993</v>
      </c>
      <c r="AG440" s="41" t="s">
        <v>139</v>
      </c>
      <c r="AH440" s="41" t="s">
        <v>141</v>
      </c>
      <c r="AL440" s="42"/>
      <c r="AN440" s="42"/>
      <c r="AP440" s="41" t="s">
        <v>154</v>
      </c>
      <c r="AQ440" s="41" t="s">
        <v>163</v>
      </c>
      <c r="AU440" s="41" t="s">
        <v>172</v>
      </c>
      <c r="AX440" s="41" t="s">
        <v>1871</v>
      </c>
      <c r="AY440" s="41"/>
      <c r="AZ440" s="40"/>
      <c r="BA440" s="40"/>
    </row>
    <row r="441" spans="6:53" x14ac:dyDescent="0.35">
      <c r="F441" s="40" t="s">
        <v>1436</v>
      </c>
      <c r="G441" s="85" t="s">
        <v>994</v>
      </c>
      <c r="H441" s="40" t="s">
        <v>995</v>
      </c>
      <c r="I441" s="41" t="s">
        <v>102</v>
      </c>
      <c r="J441" s="41" t="s">
        <v>985</v>
      </c>
      <c r="K441" s="41" t="s">
        <v>986</v>
      </c>
      <c r="L441" s="40" t="s">
        <v>603</v>
      </c>
      <c r="AC441" s="40" t="s">
        <v>996</v>
      </c>
      <c r="AG441" s="41" t="s">
        <v>139</v>
      </c>
      <c r="AH441" s="41" t="s">
        <v>141</v>
      </c>
      <c r="AL441" s="42"/>
      <c r="AN441" s="42"/>
      <c r="AP441" s="41" t="s">
        <v>154</v>
      </c>
      <c r="AQ441" s="41" t="s">
        <v>559</v>
      </c>
      <c r="AU441" s="41" t="s">
        <v>172</v>
      </c>
      <c r="AX441" s="41" t="s">
        <v>1872</v>
      </c>
      <c r="AY441" s="41"/>
      <c r="AZ441" s="40"/>
      <c r="BA441" s="40"/>
    </row>
    <row r="442" spans="6:53" ht="29" x14ac:dyDescent="0.35">
      <c r="F442" s="40" t="s">
        <v>1437</v>
      </c>
      <c r="G442" s="85" t="s">
        <v>997</v>
      </c>
      <c r="H442" s="40" t="s">
        <v>998</v>
      </c>
      <c r="I442" s="41" t="s">
        <v>101</v>
      </c>
      <c r="J442" s="41" t="s">
        <v>999</v>
      </c>
      <c r="K442" s="41" t="s">
        <v>975</v>
      </c>
      <c r="L442" s="40" t="s">
        <v>603</v>
      </c>
      <c r="M442" s="41" t="s">
        <v>2208</v>
      </c>
      <c r="N442" s="41" t="s">
        <v>2209</v>
      </c>
      <c r="P442" s="41" t="s">
        <v>2210</v>
      </c>
      <c r="V442" s="41" t="s">
        <v>106</v>
      </c>
      <c r="W442" s="41" t="s">
        <v>112</v>
      </c>
      <c r="X442" s="41" t="s">
        <v>115</v>
      </c>
      <c r="Y442" s="40" t="s">
        <v>104</v>
      </c>
      <c r="Z442" s="40" t="s">
        <v>104</v>
      </c>
      <c r="AB442" s="40" t="s">
        <v>104</v>
      </c>
      <c r="AC442" s="40" t="s">
        <v>1000</v>
      </c>
      <c r="AD442" s="41" t="s">
        <v>607</v>
      </c>
      <c r="AE442" s="41" t="s">
        <v>125</v>
      </c>
      <c r="AF442" s="41">
        <v>553</v>
      </c>
      <c r="AG442" s="41" t="s">
        <v>139</v>
      </c>
      <c r="AH442" s="41" t="s">
        <v>141</v>
      </c>
      <c r="AI442" s="41">
        <v>1</v>
      </c>
      <c r="AK442" s="41">
        <v>1</v>
      </c>
      <c r="AL442" s="42">
        <v>250.58</v>
      </c>
      <c r="AM442" s="41" t="s">
        <v>144</v>
      </c>
      <c r="AN442" s="42">
        <v>250.58</v>
      </c>
      <c r="AO442" s="64">
        <v>45882</v>
      </c>
      <c r="AP442" s="41" t="s">
        <v>158</v>
      </c>
      <c r="AQ442" s="41" t="s">
        <v>559</v>
      </c>
      <c r="AR442" s="41" t="s">
        <v>164</v>
      </c>
      <c r="AU442" s="41" t="s">
        <v>172</v>
      </c>
      <c r="AV442" s="41" t="s">
        <v>171</v>
      </c>
      <c r="AW442" s="41" t="s">
        <v>171</v>
      </c>
      <c r="AX442" s="41" t="s">
        <v>1873</v>
      </c>
      <c r="AY442" s="41"/>
      <c r="AZ442" s="40"/>
      <c r="BA442" s="40"/>
    </row>
    <row r="443" spans="6:53" ht="43.5" x14ac:dyDescent="0.35">
      <c r="F443" s="40" t="s">
        <v>1438</v>
      </c>
      <c r="G443" s="85" t="s">
        <v>1001</v>
      </c>
      <c r="H443" s="40" t="s">
        <v>1002</v>
      </c>
      <c r="I443" s="41" t="s">
        <v>223</v>
      </c>
      <c r="J443" s="41" t="s">
        <v>804</v>
      </c>
      <c r="K443" s="41" t="s">
        <v>805</v>
      </c>
      <c r="L443" s="40" t="s">
        <v>603</v>
      </c>
      <c r="AC443" s="40" t="s">
        <v>1003</v>
      </c>
      <c r="AG443" s="41" t="s">
        <v>139</v>
      </c>
      <c r="AH443" s="41" t="s">
        <v>141</v>
      </c>
      <c r="AL443" s="42"/>
      <c r="AN443" s="42"/>
      <c r="AP443" s="41" t="s">
        <v>154</v>
      </c>
      <c r="AQ443" s="41" t="s">
        <v>559</v>
      </c>
      <c r="AR443" s="41" t="s">
        <v>164</v>
      </c>
      <c r="AU443" s="41" t="s">
        <v>172</v>
      </c>
      <c r="AX443" s="41" t="s">
        <v>1874</v>
      </c>
      <c r="AY443" s="41"/>
      <c r="AZ443" s="40"/>
      <c r="BA443" s="40"/>
    </row>
    <row r="444" spans="6:53" x14ac:dyDescent="0.35">
      <c r="F444" s="40" t="s">
        <v>1439</v>
      </c>
      <c r="G444" s="85"/>
      <c r="AL444" s="42"/>
      <c r="AN444" s="42"/>
      <c r="AX444" s="41" t="s">
        <v>1875</v>
      </c>
      <c r="AY444" s="41"/>
      <c r="AZ444" s="40"/>
      <c r="BA444" s="40"/>
    </row>
  </sheetData>
  <phoneticPr fontId="5" type="noConversion"/>
  <conditionalFormatting sqref="AV8:AV444">
    <cfRule type="cellIs" dxfId="543" priority="17" stopIfTrue="1" operator="equal">
      <formula>"Yes"</formula>
    </cfRule>
  </conditionalFormatting>
  <conditionalFormatting sqref="AW8:AW444">
    <cfRule type="cellIs" dxfId="542" priority="18" stopIfTrue="1" operator="equal">
      <formula>"Yes"</formula>
    </cfRule>
  </conditionalFormatting>
  <conditionalFormatting sqref="F440:BA444 F439:AD439 AF439:BA439 F8:BA438">
    <cfRule type="expression" dxfId="541" priority="19" stopIfTrue="1">
      <formula>$AQ8="On Track"</formula>
    </cfRule>
    <cfRule type="expression" dxfId="540" priority="20" stopIfTrue="1">
      <formula>$AQ8="Issue"</formula>
    </cfRule>
    <cfRule type="expression" dxfId="539" priority="21" stopIfTrue="1">
      <formula>$AQ8="Completed &amp; Installed"</formula>
    </cfRule>
  </conditionalFormatting>
  <conditionalFormatting sqref="AE439">
    <cfRule type="expression" dxfId="538" priority="1" stopIfTrue="1">
      <formula>$AQ439="On Track"</formula>
    </cfRule>
    <cfRule type="expression" dxfId="537" priority="2" stopIfTrue="1">
      <formula>$AQ439="Issue"</formula>
    </cfRule>
    <cfRule type="expression" dxfId="536" priority="3" stopIfTrue="1">
      <formula>$AQ439="Completed &amp; Installed"</formula>
    </cfRule>
  </conditionalFormatting>
  <dataValidations count="16">
    <dataValidation type="list" allowBlank="1" showInputMessage="1" showErrorMessage="1" sqref="I8:I444" xr:uid="{4D3271D7-7A1B-4126-8EBB-9AB6B8B2EAC0}">
      <formula1>ProductTypeList</formula1>
    </dataValidation>
    <dataValidation type="list" allowBlank="1" showInputMessage="1" showErrorMessage="1" sqref="V8:V444" xr:uid="{F5D0AAFA-FED8-4C58-897E-44CCD1F52088}">
      <formula1>PowerRequiredList</formula1>
    </dataValidation>
    <dataValidation type="list" allowBlank="1" showInputMessage="1" showErrorMessage="1" sqref="W8:W444" xr:uid="{B46B49BA-8D27-46F8-8BFE-E0BC72E9F592}">
      <formula1>DataRequiredList</formula1>
    </dataValidation>
    <dataValidation type="list" allowBlank="1" showInputMessage="1" showErrorMessage="1" sqref="X8:X444" xr:uid="{A3DC1C86-D2A5-4364-A868-B9F4124CC7E3}">
      <formula1>MountedList</formula1>
    </dataValidation>
    <dataValidation type="list" allowBlank="1" showInputMessage="1" showErrorMessage="1" sqref="AA8:AA438 AA440:AA444 AE8:AE444" xr:uid="{E6143B81-2A86-49A3-AAEB-0CFAB05DE1FA}">
      <formula1>RoomTypeList</formula1>
    </dataValidation>
    <dataValidation type="list" allowBlank="1" showInputMessage="1" showErrorMessage="1" sqref="AG8:AG444" xr:uid="{5FA04378-B665-456F-AE4B-C24A0C5BEDF2}">
      <formula1>ProcurementList</formula1>
    </dataValidation>
    <dataValidation type="list" allowBlank="1" showInputMessage="1" showErrorMessage="1" sqref="AH8:AH444" xr:uid="{8E3E13F4-411F-43F4-8AD3-DD7D324CE17D}">
      <formula1>FundingSourceList</formula1>
    </dataValidation>
    <dataValidation type="list" allowBlank="1" showInputMessage="1" showErrorMessage="1" sqref="AM8:AM444" xr:uid="{4F07F291-DF77-4BD0-B935-38B5ACD20D98}">
      <formula1>UnitOfMeasureList</formula1>
    </dataValidation>
    <dataValidation type="list" allowBlank="1" showInputMessage="1" showErrorMessage="1" sqref="AP8:AP444" xr:uid="{A88C1EB3-3D3C-42B9-9546-946E811011E3}">
      <formula1>ProcessStatusList</formula1>
    </dataValidation>
    <dataValidation type="list" allowBlank="1" showInputMessage="1" showErrorMessage="1" sqref="AR8:AR444" xr:uid="{76CC1F9E-92B5-4419-817D-1CE0EF3AA9F0}">
      <formula1>ItemConditionList</formula1>
    </dataValidation>
    <dataValidation type="list" allowBlank="1" showInputMessage="1" showErrorMessage="1" sqref="AS8:AS444" xr:uid="{90A60312-3748-495E-A8E1-53D8BB39D111}">
      <formula1>WarrantyList</formula1>
    </dataValidation>
    <dataValidation type="list" allowBlank="1" showInputMessage="1" showErrorMessage="1" sqref="AT8:AT444" xr:uid="{BB8CB734-F267-4AED-A289-11A6CB546362}">
      <formula1>WarrantyTypeList</formula1>
    </dataValidation>
    <dataValidation type="list" allowBlank="1" showInputMessage="1" showErrorMessage="1" sqref="AU8:AU444" xr:uid="{A56BABC4-F4D7-4C2C-AAC0-093D4F3E0727}">
      <formula1>PriorityList</formula1>
    </dataValidation>
    <dataValidation type="list" allowBlank="1" showInputMessage="1" showErrorMessage="1" sqref="AV8:AV444" xr:uid="{C5110D2D-15C7-4C19-8CBD-E478210DCA15}">
      <formula1>PunchListItemList</formula1>
    </dataValidation>
    <dataValidation type="list" allowBlank="1" showInputMessage="1" showErrorMessage="1" sqref="AW8:AW444" xr:uid="{F39039E2-6BBF-47E4-A12C-C8949E716EC7}">
      <formula1>SwingSpaceItemList</formula1>
    </dataValidation>
    <dataValidation type="list" allowBlank="1" showInputMessage="1" showErrorMessage="1" sqref="AQ8:AQ444" xr:uid="{8F3A446F-E4E5-4A92-9EA4-EA52433587E2}">
      <formula1>FFEItemStatusList</formula1>
    </dataValidation>
  </dataValidations>
  <pageMargins left="0.7" right="0.7" top="0.75" bottom="0.75" header="0.3" footer="0.3"/>
  <pageSetup scale="10" fitToHeight="0"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E7589-3629-47D7-BCC0-787D5615070C}">
  <sheetPr codeName="Sheet4">
    <pageSetUpPr autoPageBreaks="0"/>
  </sheetPr>
  <dimension ref="F1:AH23"/>
  <sheetViews>
    <sheetView showGridLines="0" showRowColHeaders="0" tabSelected="1" zoomScale="90" zoomScaleNormal="90" workbookViewId="0">
      <pane xSplit="5" ySplit="7" topLeftCell="F8" activePane="bottomRight" state="frozen"/>
      <selection pane="topRight" activeCell="F1" sqref="F1"/>
      <selection pane="bottomLeft" activeCell="A8" sqref="A8"/>
      <selection pane="bottomRight"/>
    </sheetView>
  </sheetViews>
  <sheetFormatPr defaultRowHeight="14.5" x14ac:dyDescent="0.35"/>
  <cols>
    <col min="5" max="5" width="2.54296875" customWidth="1"/>
    <col min="6" max="6" width="12.08984375" style="40" customWidth="1"/>
    <col min="7" max="7" width="32.90625" style="40" customWidth="1"/>
    <col min="8" max="8" width="43" style="41" bestFit="1" customWidth="1"/>
    <col min="9" max="9" width="20.08984375" style="41" customWidth="1"/>
    <col min="10" max="10" width="17.453125" style="41" customWidth="1"/>
    <col min="11" max="11" width="13.90625" style="41" customWidth="1"/>
    <col min="12" max="12" width="11.54296875" style="41" customWidth="1"/>
    <col min="13" max="13" width="49.453125" style="40" customWidth="1"/>
    <col min="14" max="14" width="47.54296875" style="40" customWidth="1"/>
    <col min="15" max="15" width="16" style="41" customWidth="1"/>
    <col min="16" max="16" width="16.54296875" style="41" customWidth="1"/>
    <col min="17" max="17" width="12.90625" style="41" customWidth="1"/>
    <col min="18" max="18" width="19.453125" style="40" customWidth="1"/>
    <col min="19" max="19" width="13.54296875" style="41" bestFit="1" customWidth="1"/>
    <col min="20" max="20" width="24" style="41" customWidth="1"/>
    <col min="21" max="21" width="21.453125" style="41" bestFit="1" customWidth="1"/>
    <col min="22" max="22" width="16.08984375" style="41" customWidth="1"/>
    <col min="23" max="23" width="16.08984375" style="40" customWidth="1"/>
    <col min="24" max="26" width="16.08984375" style="41" customWidth="1"/>
    <col min="27" max="27" width="20.54296875" style="41" customWidth="1"/>
    <col min="28" max="28" width="9.54296875" style="41" customWidth="1"/>
    <col min="29" max="29" width="18" style="41" bestFit="1" customWidth="1"/>
    <col min="30" max="30" width="13.453125" style="41" customWidth="1"/>
    <col min="31" max="31" width="13.08984375" style="41" customWidth="1"/>
    <col min="32" max="32" width="19.08984375" style="41" customWidth="1"/>
    <col min="33" max="33" width="16.54296875" style="41" customWidth="1"/>
    <col min="34" max="34" width="34.90625" style="40" customWidth="1"/>
  </cols>
  <sheetData>
    <row r="1" spans="6:34" x14ac:dyDescent="0.35">
      <c r="F1" s="10"/>
      <c r="G1"/>
      <c r="H1" s="10"/>
      <c r="I1" s="10"/>
      <c r="J1"/>
      <c r="K1"/>
      <c r="L1"/>
      <c r="M1"/>
      <c r="N1"/>
      <c r="O1"/>
      <c r="P1"/>
      <c r="Q1"/>
      <c r="R1"/>
      <c r="S1"/>
      <c r="T1"/>
      <c r="U1"/>
      <c r="V1"/>
      <c r="W1"/>
      <c r="X1"/>
      <c r="Y1"/>
      <c r="Z1"/>
      <c r="AA1"/>
      <c r="AB1"/>
      <c r="AC1"/>
      <c r="AD1"/>
      <c r="AE1"/>
      <c r="AF1"/>
      <c r="AG1"/>
      <c r="AH1"/>
    </row>
    <row r="2" spans="6:34" x14ac:dyDescent="0.35">
      <c r="F2" s="10"/>
      <c r="G2"/>
      <c r="H2" s="10"/>
      <c r="I2" s="10"/>
      <c r="J2"/>
      <c r="K2"/>
      <c r="L2"/>
      <c r="M2"/>
      <c r="N2"/>
      <c r="O2"/>
      <c r="P2"/>
      <c r="Q2"/>
      <c r="R2"/>
      <c r="S2"/>
      <c r="T2"/>
      <c r="U2"/>
      <c r="V2"/>
      <c r="W2"/>
      <c r="X2"/>
      <c r="Y2"/>
      <c r="Z2"/>
      <c r="AA2"/>
      <c r="AB2"/>
      <c r="AC2"/>
      <c r="AD2"/>
      <c r="AE2"/>
      <c r="AF2"/>
      <c r="AG2"/>
      <c r="AH2"/>
    </row>
    <row r="3" spans="6:34" x14ac:dyDescent="0.35">
      <c r="F3" s="10"/>
      <c r="G3"/>
      <c r="H3" s="10"/>
      <c r="I3" s="10"/>
      <c r="J3"/>
      <c r="K3"/>
      <c r="L3"/>
      <c r="M3"/>
      <c r="N3"/>
      <c r="O3"/>
      <c r="P3"/>
      <c r="Q3"/>
      <c r="R3"/>
      <c r="S3"/>
      <c r="T3"/>
      <c r="U3"/>
      <c r="V3"/>
      <c r="W3"/>
      <c r="X3"/>
      <c r="Y3"/>
      <c r="Z3"/>
      <c r="AA3"/>
      <c r="AB3"/>
      <c r="AC3"/>
      <c r="AD3"/>
      <c r="AE3"/>
      <c r="AF3"/>
      <c r="AG3"/>
      <c r="AH3"/>
    </row>
    <row r="4" spans="6:34" x14ac:dyDescent="0.35">
      <c r="F4" s="10"/>
      <c r="G4"/>
      <c r="H4" s="10"/>
      <c r="I4" s="10"/>
      <c r="J4"/>
      <c r="K4"/>
      <c r="L4"/>
      <c r="M4"/>
      <c r="N4"/>
      <c r="O4"/>
      <c r="P4"/>
      <c r="Q4"/>
      <c r="R4"/>
      <c r="S4"/>
      <c r="T4"/>
      <c r="U4"/>
      <c r="V4"/>
      <c r="W4"/>
      <c r="X4"/>
      <c r="Y4"/>
      <c r="Z4"/>
      <c r="AA4"/>
      <c r="AB4"/>
      <c r="AC4"/>
      <c r="AD4"/>
      <c r="AE4"/>
      <c r="AF4"/>
      <c r="AG4"/>
      <c r="AH4"/>
    </row>
    <row r="5" spans="6:34" x14ac:dyDescent="0.35">
      <c r="F5" s="10"/>
      <c r="G5"/>
      <c r="H5" s="10"/>
      <c r="I5" s="10"/>
      <c r="J5"/>
      <c r="K5"/>
      <c r="L5"/>
      <c r="M5"/>
      <c r="N5"/>
      <c r="O5"/>
      <c r="P5"/>
      <c r="Q5"/>
      <c r="R5"/>
      <c r="S5"/>
      <c r="T5"/>
      <c r="U5"/>
      <c r="V5"/>
      <c r="W5"/>
      <c r="X5"/>
      <c r="Y5"/>
      <c r="Z5"/>
      <c r="AA5"/>
      <c r="AB5"/>
      <c r="AC5"/>
      <c r="AD5"/>
      <c r="AE5"/>
      <c r="AF5"/>
      <c r="AG5"/>
      <c r="AH5"/>
    </row>
    <row r="6" spans="6:34" x14ac:dyDescent="0.35">
      <c r="F6" s="10"/>
      <c r="G6"/>
      <c r="H6" s="10"/>
      <c r="I6" s="10"/>
      <c r="J6"/>
      <c r="K6"/>
      <c r="L6"/>
      <c r="M6"/>
      <c r="N6"/>
      <c r="O6"/>
      <c r="P6"/>
      <c r="Q6"/>
      <c r="R6"/>
      <c r="S6"/>
      <c r="T6"/>
      <c r="U6"/>
      <c r="V6"/>
      <c r="W6"/>
      <c r="X6"/>
      <c r="Y6"/>
      <c r="Z6"/>
      <c r="AA6"/>
      <c r="AB6"/>
      <c r="AC6"/>
      <c r="AD6"/>
      <c r="AE6"/>
      <c r="AF6"/>
      <c r="AG6"/>
      <c r="AH6"/>
    </row>
    <row r="7" spans="6:34" ht="36" customHeight="1" x14ac:dyDescent="0.35">
      <c r="F7" s="11" t="s">
        <v>82</v>
      </c>
      <c r="G7" s="9" t="s">
        <v>0</v>
      </c>
      <c r="H7" s="9" t="s">
        <v>3</v>
      </c>
      <c r="I7" s="9" t="s">
        <v>27</v>
      </c>
      <c r="J7" s="9" t="s">
        <v>28</v>
      </c>
      <c r="K7" s="11" t="s">
        <v>31</v>
      </c>
      <c r="L7" s="11" t="s">
        <v>32</v>
      </c>
      <c r="M7" s="11" t="s">
        <v>29</v>
      </c>
      <c r="N7" s="9" t="s">
        <v>30</v>
      </c>
      <c r="O7" s="8" t="s">
        <v>93</v>
      </c>
      <c r="P7" s="8" t="s">
        <v>94</v>
      </c>
      <c r="Q7" s="8" t="s">
        <v>98</v>
      </c>
      <c r="R7" s="7" t="s">
        <v>4</v>
      </c>
      <c r="S7" s="7" t="s">
        <v>5</v>
      </c>
      <c r="T7" s="7" t="s">
        <v>91</v>
      </c>
      <c r="U7" s="7" t="s">
        <v>6</v>
      </c>
      <c r="V7" s="8" t="s">
        <v>555</v>
      </c>
      <c r="W7" s="8" t="s">
        <v>42</v>
      </c>
      <c r="X7" s="8" t="s">
        <v>43</v>
      </c>
      <c r="Y7" s="8" t="s">
        <v>38</v>
      </c>
      <c r="Z7" s="8" t="s">
        <v>39</v>
      </c>
      <c r="AA7" s="8" t="s">
        <v>14</v>
      </c>
      <c r="AB7" s="8" t="s">
        <v>237</v>
      </c>
      <c r="AC7" s="7" t="s">
        <v>23</v>
      </c>
      <c r="AD7" s="7" t="s">
        <v>24</v>
      </c>
      <c r="AE7" s="8" t="s">
        <v>88</v>
      </c>
      <c r="AF7" s="8" t="s">
        <v>86</v>
      </c>
      <c r="AG7" s="8" t="s">
        <v>87</v>
      </c>
      <c r="AH7" s="7" t="s">
        <v>25</v>
      </c>
    </row>
    <row r="8" spans="6:34" ht="29" x14ac:dyDescent="0.35">
      <c r="F8" s="40" t="s">
        <v>1423</v>
      </c>
      <c r="G8" s="40" t="s">
        <v>963</v>
      </c>
      <c r="H8" s="40" t="s">
        <v>223</v>
      </c>
      <c r="I8" s="41" t="s">
        <v>102</v>
      </c>
      <c r="J8" s="41" t="s">
        <v>195</v>
      </c>
      <c r="K8" s="41">
        <v>1</v>
      </c>
      <c r="M8" s="40" t="s">
        <v>2164</v>
      </c>
      <c r="O8" s="40" t="s">
        <v>169</v>
      </c>
      <c r="P8" s="40" t="s">
        <v>169</v>
      </c>
      <c r="Q8" s="40"/>
      <c r="R8" s="40" t="s">
        <v>104</v>
      </c>
      <c r="S8" s="40" t="s">
        <v>104</v>
      </c>
      <c r="T8" s="40" t="s">
        <v>104</v>
      </c>
      <c r="U8" s="40" t="s">
        <v>104</v>
      </c>
      <c r="V8" s="40" t="s">
        <v>169</v>
      </c>
      <c r="W8" s="40" t="s">
        <v>104</v>
      </c>
      <c r="X8" s="40" t="s">
        <v>104</v>
      </c>
      <c r="Y8" s="40" t="s">
        <v>120</v>
      </c>
      <c r="Z8" s="40">
        <v>559</v>
      </c>
      <c r="AA8" s="40" t="s">
        <v>137</v>
      </c>
      <c r="AB8" s="40" t="s">
        <v>169</v>
      </c>
      <c r="AC8" s="40" t="s">
        <v>104</v>
      </c>
      <c r="AD8" s="40"/>
      <c r="AE8" s="40" t="s">
        <v>104</v>
      </c>
      <c r="AF8" s="40" t="s">
        <v>1859</v>
      </c>
      <c r="AG8" s="40"/>
    </row>
    <row r="9" spans="6:34" ht="29" x14ac:dyDescent="0.35">
      <c r="F9" s="40" t="s">
        <v>1424</v>
      </c>
      <c r="G9" s="40" t="s">
        <v>964</v>
      </c>
      <c r="H9" s="40" t="s">
        <v>223</v>
      </c>
      <c r="I9" s="41" t="s">
        <v>102</v>
      </c>
      <c r="J9" s="41" t="s">
        <v>194</v>
      </c>
      <c r="K9" s="41">
        <v>1</v>
      </c>
      <c r="M9" s="40" t="s">
        <v>2164</v>
      </c>
      <c r="O9" s="40" t="s">
        <v>169</v>
      </c>
      <c r="P9" s="40" t="s">
        <v>169</v>
      </c>
      <c r="Q9" s="40"/>
      <c r="R9" s="40" t="s">
        <v>104</v>
      </c>
      <c r="S9" s="40" t="s">
        <v>104</v>
      </c>
      <c r="T9" s="40" t="s">
        <v>104</v>
      </c>
      <c r="U9" s="40" t="s">
        <v>104</v>
      </c>
      <c r="V9" s="40" t="s">
        <v>169</v>
      </c>
      <c r="W9" s="40" t="s">
        <v>104</v>
      </c>
      <c r="X9" s="40" t="s">
        <v>104</v>
      </c>
      <c r="Y9" s="40" t="s">
        <v>125</v>
      </c>
      <c r="Z9" s="40">
        <v>553</v>
      </c>
      <c r="AA9" s="40" t="s">
        <v>137</v>
      </c>
      <c r="AB9" s="40" t="s">
        <v>169</v>
      </c>
      <c r="AC9" s="40" t="s">
        <v>104</v>
      </c>
      <c r="AD9" s="40"/>
      <c r="AE9" s="40" t="s">
        <v>104</v>
      </c>
      <c r="AF9" s="40" t="s">
        <v>1860</v>
      </c>
      <c r="AG9" s="40"/>
    </row>
    <row r="10" spans="6:34" ht="43.5" x14ac:dyDescent="0.35">
      <c r="F10" s="40" t="s">
        <v>1425</v>
      </c>
      <c r="G10" s="40" t="s">
        <v>965</v>
      </c>
      <c r="H10" s="40" t="s">
        <v>101</v>
      </c>
      <c r="I10" s="41" t="s">
        <v>102</v>
      </c>
      <c r="J10" s="41" t="s">
        <v>195</v>
      </c>
      <c r="K10" s="41">
        <v>1</v>
      </c>
      <c r="M10" s="40" t="s">
        <v>2165</v>
      </c>
      <c r="O10" s="40"/>
      <c r="P10" s="40"/>
      <c r="Q10" s="40"/>
      <c r="R10" s="40" t="s">
        <v>104</v>
      </c>
      <c r="S10" s="40" t="s">
        <v>104</v>
      </c>
      <c r="T10" s="40" t="s">
        <v>104</v>
      </c>
      <c r="U10" s="40" t="s">
        <v>104</v>
      </c>
      <c r="V10" s="40" t="s">
        <v>169</v>
      </c>
      <c r="W10" s="40" t="s">
        <v>104</v>
      </c>
      <c r="X10" s="40" t="s">
        <v>104</v>
      </c>
      <c r="Y10" s="40" t="s">
        <v>125</v>
      </c>
      <c r="Z10" s="40">
        <v>553</v>
      </c>
      <c r="AA10" s="40" t="s">
        <v>137</v>
      </c>
      <c r="AB10" s="40" t="s">
        <v>169</v>
      </c>
      <c r="AC10" s="40" t="s">
        <v>104</v>
      </c>
      <c r="AD10" s="40"/>
      <c r="AE10" s="40" t="s">
        <v>104</v>
      </c>
      <c r="AF10" s="40" t="s">
        <v>1861</v>
      </c>
      <c r="AG10" s="40"/>
    </row>
    <row r="11" spans="6:34" ht="29" x14ac:dyDescent="0.35">
      <c r="F11" s="40" t="s">
        <v>1426</v>
      </c>
      <c r="G11" s="40" t="s">
        <v>966</v>
      </c>
      <c r="H11" s="40" t="s">
        <v>101</v>
      </c>
      <c r="I11" s="41" t="s">
        <v>102</v>
      </c>
      <c r="J11" s="41" t="s">
        <v>195</v>
      </c>
      <c r="K11" s="41">
        <v>1</v>
      </c>
      <c r="M11" s="40" t="s">
        <v>2166</v>
      </c>
      <c r="O11" s="40" t="s">
        <v>169</v>
      </c>
      <c r="P11" s="40" t="s">
        <v>169</v>
      </c>
      <c r="Q11" s="40"/>
      <c r="R11" s="40" t="s">
        <v>104</v>
      </c>
      <c r="S11" s="40" t="s">
        <v>104</v>
      </c>
      <c r="T11" s="40" t="s">
        <v>104</v>
      </c>
      <c r="U11" s="40" t="s">
        <v>104</v>
      </c>
      <c r="V11" s="40" t="s">
        <v>169</v>
      </c>
      <c r="W11" s="40" t="s">
        <v>104</v>
      </c>
      <c r="X11" s="40" t="s">
        <v>104</v>
      </c>
      <c r="Y11" s="40" t="s">
        <v>125</v>
      </c>
      <c r="Z11" s="40">
        <v>553</v>
      </c>
      <c r="AA11" s="40" t="s">
        <v>137</v>
      </c>
      <c r="AB11" s="40" t="s">
        <v>169</v>
      </c>
      <c r="AC11" s="40" t="s">
        <v>104</v>
      </c>
      <c r="AD11" s="40"/>
      <c r="AE11" s="40" t="s">
        <v>104</v>
      </c>
      <c r="AF11" s="40" t="s">
        <v>1862</v>
      </c>
      <c r="AG11" s="40"/>
    </row>
    <row r="12" spans="6:34" ht="58" x14ac:dyDescent="0.35">
      <c r="F12" s="40" t="s">
        <v>1427</v>
      </c>
      <c r="G12" s="40" t="s">
        <v>967</v>
      </c>
      <c r="H12" s="40" t="s">
        <v>223</v>
      </c>
      <c r="I12" s="41" t="s">
        <v>180</v>
      </c>
      <c r="J12" s="41" t="s">
        <v>195</v>
      </c>
      <c r="K12" s="41">
        <v>1</v>
      </c>
      <c r="M12" s="40" t="s">
        <v>2167</v>
      </c>
      <c r="O12" s="40" t="s">
        <v>969</v>
      </c>
      <c r="P12" s="40"/>
      <c r="Q12" s="40"/>
      <c r="R12" s="40" t="s">
        <v>104</v>
      </c>
      <c r="S12" s="40" t="s">
        <v>104</v>
      </c>
      <c r="T12" s="40" t="s">
        <v>104</v>
      </c>
      <c r="U12" s="40" t="s">
        <v>104</v>
      </c>
      <c r="V12" s="40" t="s">
        <v>104</v>
      </c>
      <c r="W12" s="40" t="s">
        <v>604</v>
      </c>
      <c r="X12" s="40" t="s">
        <v>605</v>
      </c>
      <c r="Y12" s="40" t="s">
        <v>102</v>
      </c>
      <c r="Z12" s="40"/>
      <c r="AA12" s="40" t="s">
        <v>138</v>
      </c>
      <c r="AB12" s="40" t="s">
        <v>171</v>
      </c>
      <c r="AC12" s="40" t="s">
        <v>104</v>
      </c>
      <c r="AD12" s="40"/>
      <c r="AE12" s="40" t="s">
        <v>104</v>
      </c>
      <c r="AF12" s="40" t="s">
        <v>1863</v>
      </c>
      <c r="AG12" s="40"/>
    </row>
    <row r="13" spans="6:34" ht="29" x14ac:dyDescent="0.35">
      <c r="F13" s="40" t="s">
        <v>1428</v>
      </c>
      <c r="G13" s="40" t="s">
        <v>970</v>
      </c>
      <c r="H13" s="40" t="s">
        <v>101</v>
      </c>
      <c r="I13" s="41" t="s">
        <v>102</v>
      </c>
      <c r="J13" s="41" t="s">
        <v>195</v>
      </c>
      <c r="K13" s="41">
        <v>1</v>
      </c>
      <c r="L13" s="41">
        <v>1</v>
      </c>
      <c r="M13" s="40" t="s">
        <v>971</v>
      </c>
      <c r="N13" s="40" t="s">
        <v>2197</v>
      </c>
      <c r="O13" s="40" t="s">
        <v>601</v>
      </c>
      <c r="P13" s="40" t="s">
        <v>972</v>
      </c>
      <c r="Q13" s="40"/>
      <c r="R13" s="40" t="s">
        <v>104</v>
      </c>
      <c r="S13" s="40" t="s">
        <v>104</v>
      </c>
      <c r="T13" s="40" t="s">
        <v>104</v>
      </c>
      <c r="U13" s="40" t="s">
        <v>104</v>
      </c>
      <c r="V13" s="40" t="s">
        <v>104</v>
      </c>
      <c r="X13" s="40"/>
      <c r="Y13" s="40"/>
      <c r="Z13" s="40"/>
      <c r="AA13" s="40"/>
      <c r="AB13" s="40"/>
      <c r="AC13" s="40" t="s">
        <v>104</v>
      </c>
      <c r="AD13" s="40"/>
      <c r="AE13" s="40" t="s">
        <v>104</v>
      </c>
      <c r="AF13" s="40" t="s">
        <v>1864</v>
      </c>
      <c r="AG13" s="40"/>
    </row>
    <row r="14" spans="6:34" ht="29" x14ac:dyDescent="0.35">
      <c r="F14" s="40" t="s">
        <v>1429</v>
      </c>
      <c r="G14" s="40" t="s">
        <v>973</v>
      </c>
      <c r="H14" s="40" t="s">
        <v>101</v>
      </c>
      <c r="I14" s="41" t="s">
        <v>102</v>
      </c>
      <c r="J14" s="41" t="s">
        <v>195</v>
      </c>
      <c r="K14" s="41">
        <v>1</v>
      </c>
      <c r="M14" s="40" t="s">
        <v>2169</v>
      </c>
      <c r="O14" s="40" t="s">
        <v>974</v>
      </c>
      <c r="P14" s="40" t="s">
        <v>975</v>
      </c>
      <c r="Q14" s="40"/>
      <c r="R14" s="40" t="s">
        <v>104</v>
      </c>
      <c r="S14" s="40" t="s">
        <v>104</v>
      </c>
      <c r="T14" s="40" t="s">
        <v>104</v>
      </c>
      <c r="U14" s="40" t="s">
        <v>104</v>
      </c>
      <c r="V14" s="40"/>
      <c r="X14" s="40"/>
      <c r="Y14" s="40"/>
      <c r="Z14" s="40"/>
      <c r="AA14" s="40" t="s">
        <v>139</v>
      </c>
      <c r="AB14" s="40"/>
      <c r="AC14" s="40"/>
      <c r="AD14" s="40"/>
      <c r="AE14" s="40" t="s">
        <v>104</v>
      </c>
      <c r="AF14" s="40" t="s">
        <v>1865</v>
      </c>
      <c r="AG14" s="40"/>
    </row>
    <row r="15" spans="6:34" ht="43.5" x14ac:dyDescent="0.35">
      <c r="F15" s="40" t="s">
        <v>1430</v>
      </c>
      <c r="G15" s="40" t="s">
        <v>976</v>
      </c>
      <c r="H15" s="40" t="s">
        <v>223</v>
      </c>
      <c r="I15" s="41" t="s">
        <v>102</v>
      </c>
      <c r="J15" s="41" t="s">
        <v>195</v>
      </c>
      <c r="K15" s="41">
        <v>1</v>
      </c>
      <c r="M15" s="40" t="s">
        <v>2170</v>
      </c>
      <c r="O15" s="40" t="s">
        <v>804</v>
      </c>
      <c r="P15" s="40" t="s">
        <v>805</v>
      </c>
      <c r="Q15" s="40"/>
      <c r="R15" s="40" t="s">
        <v>104</v>
      </c>
      <c r="S15" s="40" t="s">
        <v>104</v>
      </c>
      <c r="T15" s="40" t="s">
        <v>104</v>
      </c>
      <c r="U15" s="40" t="s">
        <v>104</v>
      </c>
      <c r="V15" s="40"/>
      <c r="X15" s="40"/>
      <c r="Y15" s="40"/>
      <c r="Z15" s="40"/>
      <c r="AA15" s="40" t="s">
        <v>139</v>
      </c>
      <c r="AB15" s="40"/>
      <c r="AC15" s="40"/>
      <c r="AD15" s="40"/>
      <c r="AE15" s="40" t="s">
        <v>104</v>
      </c>
      <c r="AF15" s="40" t="s">
        <v>1866</v>
      </c>
      <c r="AG15" s="40"/>
    </row>
    <row r="16" spans="6:34" ht="29" x14ac:dyDescent="0.35">
      <c r="F16" s="40" t="s">
        <v>1431</v>
      </c>
      <c r="G16" s="40" t="s">
        <v>978</v>
      </c>
      <c r="H16" s="40" t="s">
        <v>101</v>
      </c>
      <c r="I16" s="41" t="s">
        <v>102</v>
      </c>
      <c r="J16" s="41" t="s">
        <v>195</v>
      </c>
      <c r="K16" s="41">
        <v>1</v>
      </c>
      <c r="M16" s="40" t="s">
        <v>2171</v>
      </c>
      <c r="O16" s="40" t="s">
        <v>974</v>
      </c>
      <c r="P16" s="40" t="s">
        <v>975</v>
      </c>
      <c r="Q16" s="40"/>
      <c r="R16" s="40" t="s">
        <v>104</v>
      </c>
      <c r="S16" s="40" t="s">
        <v>104</v>
      </c>
      <c r="T16" s="40" t="s">
        <v>104</v>
      </c>
      <c r="U16" s="40" t="s">
        <v>104</v>
      </c>
      <c r="V16" s="40"/>
      <c r="X16" s="40"/>
      <c r="Y16" s="40"/>
      <c r="Z16" s="40" t="s">
        <v>979</v>
      </c>
      <c r="AA16" s="40" t="s">
        <v>139</v>
      </c>
      <c r="AB16" s="40"/>
      <c r="AC16" s="40"/>
      <c r="AD16" s="40"/>
      <c r="AE16" s="40" t="s">
        <v>104</v>
      </c>
      <c r="AF16" s="40" t="s">
        <v>1867</v>
      </c>
      <c r="AG16" s="40"/>
    </row>
    <row r="17" spans="6:33" ht="43.5" x14ac:dyDescent="0.35">
      <c r="F17" s="40" t="s">
        <v>1432</v>
      </c>
      <c r="G17" s="40" t="s">
        <v>980</v>
      </c>
      <c r="H17" s="40" t="s">
        <v>102</v>
      </c>
      <c r="I17" s="41" t="s">
        <v>102</v>
      </c>
      <c r="J17" s="41" t="s">
        <v>195</v>
      </c>
      <c r="K17" s="41">
        <v>1</v>
      </c>
      <c r="M17" s="40" t="s">
        <v>2172</v>
      </c>
      <c r="O17" s="40"/>
      <c r="P17" s="40"/>
      <c r="Q17" s="40"/>
      <c r="R17" s="40" t="s">
        <v>104</v>
      </c>
      <c r="S17" s="40" t="s">
        <v>104</v>
      </c>
      <c r="T17" s="40" t="s">
        <v>104</v>
      </c>
      <c r="U17" s="40" t="s">
        <v>104</v>
      </c>
      <c r="V17" s="40"/>
      <c r="X17" s="40" t="s">
        <v>605</v>
      </c>
      <c r="Y17" s="40"/>
      <c r="Z17" s="40" t="s">
        <v>982</v>
      </c>
      <c r="AA17" s="40" t="s">
        <v>139</v>
      </c>
      <c r="AB17" s="40" t="s">
        <v>171</v>
      </c>
      <c r="AC17" s="40"/>
      <c r="AD17" s="40"/>
      <c r="AE17" s="40" t="s">
        <v>104</v>
      </c>
      <c r="AF17" s="40" t="s">
        <v>1868</v>
      </c>
      <c r="AG17" s="40"/>
    </row>
    <row r="18" spans="6:33" x14ac:dyDescent="0.35">
      <c r="F18" s="40" t="s">
        <v>1433</v>
      </c>
      <c r="G18" s="40" t="s">
        <v>983</v>
      </c>
      <c r="H18" s="40" t="s">
        <v>102</v>
      </c>
      <c r="I18" s="41" t="s">
        <v>102</v>
      </c>
      <c r="J18" s="41" t="s">
        <v>195</v>
      </c>
      <c r="K18" s="41">
        <v>1</v>
      </c>
      <c r="M18" s="40" t="s">
        <v>2198</v>
      </c>
      <c r="O18" s="40" t="s">
        <v>985</v>
      </c>
      <c r="P18" s="40" t="s">
        <v>986</v>
      </c>
      <c r="Q18" s="40"/>
      <c r="S18" s="40"/>
      <c r="T18" s="40"/>
      <c r="U18" s="40"/>
      <c r="V18" s="40"/>
      <c r="X18" s="40"/>
      <c r="Y18" s="40"/>
      <c r="Z18" s="40"/>
      <c r="AA18" s="40" t="s">
        <v>139</v>
      </c>
      <c r="AB18" s="40" t="s">
        <v>170</v>
      </c>
      <c r="AC18" s="40"/>
      <c r="AD18" s="40"/>
      <c r="AE18" s="40" t="s">
        <v>104</v>
      </c>
      <c r="AF18" s="40" t="s">
        <v>1869</v>
      </c>
      <c r="AG18" s="40"/>
    </row>
    <row r="19" spans="6:33" x14ac:dyDescent="0.35">
      <c r="F19" s="40" t="s">
        <v>1434</v>
      </c>
      <c r="G19" s="40" t="s">
        <v>988</v>
      </c>
      <c r="H19" s="40" t="s">
        <v>102</v>
      </c>
      <c r="I19" s="41" t="s">
        <v>102</v>
      </c>
      <c r="J19" s="41" t="s">
        <v>194</v>
      </c>
      <c r="K19" s="41">
        <v>1</v>
      </c>
      <c r="O19" s="40" t="s">
        <v>169</v>
      </c>
      <c r="P19" s="40" t="s">
        <v>169</v>
      </c>
      <c r="Q19" s="40"/>
      <c r="S19" s="40"/>
      <c r="T19" s="40"/>
      <c r="U19" s="40"/>
      <c r="V19" s="40"/>
      <c r="X19" s="40"/>
      <c r="Y19" s="40"/>
      <c r="Z19" s="40"/>
      <c r="AA19" s="40" t="s">
        <v>139</v>
      </c>
      <c r="AB19" s="40"/>
      <c r="AC19" s="40"/>
      <c r="AD19" s="40"/>
      <c r="AE19" s="40" t="s">
        <v>104</v>
      </c>
      <c r="AF19" s="40" t="s">
        <v>1870</v>
      </c>
      <c r="AG19" s="40"/>
    </row>
    <row r="20" spans="6:33" ht="29" x14ac:dyDescent="0.35">
      <c r="F20" s="40" t="s">
        <v>1435</v>
      </c>
      <c r="G20" s="40" t="s">
        <v>991</v>
      </c>
      <c r="H20" s="40" t="s">
        <v>101</v>
      </c>
      <c r="I20" s="41" t="s">
        <v>102</v>
      </c>
      <c r="J20" s="41" t="s">
        <v>194</v>
      </c>
      <c r="K20" s="41">
        <v>1</v>
      </c>
      <c r="O20" s="40"/>
      <c r="P20" s="40"/>
      <c r="Q20" s="40"/>
      <c r="S20" s="40"/>
      <c r="T20" s="40"/>
      <c r="U20" s="40"/>
      <c r="V20" s="40"/>
      <c r="X20" s="40"/>
      <c r="Y20" s="40"/>
      <c r="Z20" s="40"/>
      <c r="AA20" s="40" t="s">
        <v>139</v>
      </c>
      <c r="AB20" s="40"/>
      <c r="AC20" s="40"/>
      <c r="AD20" s="40"/>
      <c r="AE20" s="40" t="s">
        <v>104</v>
      </c>
      <c r="AF20" s="40" t="s">
        <v>1871</v>
      </c>
      <c r="AG20" s="40"/>
    </row>
    <row r="21" spans="6:33" x14ac:dyDescent="0.35">
      <c r="F21" s="40" t="s">
        <v>1436</v>
      </c>
      <c r="G21" s="40" t="s">
        <v>994</v>
      </c>
      <c r="H21" s="40" t="s">
        <v>102</v>
      </c>
      <c r="I21" s="41" t="s">
        <v>102</v>
      </c>
      <c r="J21" s="41" t="s">
        <v>195</v>
      </c>
      <c r="K21" s="41">
        <v>1</v>
      </c>
      <c r="O21" s="40" t="s">
        <v>985</v>
      </c>
      <c r="P21" s="40" t="s">
        <v>986</v>
      </c>
      <c r="Q21" s="40"/>
      <c r="S21" s="40"/>
      <c r="T21" s="40"/>
      <c r="U21" s="40"/>
      <c r="V21" s="40"/>
      <c r="X21" s="40"/>
      <c r="Y21" s="40"/>
      <c r="Z21" s="40"/>
      <c r="AA21" s="40" t="s">
        <v>139</v>
      </c>
      <c r="AB21" s="40"/>
      <c r="AC21" s="40"/>
      <c r="AD21" s="40"/>
      <c r="AE21" s="40" t="s">
        <v>104</v>
      </c>
      <c r="AF21" s="40" t="s">
        <v>1872</v>
      </c>
      <c r="AG21" s="40"/>
    </row>
    <row r="22" spans="6:33" ht="29" x14ac:dyDescent="0.35">
      <c r="F22" s="40" t="s">
        <v>1437</v>
      </c>
      <c r="G22" s="40" t="s">
        <v>997</v>
      </c>
      <c r="H22" s="40" t="s">
        <v>101</v>
      </c>
      <c r="I22" s="41" t="s">
        <v>102</v>
      </c>
      <c r="J22" s="41" t="s">
        <v>195</v>
      </c>
      <c r="K22" s="41">
        <v>1</v>
      </c>
      <c r="O22" s="40" t="s">
        <v>999</v>
      </c>
      <c r="P22" s="40" t="s">
        <v>975</v>
      </c>
      <c r="Q22" s="40"/>
      <c r="S22" s="40"/>
      <c r="T22" s="40"/>
      <c r="U22" s="40"/>
      <c r="V22" s="40"/>
      <c r="X22" s="40"/>
      <c r="Y22" s="40"/>
      <c r="Z22" s="40"/>
      <c r="AA22" s="40" t="s">
        <v>139</v>
      </c>
      <c r="AB22" s="40"/>
      <c r="AC22" s="40"/>
      <c r="AD22" s="40"/>
      <c r="AE22" s="40" t="s">
        <v>104</v>
      </c>
      <c r="AF22" s="40" t="s">
        <v>1873</v>
      </c>
      <c r="AG22" s="40"/>
    </row>
    <row r="23" spans="6:33" x14ac:dyDescent="0.35">
      <c r="F23" s="40" t="s">
        <v>1438</v>
      </c>
      <c r="G23" s="40" t="s">
        <v>1001</v>
      </c>
      <c r="H23" s="40" t="s">
        <v>223</v>
      </c>
      <c r="I23" s="41" t="s">
        <v>102</v>
      </c>
      <c r="J23" s="41" t="s">
        <v>195</v>
      </c>
      <c r="K23" s="41">
        <v>1</v>
      </c>
      <c r="O23" s="40" t="s">
        <v>804</v>
      </c>
      <c r="P23" s="40" t="s">
        <v>805</v>
      </c>
      <c r="Q23" s="40"/>
      <c r="S23" s="40"/>
      <c r="T23" s="40"/>
      <c r="U23" s="40"/>
      <c r="V23" s="40"/>
      <c r="X23" s="40"/>
      <c r="Y23" s="40"/>
      <c r="Z23" s="40"/>
      <c r="AA23" s="40" t="s">
        <v>139</v>
      </c>
      <c r="AB23" s="40"/>
      <c r="AC23" s="40"/>
      <c r="AD23" s="40"/>
      <c r="AE23" s="40" t="s">
        <v>104</v>
      </c>
      <c r="AF23" s="40" t="s">
        <v>1874</v>
      </c>
      <c r="AG23" s="40"/>
    </row>
  </sheetData>
  <phoneticPr fontId="5" type="noConversion"/>
  <conditionalFormatting sqref="F8:AH23">
    <cfRule type="expression" dxfId="485" priority="1" stopIfTrue="1">
      <formula>$J8="Active"</formula>
    </cfRule>
    <cfRule type="expression" dxfId="484" priority="2" stopIfTrue="1">
      <formula>$J8="Resolved"</formula>
    </cfRule>
  </conditionalFormatting>
  <dataValidations count="3">
    <dataValidation type="list" allowBlank="1" showInputMessage="1" showErrorMessage="1" sqref="I8:I23" xr:uid="{3CF57DFD-CC45-4AAD-830A-52183EBF47BC}">
      <formula1>IssueTypeList</formula1>
    </dataValidation>
    <dataValidation type="list" allowBlank="1" showInputMessage="1" showErrorMessage="1" sqref="J8:J23" xr:uid="{CC0BC9B6-0B50-478C-85E4-0FDEF2A5B112}">
      <formula1>IssueStatusList</formula1>
    </dataValidation>
    <dataValidation type="list" allowBlank="1" showInputMessage="1" showErrorMessage="1" sqref="AD8:AD23" xr:uid="{50268FF5-AEC2-4F42-93E8-967876BF99EF}">
      <formula1>PriorityList</formula1>
    </dataValidation>
  </dataValidations>
  <pageMargins left="0.7" right="0.7" top="0.75" bottom="0.75" header="0.3" footer="0.3"/>
  <pageSetup scale="14"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BE5BE-39BF-496B-85E6-81EA94ED104D}">
  <sheetPr codeName="Sheet5">
    <pageSetUpPr autoPageBreaks="0"/>
  </sheetPr>
  <dimension ref="F1:AF8"/>
  <sheetViews>
    <sheetView showGridLines="0" showRowColHeaders="0" zoomScaleNormal="100" workbookViewId="0">
      <pane xSplit="5" ySplit="7" topLeftCell="F8" activePane="bottomRight" state="frozen"/>
      <selection pane="topRight" activeCell="F1" sqref="F1"/>
      <selection pane="bottomLeft" activeCell="A8" sqref="A8"/>
      <selection pane="bottomRight"/>
    </sheetView>
  </sheetViews>
  <sheetFormatPr defaultRowHeight="14.5" x14ac:dyDescent="0.35"/>
  <cols>
    <col min="5" max="5" width="3.54296875" customWidth="1"/>
    <col min="6" max="6" width="12.08984375" style="10" customWidth="1"/>
    <col min="7" max="7" width="32.90625" style="10" customWidth="1"/>
    <col min="8" max="8" width="50.54296875" style="10" customWidth="1"/>
    <col min="9" max="9" width="26.453125" style="10" customWidth="1"/>
    <col min="10" max="10" width="50.54296875" style="10" customWidth="1"/>
    <col min="11" max="11" width="25.08984375" style="10" bestFit="1" customWidth="1"/>
    <col min="12" max="12" width="15.54296875" style="10" bestFit="1" customWidth="1"/>
    <col min="13" max="13" width="16.453125" style="10" bestFit="1" customWidth="1"/>
    <col min="14" max="14" width="16.453125" style="10" customWidth="1"/>
    <col min="15" max="15" width="16.453125" style="10" bestFit="1" customWidth="1"/>
    <col min="16" max="16" width="15" style="10" bestFit="1" customWidth="1"/>
    <col min="17" max="17" width="12.90625" style="10" bestFit="1" customWidth="1"/>
    <col min="18" max="18" width="22.08984375" style="10" bestFit="1" customWidth="1"/>
    <col min="19" max="19" width="19.54296875" style="10" bestFit="1" customWidth="1"/>
    <col min="20" max="20" width="15" style="10" customWidth="1"/>
    <col min="21" max="21" width="12.08984375" style="10" bestFit="1" customWidth="1"/>
    <col min="22" max="22" width="20" style="10" bestFit="1" customWidth="1"/>
    <col min="23" max="23" width="18.453125" style="10" bestFit="1" customWidth="1"/>
    <col min="24" max="24" width="13.90625" style="10" bestFit="1" customWidth="1"/>
    <col min="25" max="25" width="12.90625" style="10" bestFit="1" customWidth="1"/>
    <col min="26" max="26" width="10.08984375" style="10" bestFit="1" customWidth="1"/>
    <col min="27" max="27" width="15.453125" style="10" bestFit="1" customWidth="1"/>
    <col min="28" max="28" width="14.453125" style="10" bestFit="1" customWidth="1"/>
    <col min="29" max="29" width="37.90625" style="10" bestFit="1" customWidth="1"/>
    <col min="30" max="30" width="26.54296875" style="10" customWidth="1"/>
    <col min="31" max="31" width="12.08984375" style="10" bestFit="1" customWidth="1"/>
    <col min="32" max="32" width="34.453125" style="10" customWidth="1"/>
  </cols>
  <sheetData>
    <row r="1" spans="6:32" x14ac:dyDescent="0.35">
      <c r="F1"/>
      <c r="G1"/>
      <c r="H1"/>
      <c r="I1"/>
      <c r="J1"/>
      <c r="K1"/>
      <c r="L1"/>
      <c r="M1"/>
      <c r="N1"/>
      <c r="O1"/>
      <c r="P1"/>
      <c r="Q1"/>
      <c r="R1"/>
      <c r="S1"/>
      <c r="T1"/>
      <c r="U1"/>
      <c r="V1"/>
      <c r="W1"/>
      <c r="X1"/>
      <c r="Y1"/>
      <c r="Z1"/>
      <c r="AA1"/>
      <c r="AB1"/>
      <c r="AC1"/>
      <c r="AD1"/>
      <c r="AE1"/>
      <c r="AF1"/>
    </row>
    <row r="2" spans="6:32" x14ac:dyDescent="0.35">
      <c r="F2"/>
      <c r="G2"/>
      <c r="H2"/>
      <c r="I2"/>
      <c r="J2"/>
      <c r="K2"/>
      <c r="L2"/>
      <c r="M2"/>
      <c r="N2"/>
      <c r="O2"/>
      <c r="P2"/>
      <c r="Q2"/>
      <c r="R2"/>
      <c r="S2"/>
      <c r="T2"/>
      <c r="U2"/>
      <c r="V2"/>
      <c r="W2"/>
      <c r="X2"/>
      <c r="Y2"/>
      <c r="Z2"/>
      <c r="AA2"/>
      <c r="AB2"/>
      <c r="AC2"/>
      <c r="AD2"/>
      <c r="AE2"/>
      <c r="AF2"/>
    </row>
    <row r="3" spans="6:32" x14ac:dyDescent="0.35">
      <c r="F3"/>
      <c r="G3"/>
      <c r="H3"/>
      <c r="I3"/>
      <c r="J3"/>
      <c r="K3"/>
      <c r="L3"/>
      <c r="M3"/>
      <c r="N3"/>
      <c r="O3"/>
      <c r="P3"/>
      <c r="Q3"/>
      <c r="R3"/>
      <c r="S3"/>
      <c r="T3"/>
      <c r="U3"/>
      <c r="V3"/>
      <c r="W3"/>
      <c r="X3"/>
      <c r="Y3"/>
      <c r="Z3"/>
      <c r="AA3"/>
      <c r="AB3"/>
      <c r="AC3"/>
      <c r="AD3"/>
      <c r="AE3"/>
      <c r="AF3"/>
    </row>
    <row r="4" spans="6:32" x14ac:dyDescent="0.35">
      <c r="F4"/>
      <c r="G4"/>
      <c r="H4"/>
      <c r="I4"/>
      <c r="J4"/>
      <c r="K4"/>
      <c r="L4"/>
      <c r="M4"/>
      <c r="N4"/>
      <c r="O4"/>
      <c r="P4"/>
      <c r="Q4"/>
      <c r="R4"/>
      <c r="S4"/>
      <c r="T4"/>
      <c r="U4"/>
      <c r="V4"/>
      <c r="W4"/>
      <c r="X4"/>
      <c r="Y4"/>
      <c r="Z4"/>
      <c r="AA4"/>
      <c r="AB4"/>
      <c r="AC4"/>
      <c r="AD4"/>
      <c r="AE4"/>
      <c r="AF4"/>
    </row>
    <row r="5" spans="6:32" x14ac:dyDescent="0.35">
      <c r="F5"/>
      <c r="G5"/>
      <c r="H5"/>
      <c r="I5"/>
      <c r="J5"/>
      <c r="K5"/>
      <c r="L5"/>
      <c r="M5"/>
      <c r="N5"/>
      <c r="O5"/>
      <c r="P5"/>
      <c r="Q5"/>
      <c r="R5"/>
      <c r="S5"/>
      <c r="T5"/>
      <c r="U5"/>
      <c r="V5"/>
      <c r="W5"/>
      <c r="X5"/>
      <c r="Y5"/>
      <c r="Z5"/>
      <c r="AA5"/>
      <c r="AB5"/>
      <c r="AC5"/>
      <c r="AD5"/>
      <c r="AE5"/>
      <c r="AF5"/>
    </row>
    <row r="6" spans="6:32" x14ac:dyDescent="0.35">
      <c r="F6"/>
      <c r="G6"/>
      <c r="H6"/>
      <c r="I6"/>
      <c r="J6"/>
      <c r="K6"/>
      <c r="L6"/>
      <c r="M6"/>
      <c r="N6"/>
      <c r="O6"/>
      <c r="P6"/>
      <c r="Q6"/>
      <c r="R6"/>
      <c r="S6"/>
      <c r="T6"/>
      <c r="U6"/>
      <c r="V6"/>
      <c r="W6"/>
      <c r="X6"/>
      <c r="Y6"/>
      <c r="Z6"/>
      <c r="AA6"/>
      <c r="AB6"/>
      <c r="AC6"/>
      <c r="AD6"/>
      <c r="AE6"/>
      <c r="AF6"/>
    </row>
    <row r="7" spans="6:32" ht="29" x14ac:dyDescent="0.35">
      <c r="F7" s="43" t="s">
        <v>81</v>
      </c>
      <c r="G7" s="43" t="s">
        <v>0</v>
      </c>
      <c r="H7" s="43" t="s">
        <v>1</v>
      </c>
      <c r="I7" s="43" t="s">
        <v>3</v>
      </c>
      <c r="J7" s="44" t="s">
        <v>34</v>
      </c>
      <c r="K7" s="44" t="s">
        <v>35</v>
      </c>
      <c r="L7" s="44" t="s">
        <v>93</v>
      </c>
      <c r="M7" s="43" t="s">
        <v>94</v>
      </c>
      <c r="N7" s="43" t="s">
        <v>98</v>
      </c>
      <c r="O7" s="43" t="s">
        <v>4</v>
      </c>
      <c r="P7" s="43" t="s">
        <v>5</v>
      </c>
      <c r="Q7" s="43" t="s">
        <v>91</v>
      </c>
      <c r="R7" s="43" t="s">
        <v>6</v>
      </c>
      <c r="S7" s="43" t="s">
        <v>7</v>
      </c>
      <c r="T7" s="43" t="s">
        <v>555</v>
      </c>
      <c r="U7" s="43" t="s">
        <v>8</v>
      </c>
      <c r="V7" s="43" t="s">
        <v>95</v>
      </c>
      <c r="W7" s="43" t="s">
        <v>96</v>
      </c>
      <c r="X7" s="43" t="s">
        <v>97</v>
      </c>
      <c r="Y7" s="43" t="s">
        <v>36</v>
      </c>
      <c r="Z7" s="43" t="s">
        <v>37</v>
      </c>
      <c r="AA7" s="43" t="s">
        <v>12</v>
      </c>
      <c r="AB7" s="43" t="s">
        <v>13</v>
      </c>
      <c r="AC7" s="43" t="s">
        <v>14</v>
      </c>
      <c r="AD7" s="43" t="s">
        <v>248</v>
      </c>
      <c r="AE7" s="43" t="s">
        <v>24</v>
      </c>
      <c r="AF7" s="43" t="s">
        <v>25</v>
      </c>
    </row>
    <row r="8" spans="6:32" x14ac:dyDescent="0.35">
      <c r="F8" s="63"/>
      <c r="G8" s="63"/>
      <c r="H8" s="60"/>
      <c r="I8" s="59"/>
      <c r="J8" s="60"/>
      <c r="K8" s="59"/>
      <c r="L8" s="59"/>
      <c r="M8" s="59"/>
      <c r="N8" s="59"/>
      <c r="O8" s="60"/>
      <c r="P8" s="59"/>
      <c r="Q8" s="59"/>
      <c r="R8" s="59"/>
      <c r="S8" s="59"/>
      <c r="T8" s="59"/>
      <c r="U8" s="59"/>
      <c r="V8" s="59"/>
      <c r="W8" s="59"/>
      <c r="X8" s="59"/>
      <c r="Y8" s="60"/>
      <c r="Z8" s="59"/>
      <c r="AA8" s="59"/>
      <c r="AB8" s="59"/>
      <c r="AC8" s="59"/>
      <c r="AD8" s="59"/>
      <c r="AE8" s="59"/>
      <c r="AF8" s="59"/>
    </row>
  </sheetData>
  <conditionalFormatting sqref="F8:AF8">
    <cfRule type="expression" dxfId="452" priority="1" stopIfTrue="1">
      <formula>$K8="Active"</formula>
    </cfRule>
    <cfRule type="expression" dxfId="451" priority="2" stopIfTrue="1">
      <formula>$K8="Resolved"</formula>
    </cfRule>
    <cfRule type="expression" dxfId="450" priority="3" stopIfTrue="1">
      <formula>$K8="Signed-Off/Closed"</formula>
    </cfRule>
  </conditionalFormatting>
  <dataValidations count="2">
    <dataValidation type="list" allowBlank="1" showInputMessage="1" showErrorMessage="1" sqref="K8" xr:uid="{7B14620E-0642-4E83-8D7C-D0D7BAB57414}">
      <formula1>PunchListStatusList</formula1>
    </dataValidation>
    <dataValidation type="list" allowBlank="1" showInputMessage="1" showErrorMessage="1" sqref="AE8" xr:uid="{3C46DCE2-22B9-4CE3-8175-45709B904388}">
      <formula1>PriorityList</formula1>
    </dataValidation>
  </dataValidations>
  <pageMargins left="0.7" right="0.7" top="0.75" bottom="0.75" header="0.3" footer="0.3"/>
  <pageSetup scale="15"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68100-B29D-4F2C-A3E9-7411D4337579}">
  <sheetPr codeName="Sheet6">
    <pageSetUpPr autoPageBreaks="0"/>
  </sheetPr>
  <dimension ref="F1:AD444"/>
  <sheetViews>
    <sheetView showGridLines="0" showRowColHeaders="0" zoomScale="130" zoomScaleNormal="130" workbookViewId="0">
      <pane xSplit="5" ySplit="7" topLeftCell="F9" activePane="bottomRight" state="frozen"/>
      <selection pane="topRight" activeCell="F1" sqref="F1"/>
      <selection pane="bottomLeft" activeCell="A8" sqref="A8"/>
      <selection pane="bottomRight" activeCell="S147" sqref="S147"/>
    </sheetView>
  </sheetViews>
  <sheetFormatPr defaultRowHeight="14.5" x14ac:dyDescent="0.35"/>
  <cols>
    <col min="5" max="5" width="3.54296875" customWidth="1"/>
    <col min="6" max="6" width="33" style="40" customWidth="1"/>
    <col min="7" max="7" width="29.54296875" style="40" customWidth="1"/>
    <col min="8" max="8" width="25.453125" style="40" customWidth="1"/>
    <col min="9" max="9" width="22.54296875" style="41" customWidth="1"/>
    <col min="10" max="10" width="20.08984375" style="41" customWidth="1"/>
    <col min="11" max="11" width="19" style="41" customWidth="1"/>
    <col min="12" max="12" width="25.453125" style="41" customWidth="1"/>
    <col min="13" max="13" width="32.90625" style="40" customWidth="1"/>
    <col min="14" max="14" width="14.453125" style="41" customWidth="1"/>
    <col min="15" max="15" width="16.453125" style="41" customWidth="1"/>
    <col min="16" max="16" width="22.90625" style="40" customWidth="1"/>
    <col min="17" max="17" width="20.08984375" style="41" customWidth="1"/>
    <col min="18" max="18" width="17.54296875" style="41" customWidth="1"/>
    <col min="19" max="19" width="16.453125" style="41" customWidth="1"/>
    <col min="20" max="20" width="22.54296875" style="41" customWidth="1"/>
    <col min="21" max="21" width="28.54296875" style="41" customWidth="1"/>
    <col min="22" max="22" width="21.54296875" style="41" customWidth="1"/>
    <col min="23" max="23" width="25.90625" style="41" customWidth="1"/>
    <col min="24" max="24" width="19.453125" style="41" customWidth="1"/>
    <col min="25" max="25" width="19.453125" style="40" customWidth="1"/>
    <col min="26" max="26" width="10.453125" style="41" bestFit="1" customWidth="1"/>
    <col min="27" max="27" width="10.90625" style="41" customWidth="1"/>
    <col min="28" max="28" width="15.453125" style="41" customWidth="1"/>
    <col min="29" max="29" width="17" style="41" customWidth="1"/>
    <col min="30" max="30" width="33" style="40" customWidth="1"/>
  </cols>
  <sheetData>
    <row r="1" spans="6:30" x14ac:dyDescent="0.35">
      <c r="F1"/>
      <c r="G1"/>
      <c r="H1"/>
      <c r="I1"/>
      <c r="J1"/>
      <c r="K1"/>
      <c r="L1"/>
      <c r="M1"/>
      <c r="N1"/>
      <c r="O1"/>
      <c r="P1"/>
      <c r="Q1"/>
      <c r="R1"/>
      <c r="S1"/>
      <c r="T1"/>
      <c r="U1"/>
      <c r="V1"/>
      <c r="W1"/>
      <c r="X1"/>
      <c r="Y1"/>
      <c r="Z1"/>
      <c r="AA1"/>
      <c r="AB1"/>
      <c r="AC1"/>
      <c r="AD1"/>
    </row>
    <row r="2" spans="6:30" x14ac:dyDescent="0.35">
      <c r="F2"/>
      <c r="G2"/>
      <c r="H2"/>
      <c r="I2"/>
      <c r="J2"/>
      <c r="K2"/>
      <c r="L2"/>
      <c r="M2"/>
      <c r="N2"/>
      <c r="O2"/>
      <c r="P2"/>
      <c r="Q2"/>
      <c r="R2"/>
      <c r="S2"/>
      <c r="T2"/>
      <c r="U2"/>
      <c r="V2"/>
      <c r="W2"/>
      <c r="X2"/>
      <c r="Y2"/>
      <c r="Z2"/>
      <c r="AA2"/>
      <c r="AB2"/>
      <c r="AC2"/>
      <c r="AD2"/>
    </row>
    <row r="3" spans="6:30" x14ac:dyDescent="0.35">
      <c r="F3"/>
      <c r="G3"/>
      <c r="H3"/>
      <c r="I3"/>
      <c r="J3"/>
      <c r="K3"/>
      <c r="L3"/>
      <c r="M3"/>
      <c r="N3"/>
      <c r="O3"/>
      <c r="P3"/>
      <c r="Q3"/>
      <c r="R3"/>
      <c r="S3"/>
      <c r="T3"/>
      <c r="U3"/>
      <c r="V3"/>
      <c r="W3"/>
      <c r="X3"/>
      <c r="Y3"/>
      <c r="Z3"/>
      <c r="AA3"/>
      <c r="AB3"/>
      <c r="AC3"/>
      <c r="AD3"/>
    </row>
    <row r="4" spans="6:30" x14ac:dyDescent="0.35">
      <c r="F4"/>
      <c r="G4"/>
      <c r="H4"/>
      <c r="I4"/>
      <c r="J4"/>
      <c r="K4"/>
      <c r="L4"/>
      <c r="M4"/>
      <c r="N4"/>
      <c r="O4"/>
      <c r="P4"/>
      <c r="Q4"/>
      <c r="R4"/>
      <c r="S4"/>
      <c r="T4"/>
      <c r="U4"/>
      <c r="V4"/>
      <c r="W4"/>
      <c r="X4"/>
      <c r="Y4"/>
      <c r="Z4"/>
      <c r="AA4"/>
      <c r="AB4"/>
      <c r="AC4"/>
      <c r="AD4"/>
    </row>
    <row r="5" spans="6:30" x14ac:dyDescent="0.35">
      <c r="F5"/>
      <c r="G5"/>
      <c r="H5"/>
      <c r="I5"/>
      <c r="J5"/>
      <c r="K5"/>
      <c r="L5"/>
      <c r="M5"/>
      <c r="N5"/>
      <c r="O5"/>
      <c r="P5"/>
      <c r="Q5"/>
      <c r="R5"/>
      <c r="S5"/>
      <c r="T5"/>
      <c r="U5"/>
      <c r="V5"/>
      <c r="W5"/>
      <c r="X5"/>
      <c r="Y5"/>
      <c r="Z5"/>
      <c r="AA5"/>
      <c r="AB5"/>
      <c r="AC5"/>
      <c r="AD5"/>
    </row>
    <row r="6" spans="6:30" x14ac:dyDescent="0.35">
      <c r="F6"/>
      <c r="G6"/>
      <c r="H6"/>
      <c r="I6"/>
      <c r="J6"/>
      <c r="K6"/>
      <c r="L6"/>
      <c r="M6"/>
      <c r="N6"/>
      <c r="O6"/>
      <c r="P6"/>
      <c r="Q6"/>
      <c r="R6"/>
      <c r="S6"/>
      <c r="T6"/>
      <c r="U6"/>
      <c r="V6"/>
      <c r="W6"/>
      <c r="X6"/>
      <c r="Y6"/>
      <c r="Z6"/>
      <c r="AA6"/>
      <c r="AB6"/>
      <c r="AC6"/>
      <c r="AD6"/>
    </row>
    <row r="7" spans="6:30" ht="43.5" x14ac:dyDescent="0.35">
      <c r="F7" s="12" t="s">
        <v>83</v>
      </c>
      <c r="G7" s="12" t="s">
        <v>92</v>
      </c>
      <c r="H7" s="13" t="s">
        <v>42</v>
      </c>
      <c r="I7" s="13" t="s">
        <v>43</v>
      </c>
      <c r="J7" s="13" t="s">
        <v>38</v>
      </c>
      <c r="K7" s="13" t="s">
        <v>39</v>
      </c>
      <c r="L7" s="14" t="s">
        <v>68</v>
      </c>
      <c r="M7" s="13" t="s">
        <v>46</v>
      </c>
      <c r="N7" s="13" t="s">
        <v>47</v>
      </c>
      <c r="O7" s="13" t="s">
        <v>48</v>
      </c>
      <c r="P7" s="14" t="s">
        <v>44</v>
      </c>
      <c r="Q7" s="14" t="s">
        <v>45</v>
      </c>
      <c r="R7" s="14" t="s">
        <v>40</v>
      </c>
      <c r="S7" s="14" t="s">
        <v>41</v>
      </c>
      <c r="T7" s="14" t="s">
        <v>52</v>
      </c>
      <c r="U7" s="14" t="s">
        <v>53</v>
      </c>
      <c r="V7" s="14" t="s">
        <v>49</v>
      </c>
      <c r="W7" s="14" t="s">
        <v>50</v>
      </c>
      <c r="X7" s="14" t="s">
        <v>90</v>
      </c>
      <c r="Y7" s="14" t="s">
        <v>99</v>
      </c>
      <c r="Z7" s="14" t="s">
        <v>80</v>
      </c>
      <c r="AA7" s="14" t="s">
        <v>88</v>
      </c>
      <c r="AB7" s="14" t="s">
        <v>87</v>
      </c>
      <c r="AC7" s="14" t="s">
        <v>51</v>
      </c>
      <c r="AD7" s="13" t="s">
        <v>25</v>
      </c>
    </row>
    <row r="8" spans="6:30" hidden="1" x14ac:dyDescent="0.35">
      <c r="F8" s="40" t="s">
        <v>66</v>
      </c>
      <c r="G8" s="40" t="s">
        <v>603</v>
      </c>
      <c r="H8" s="40" t="s">
        <v>604</v>
      </c>
      <c r="I8" s="41" t="s">
        <v>607</v>
      </c>
      <c r="J8" s="41" t="s">
        <v>121</v>
      </c>
      <c r="K8" s="41">
        <v>568</v>
      </c>
      <c r="L8" s="41" t="s">
        <v>104</v>
      </c>
      <c r="M8" s="40" t="s">
        <v>600</v>
      </c>
      <c r="P8" s="40" t="s">
        <v>604</v>
      </c>
      <c r="Q8" s="41" t="s">
        <v>607</v>
      </c>
      <c r="R8" s="41" t="s">
        <v>121</v>
      </c>
      <c r="S8" s="41">
        <v>568</v>
      </c>
      <c r="T8" s="64">
        <v>45920</v>
      </c>
      <c r="V8" s="41" t="s">
        <v>2203</v>
      </c>
      <c r="W8" s="41" t="s">
        <v>2204</v>
      </c>
      <c r="X8" s="41" t="s">
        <v>162</v>
      </c>
      <c r="Y8" s="42"/>
      <c r="Z8" s="41" t="s">
        <v>170</v>
      </c>
      <c r="AA8" s="41" t="s">
        <v>241</v>
      </c>
      <c r="AB8" s="41" t="s">
        <v>245</v>
      </c>
      <c r="AC8" s="41" t="s">
        <v>2175</v>
      </c>
    </row>
    <row r="9" spans="6:30" ht="29" x14ac:dyDescent="0.35">
      <c r="F9" s="40" t="s">
        <v>1440</v>
      </c>
      <c r="G9" s="40" t="s">
        <v>603</v>
      </c>
      <c r="H9" s="40" t="s">
        <v>604</v>
      </c>
      <c r="I9" s="41" t="s">
        <v>605</v>
      </c>
      <c r="J9" s="41" t="s">
        <v>102</v>
      </c>
      <c r="K9" s="41" t="s">
        <v>2212</v>
      </c>
      <c r="L9" s="41" t="s">
        <v>104</v>
      </c>
      <c r="M9" s="40" t="s">
        <v>608</v>
      </c>
      <c r="P9" s="40" t="s">
        <v>604</v>
      </c>
      <c r="Q9" s="41" t="s">
        <v>605</v>
      </c>
      <c r="R9" s="41" t="s">
        <v>102</v>
      </c>
      <c r="S9" s="41" t="s">
        <v>2212</v>
      </c>
      <c r="T9" s="64">
        <v>45920</v>
      </c>
      <c r="V9" s="41" t="s">
        <v>2203</v>
      </c>
      <c r="W9" s="41" t="s">
        <v>2204</v>
      </c>
      <c r="X9" s="41" t="s">
        <v>242</v>
      </c>
      <c r="Y9" s="42"/>
      <c r="Z9" s="41" t="s">
        <v>170</v>
      </c>
      <c r="AA9" s="41" t="s">
        <v>1004</v>
      </c>
      <c r="AB9" s="41" t="s">
        <v>1876</v>
      </c>
      <c r="AC9" s="41" t="s">
        <v>2175</v>
      </c>
      <c r="AD9" s="40" t="s">
        <v>2211</v>
      </c>
    </row>
    <row r="10" spans="6:30" hidden="1" x14ac:dyDescent="0.35">
      <c r="F10" s="40" t="s">
        <v>1441</v>
      </c>
      <c r="G10" s="40" t="s">
        <v>603</v>
      </c>
      <c r="H10" s="40" t="s">
        <v>604</v>
      </c>
      <c r="I10" s="41" t="s">
        <v>607</v>
      </c>
      <c r="J10" s="41" t="s">
        <v>117</v>
      </c>
      <c r="K10" s="41" t="s">
        <v>2214</v>
      </c>
      <c r="L10" s="41" t="s">
        <v>104</v>
      </c>
      <c r="M10" s="40" t="s">
        <v>609</v>
      </c>
      <c r="P10" s="40" t="s">
        <v>604</v>
      </c>
      <c r="Q10" s="41" t="s">
        <v>607</v>
      </c>
      <c r="R10" s="41" t="s">
        <v>117</v>
      </c>
      <c r="S10" s="41" t="s">
        <v>2214</v>
      </c>
      <c r="T10" s="64">
        <v>45920</v>
      </c>
      <c r="V10" s="41" t="s">
        <v>2203</v>
      </c>
      <c r="W10" s="41" t="s">
        <v>2204</v>
      </c>
      <c r="Y10" s="42"/>
      <c r="Z10" s="41" t="s">
        <v>170</v>
      </c>
      <c r="AA10" s="41" t="s">
        <v>1005</v>
      </c>
      <c r="AB10" s="41" t="s">
        <v>1877</v>
      </c>
      <c r="AC10" s="41" t="s">
        <v>2175</v>
      </c>
    </row>
    <row r="11" spans="6:30" x14ac:dyDescent="0.35">
      <c r="F11" s="40" t="s">
        <v>1442</v>
      </c>
      <c r="G11" s="40" t="s">
        <v>603</v>
      </c>
      <c r="H11" s="40" t="s">
        <v>604</v>
      </c>
      <c r="I11" s="41" t="s">
        <v>605</v>
      </c>
      <c r="J11" s="41" t="s">
        <v>117</v>
      </c>
      <c r="K11" s="41" t="s">
        <v>612</v>
      </c>
      <c r="L11" s="41" t="s">
        <v>104</v>
      </c>
      <c r="M11" s="40" t="s">
        <v>610</v>
      </c>
      <c r="P11" s="40" t="s">
        <v>604</v>
      </c>
      <c r="Q11" s="41" t="s">
        <v>605</v>
      </c>
      <c r="R11" s="41" t="s">
        <v>120</v>
      </c>
      <c r="S11" s="41" t="s">
        <v>2207</v>
      </c>
      <c r="T11" s="64">
        <v>45920</v>
      </c>
      <c r="V11" s="41" t="s">
        <v>2203</v>
      </c>
      <c r="W11" s="41" t="s">
        <v>2204</v>
      </c>
      <c r="Y11" s="42"/>
      <c r="Z11" s="41" t="s">
        <v>170</v>
      </c>
      <c r="AA11" s="41" t="s">
        <v>1006</v>
      </c>
      <c r="AB11" s="41" t="s">
        <v>1878</v>
      </c>
      <c r="AC11" s="41" t="s">
        <v>2175</v>
      </c>
    </row>
    <row r="12" spans="6:30" x14ac:dyDescent="0.35">
      <c r="F12" s="40" t="s">
        <v>1443</v>
      </c>
      <c r="G12" s="40" t="s">
        <v>603</v>
      </c>
      <c r="H12" s="40" t="s">
        <v>604</v>
      </c>
      <c r="I12" s="41" t="s">
        <v>605</v>
      </c>
      <c r="J12" s="41" t="s">
        <v>117</v>
      </c>
      <c r="K12" s="41" t="s">
        <v>612</v>
      </c>
      <c r="L12" s="41" t="s">
        <v>104</v>
      </c>
      <c r="M12" s="40" t="s">
        <v>613</v>
      </c>
      <c r="P12" s="40" t="s">
        <v>604</v>
      </c>
      <c r="Q12" s="41" t="s">
        <v>605</v>
      </c>
      <c r="R12" s="41" t="s">
        <v>102</v>
      </c>
      <c r="S12" s="41" t="s">
        <v>2212</v>
      </c>
      <c r="T12" s="64">
        <v>45920</v>
      </c>
      <c r="V12" s="41" t="s">
        <v>2203</v>
      </c>
      <c r="W12" s="41" t="s">
        <v>2204</v>
      </c>
      <c r="Y12" s="42"/>
      <c r="Z12" s="41" t="s">
        <v>170</v>
      </c>
      <c r="AA12" s="41" t="s">
        <v>1007</v>
      </c>
      <c r="AB12" s="41" t="s">
        <v>1879</v>
      </c>
      <c r="AC12" s="41" t="s">
        <v>2175</v>
      </c>
    </row>
    <row r="13" spans="6:30" hidden="1" x14ac:dyDescent="0.35">
      <c r="F13" s="40" t="s">
        <v>1444</v>
      </c>
      <c r="G13" s="40" t="s">
        <v>603</v>
      </c>
      <c r="H13" s="40" t="s">
        <v>604</v>
      </c>
      <c r="I13" s="41" t="s">
        <v>607</v>
      </c>
      <c r="J13" s="41" t="s">
        <v>117</v>
      </c>
      <c r="K13" s="41">
        <v>503</v>
      </c>
      <c r="L13" s="41" t="s">
        <v>104</v>
      </c>
      <c r="M13" s="40" t="s">
        <v>615</v>
      </c>
      <c r="P13" s="40" t="s">
        <v>604</v>
      </c>
      <c r="Q13" s="41" t="s">
        <v>607</v>
      </c>
      <c r="R13" s="41" t="s">
        <v>117</v>
      </c>
      <c r="S13" s="41">
        <v>503</v>
      </c>
      <c r="T13" s="64">
        <v>45920</v>
      </c>
      <c r="V13" s="41" t="s">
        <v>2203</v>
      </c>
      <c r="W13" s="41" t="s">
        <v>2204</v>
      </c>
      <c r="Y13" s="42"/>
      <c r="Z13" s="41" t="s">
        <v>170</v>
      </c>
      <c r="AA13" s="41" t="s">
        <v>1008</v>
      </c>
      <c r="AB13" s="41" t="s">
        <v>1880</v>
      </c>
      <c r="AC13" s="41" t="s">
        <v>2175</v>
      </c>
    </row>
    <row r="14" spans="6:30" hidden="1" x14ac:dyDescent="0.35">
      <c r="F14" s="40" t="s">
        <v>1445</v>
      </c>
      <c r="G14" s="40" t="s">
        <v>603</v>
      </c>
      <c r="H14" s="40" t="s">
        <v>604</v>
      </c>
      <c r="I14" s="41" t="s">
        <v>607</v>
      </c>
      <c r="J14" s="41" t="s">
        <v>117</v>
      </c>
      <c r="K14" s="41">
        <v>503</v>
      </c>
      <c r="L14" s="41" t="s">
        <v>104</v>
      </c>
      <c r="M14" s="40" t="s">
        <v>616</v>
      </c>
      <c r="P14" s="40" t="s">
        <v>604</v>
      </c>
      <c r="Q14" s="41" t="s">
        <v>607</v>
      </c>
      <c r="R14" s="41" t="s">
        <v>117</v>
      </c>
      <c r="S14" s="41">
        <v>503</v>
      </c>
      <c r="T14" s="64">
        <v>45920</v>
      </c>
      <c r="V14" s="41" t="s">
        <v>2203</v>
      </c>
      <c r="W14" s="41" t="s">
        <v>2204</v>
      </c>
      <c r="Y14" s="42"/>
      <c r="Z14" s="41" t="s">
        <v>170</v>
      </c>
      <c r="AA14" s="41" t="s">
        <v>1009</v>
      </c>
      <c r="AB14" s="41" t="s">
        <v>1881</v>
      </c>
      <c r="AC14" s="41" t="s">
        <v>2175</v>
      </c>
    </row>
    <row r="15" spans="6:30" hidden="1" x14ac:dyDescent="0.35">
      <c r="F15" s="40" t="s">
        <v>1446</v>
      </c>
      <c r="G15" s="40" t="s">
        <v>603</v>
      </c>
      <c r="H15" s="40" t="s">
        <v>604</v>
      </c>
      <c r="I15" s="41" t="s">
        <v>607</v>
      </c>
      <c r="J15" s="41" t="s">
        <v>125</v>
      </c>
      <c r="K15" s="41">
        <v>553</v>
      </c>
      <c r="L15" s="41" t="s">
        <v>104</v>
      </c>
      <c r="M15" s="40" t="s">
        <v>617</v>
      </c>
      <c r="P15" s="40" t="s">
        <v>604</v>
      </c>
      <c r="Q15" s="41" t="s">
        <v>607</v>
      </c>
      <c r="R15" s="41" t="s">
        <v>125</v>
      </c>
      <c r="S15" s="41">
        <v>553</v>
      </c>
      <c r="T15" s="64">
        <v>45920</v>
      </c>
      <c r="V15" s="41" t="s">
        <v>2203</v>
      </c>
      <c r="W15" s="41" t="s">
        <v>2204</v>
      </c>
      <c r="Y15" s="42"/>
      <c r="Z15" s="41" t="s">
        <v>170</v>
      </c>
      <c r="AA15" s="41" t="s">
        <v>1010</v>
      </c>
      <c r="AB15" s="41" t="s">
        <v>1882</v>
      </c>
      <c r="AC15" s="41" t="s">
        <v>2175</v>
      </c>
    </row>
    <row r="16" spans="6:30" hidden="1" x14ac:dyDescent="0.35">
      <c r="F16" s="40" t="s">
        <v>1447</v>
      </c>
      <c r="G16" s="40" t="s">
        <v>603</v>
      </c>
      <c r="H16" s="40" t="s">
        <v>604</v>
      </c>
      <c r="I16" s="41" t="s">
        <v>607</v>
      </c>
      <c r="J16" s="41" t="s">
        <v>125</v>
      </c>
      <c r="K16" s="41">
        <v>553</v>
      </c>
      <c r="L16" s="41" t="s">
        <v>104</v>
      </c>
      <c r="M16" s="40" t="s">
        <v>619</v>
      </c>
      <c r="P16" s="40" t="s">
        <v>604</v>
      </c>
      <c r="Q16" s="41" t="s">
        <v>607</v>
      </c>
      <c r="R16" s="41" t="s">
        <v>125</v>
      </c>
      <c r="S16" s="41">
        <v>553</v>
      </c>
      <c r="T16" s="64">
        <v>45920</v>
      </c>
      <c r="V16" s="41" t="s">
        <v>2203</v>
      </c>
      <c r="W16" s="41" t="s">
        <v>2204</v>
      </c>
      <c r="Y16" s="42"/>
      <c r="Z16" s="41" t="s">
        <v>170</v>
      </c>
      <c r="AA16" s="41" t="s">
        <v>1011</v>
      </c>
      <c r="AB16" s="41" t="s">
        <v>1883</v>
      </c>
      <c r="AC16" s="41" t="s">
        <v>2175</v>
      </c>
    </row>
    <row r="17" spans="6:29" hidden="1" x14ac:dyDescent="0.35">
      <c r="F17" s="40" t="s">
        <v>1448</v>
      </c>
      <c r="G17" s="40" t="s">
        <v>603</v>
      </c>
      <c r="H17" s="40" t="s">
        <v>604</v>
      </c>
      <c r="I17" s="41" t="s">
        <v>607</v>
      </c>
      <c r="J17" s="41" t="s">
        <v>125</v>
      </c>
      <c r="K17" s="41">
        <v>553</v>
      </c>
      <c r="L17" s="41" t="s">
        <v>104</v>
      </c>
      <c r="M17" s="40" t="s">
        <v>620</v>
      </c>
      <c r="P17" s="40" t="s">
        <v>604</v>
      </c>
      <c r="Q17" s="41" t="s">
        <v>607</v>
      </c>
      <c r="R17" s="41" t="s">
        <v>125</v>
      </c>
      <c r="S17" s="41">
        <v>553</v>
      </c>
      <c r="T17" s="64">
        <v>45920</v>
      </c>
      <c r="V17" s="41" t="s">
        <v>2203</v>
      </c>
      <c r="W17" s="41" t="s">
        <v>2204</v>
      </c>
      <c r="Y17" s="42"/>
      <c r="Z17" s="41" t="s">
        <v>170</v>
      </c>
      <c r="AA17" s="41" t="s">
        <v>1012</v>
      </c>
      <c r="AB17" s="41" t="s">
        <v>1884</v>
      </c>
      <c r="AC17" s="41" t="s">
        <v>2175</v>
      </c>
    </row>
    <row r="18" spans="6:29" hidden="1" x14ac:dyDescent="0.35">
      <c r="F18" s="40" t="s">
        <v>1449</v>
      </c>
      <c r="G18" s="40" t="s">
        <v>603</v>
      </c>
      <c r="H18" s="40" t="s">
        <v>604</v>
      </c>
      <c r="I18" s="41" t="s">
        <v>607</v>
      </c>
      <c r="J18" s="41" t="s">
        <v>118</v>
      </c>
      <c r="K18" s="41">
        <v>566</v>
      </c>
      <c r="L18" s="41" t="s">
        <v>104</v>
      </c>
      <c r="M18" s="40" t="s">
        <v>621</v>
      </c>
      <c r="P18" s="40" t="s">
        <v>604</v>
      </c>
      <c r="Q18" s="41" t="s">
        <v>607</v>
      </c>
      <c r="R18" s="41" t="s">
        <v>118</v>
      </c>
      <c r="S18" s="41">
        <v>566</v>
      </c>
      <c r="T18" s="64">
        <v>45920</v>
      </c>
      <c r="V18" s="41" t="s">
        <v>2203</v>
      </c>
      <c r="W18" s="41" t="s">
        <v>2204</v>
      </c>
      <c r="Y18" s="42"/>
      <c r="Z18" s="41" t="s">
        <v>170</v>
      </c>
      <c r="AA18" s="41" t="s">
        <v>1013</v>
      </c>
      <c r="AB18" s="41" t="s">
        <v>1885</v>
      </c>
      <c r="AC18" s="41" t="s">
        <v>2175</v>
      </c>
    </row>
    <row r="19" spans="6:29" ht="29" hidden="1" x14ac:dyDescent="0.35">
      <c r="F19" s="40" t="s">
        <v>1450</v>
      </c>
      <c r="G19" s="40" t="s">
        <v>603</v>
      </c>
      <c r="H19" s="40" t="s">
        <v>604</v>
      </c>
      <c r="I19" s="41" t="s">
        <v>605</v>
      </c>
      <c r="J19" s="41" t="s">
        <v>118</v>
      </c>
      <c r="K19" s="41" t="s">
        <v>623</v>
      </c>
      <c r="L19" s="41" t="s">
        <v>104</v>
      </c>
      <c r="M19" s="40" t="s">
        <v>624</v>
      </c>
      <c r="P19" s="40" t="s">
        <v>604</v>
      </c>
      <c r="Q19" s="41" t="s">
        <v>607</v>
      </c>
      <c r="R19" s="41" t="s">
        <v>118</v>
      </c>
      <c r="S19" s="41" t="s">
        <v>622</v>
      </c>
      <c r="T19" s="64">
        <v>45920</v>
      </c>
      <c r="V19" s="41" t="s">
        <v>2203</v>
      </c>
      <c r="W19" s="41" t="s">
        <v>2204</v>
      </c>
      <c r="Y19" s="42"/>
      <c r="Z19" s="41" t="s">
        <v>170</v>
      </c>
      <c r="AA19" s="41" t="s">
        <v>1014</v>
      </c>
      <c r="AB19" s="41" t="s">
        <v>1886</v>
      </c>
      <c r="AC19" s="41" t="s">
        <v>2175</v>
      </c>
    </row>
    <row r="20" spans="6:29" ht="29" hidden="1" x14ac:dyDescent="0.35">
      <c r="F20" s="40" t="s">
        <v>1451</v>
      </c>
      <c r="G20" s="40" t="s">
        <v>603</v>
      </c>
      <c r="H20" s="40" t="s">
        <v>604</v>
      </c>
      <c r="I20" s="41" t="s">
        <v>605</v>
      </c>
      <c r="J20" s="41" t="s">
        <v>118</v>
      </c>
      <c r="K20" s="41" t="s">
        <v>623</v>
      </c>
      <c r="L20" s="41" t="s">
        <v>104</v>
      </c>
      <c r="M20" s="40" t="s">
        <v>626</v>
      </c>
      <c r="P20" s="40" t="s">
        <v>604</v>
      </c>
      <c r="Q20" s="41" t="s">
        <v>607</v>
      </c>
      <c r="R20" s="41" t="s">
        <v>118</v>
      </c>
      <c r="S20" s="41" t="s">
        <v>622</v>
      </c>
      <c r="T20" s="64">
        <v>45920</v>
      </c>
      <c r="V20" s="41" t="s">
        <v>2203</v>
      </c>
      <c r="W20" s="41" t="s">
        <v>2204</v>
      </c>
      <c r="Y20" s="42"/>
      <c r="Z20" s="41" t="s">
        <v>170</v>
      </c>
      <c r="AA20" s="41" t="s">
        <v>1015</v>
      </c>
      <c r="AB20" s="41" t="s">
        <v>1887</v>
      </c>
      <c r="AC20" s="41" t="s">
        <v>2175</v>
      </c>
    </row>
    <row r="21" spans="6:29" ht="29" hidden="1" x14ac:dyDescent="0.35">
      <c r="F21" s="40" t="s">
        <v>1452</v>
      </c>
      <c r="G21" s="40" t="s">
        <v>603</v>
      </c>
      <c r="H21" s="40" t="s">
        <v>604</v>
      </c>
      <c r="I21" s="41" t="s">
        <v>605</v>
      </c>
      <c r="J21" s="41" t="s">
        <v>118</v>
      </c>
      <c r="K21" s="41" t="s">
        <v>623</v>
      </c>
      <c r="L21" s="41" t="s">
        <v>104</v>
      </c>
      <c r="M21" s="40" t="s">
        <v>628</v>
      </c>
      <c r="P21" s="40" t="s">
        <v>604</v>
      </c>
      <c r="Q21" s="41" t="s">
        <v>607</v>
      </c>
      <c r="R21" s="41" t="s">
        <v>118</v>
      </c>
      <c r="S21" s="41" t="s">
        <v>622</v>
      </c>
      <c r="T21" s="64">
        <v>45920</v>
      </c>
      <c r="V21" s="41" t="s">
        <v>2203</v>
      </c>
      <c r="W21" s="41" t="s">
        <v>2204</v>
      </c>
      <c r="Y21" s="42"/>
      <c r="Z21" s="41" t="s">
        <v>170</v>
      </c>
      <c r="AA21" s="41" t="s">
        <v>1016</v>
      </c>
      <c r="AB21" s="41" t="s">
        <v>1888</v>
      </c>
      <c r="AC21" s="41" t="s">
        <v>2175</v>
      </c>
    </row>
    <row r="22" spans="6:29" ht="29" hidden="1" x14ac:dyDescent="0.35">
      <c r="F22" s="40" t="s">
        <v>1453</v>
      </c>
      <c r="G22" s="40" t="s">
        <v>603</v>
      </c>
      <c r="H22" s="40" t="s">
        <v>604</v>
      </c>
      <c r="I22" s="41" t="s">
        <v>605</v>
      </c>
      <c r="J22" s="41" t="s">
        <v>118</v>
      </c>
      <c r="K22" s="41" t="s">
        <v>623</v>
      </c>
      <c r="L22" s="41" t="s">
        <v>104</v>
      </c>
      <c r="M22" s="40" t="s">
        <v>630</v>
      </c>
      <c r="P22" s="40" t="s">
        <v>604</v>
      </c>
      <c r="Q22" s="41" t="s">
        <v>607</v>
      </c>
      <c r="R22" s="41" t="s">
        <v>118</v>
      </c>
      <c r="S22" s="41" t="s">
        <v>622</v>
      </c>
      <c r="T22" s="64">
        <v>45920</v>
      </c>
      <c r="V22" s="41" t="s">
        <v>2203</v>
      </c>
      <c r="W22" s="41" t="s">
        <v>2204</v>
      </c>
      <c r="Y22" s="42"/>
      <c r="Z22" s="41" t="s">
        <v>170</v>
      </c>
      <c r="AA22" s="41" t="s">
        <v>1017</v>
      </c>
      <c r="AB22" s="41" t="s">
        <v>1889</v>
      </c>
      <c r="AC22" s="41" t="s">
        <v>2175</v>
      </c>
    </row>
    <row r="23" spans="6:29" ht="29" hidden="1" x14ac:dyDescent="0.35">
      <c r="F23" s="40" t="s">
        <v>1454</v>
      </c>
      <c r="G23" s="40" t="s">
        <v>603</v>
      </c>
      <c r="H23" s="40" t="s">
        <v>604</v>
      </c>
      <c r="I23" s="41" t="s">
        <v>605</v>
      </c>
      <c r="J23" s="41" t="s">
        <v>118</v>
      </c>
      <c r="K23" s="41" t="s">
        <v>623</v>
      </c>
      <c r="L23" s="41" t="s">
        <v>104</v>
      </c>
      <c r="M23" s="40" t="s">
        <v>631</v>
      </c>
      <c r="P23" s="40" t="s">
        <v>604</v>
      </c>
      <c r="Q23" s="41" t="s">
        <v>607</v>
      </c>
      <c r="R23" s="41" t="s">
        <v>118</v>
      </c>
      <c r="S23" s="41" t="s">
        <v>622</v>
      </c>
      <c r="T23" s="64">
        <v>45920</v>
      </c>
      <c r="V23" s="41" t="s">
        <v>2203</v>
      </c>
      <c r="W23" s="41" t="s">
        <v>2204</v>
      </c>
      <c r="Y23" s="42"/>
      <c r="Z23" s="41" t="s">
        <v>170</v>
      </c>
      <c r="AA23" s="41" t="s">
        <v>1018</v>
      </c>
      <c r="AB23" s="41" t="s">
        <v>1890</v>
      </c>
      <c r="AC23" s="41" t="s">
        <v>2175</v>
      </c>
    </row>
    <row r="24" spans="6:29" ht="29" hidden="1" x14ac:dyDescent="0.35">
      <c r="F24" s="40" t="s">
        <v>1455</v>
      </c>
      <c r="G24" s="40" t="s">
        <v>603</v>
      </c>
      <c r="H24" s="40" t="s">
        <v>604</v>
      </c>
      <c r="I24" s="41" t="s">
        <v>605</v>
      </c>
      <c r="J24" s="41" t="s">
        <v>118</v>
      </c>
      <c r="K24" s="41" t="s">
        <v>623</v>
      </c>
      <c r="L24" s="41" t="s">
        <v>104</v>
      </c>
      <c r="M24" s="40" t="s">
        <v>632</v>
      </c>
      <c r="P24" s="40" t="s">
        <v>604</v>
      </c>
      <c r="Q24" s="41" t="s">
        <v>607</v>
      </c>
      <c r="R24" s="41" t="s">
        <v>118</v>
      </c>
      <c r="S24" s="41" t="s">
        <v>622</v>
      </c>
      <c r="T24" s="64">
        <v>45920</v>
      </c>
      <c r="V24" s="41" t="s">
        <v>2203</v>
      </c>
      <c r="W24" s="41" t="s">
        <v>2204</v>
      </c>
      <c r="Y24" s="42"/>
      <c r="Z24" s="41" t="s">
        <v>170</v>
      </c>
      <c r="AA24" s="41" t="s">
        <v>1019</v>
      </c>
      <c r="AB24" s="41" t="s">
        <v>1891</v>
      </c>
      <c r="AC24" s="41" t="s">
        <v>2175</v>
      </c>
    </row>
    <row r="25" spans="6:29" hidden="1" x14ac:dyDescent="0.35">
      <c r="F25" s="40" t="s">
        <v>1456</v>
      </c>
      <c r="G25" s="40" t="s">
        <v>603</v>
      </c>
      <c r="H25" s="40" t="s">
        <v>604</v>
      </c>
      <c r="I25" s="41" t="s">
        <v>605</v>
      </c>
      <c r="J25" s="41" t="s">
        <v>120</v>
      </c>
      <c r="K25" s="41" t="s">
        <v>2207</v>
      </c>
      <c r="L25" s="41" t="s">
        <v>104</v>
      </c>
      <c r="M25" s="40" t="s">
        <v>633</v>
      </c>
      <c r="P25" s="40" t="s">
        <v>604</v>
      </c>
      <c r="Q25" s="41" t="s">
        <v>607</v>
      </c>
      <c r="R25" s="41" t="s">
        <v>120</v>
      </c>
      <c r="S25" s="41" t="s">
        <v>635</v>
      </c>
      <c r="T25" s="64">
        <v>45920</v>
      </c>
      <c r="V25" s="41" t="s">
        <v>2203</v>
      </c>
      <c r="W25" s="41" t="s">
        <v>2204</v>
      </c>
      <c r="Y25" s="42"/>
      <c r="Z25" s="41" t="s">
        <v>170</v>
      </c>
      <c r="AA25" s="41" t="s">
        <v>1020</v>
      </c>
      <c r="AB25" s="41" t="s">
        <v>1892</v>
      </c>
      <c r="AC25" s="41" t="s">
        <v>2175</v>
      </c>
    </row>
    <row r="26" spans="6:29" hidden="1" x14ac:dyDescent="0.35">
      <c r="F26" s="40" t="s">
        <v>1457</v>
      </c>
      <c r="G26" s="40" t="s">
        <v>603</v>
      </c>
      <c r="H26" s="40" t="s">
        <v>604</v>
      </c>
      <c r="I26" s="41" t="s">
        <v>605</v>
      </c>
      <c r="J26" s="41" t="s">
        <v>120</v>
      </c>
      <c r="K26" s="41" t="s">
        <v>2207</v>
      </c>
      <c r="L26" s="41" t="s">
        <v>104</v>
      </c>
      <c r="M26" s="40" t="s">
        <v>636</v>
      </c>
      <c r="P26" s="40" t="s">
        <v>604</v>
      </c>
      <c r="Q26" s="41" t="s">
        <v>607</v>
      </c>
      <c r="R26" s="41" t="s">
        <v>120</v>
      </c>
      <c r="S26" s="41" t="s">
        <v>635</v>
      </c>
      <c r="T26" s="64">
        <v>45920</v>
      </c>
      <c r="V26" s="41" t="s">
        <v>2203</v>
      </c>
      <c r="W26" s="41" t="s">
        <v>2204</v>
      </c>
      <c r="Y26" s="42"/>
      <c r="Z26" s="41" t="s">
        <v>170</v>
      </c>
      <c r="AA26" s="41" t="s">
        <v>1021</v>
      </c>
      <c r="AB26" s="41" t="s">
        <v>1893</v>
      </c>
      <c r="AC26" s="41" t="s">
        <v>2175</v>
      </c>
    </row>
    <row r="27" spans="6:29" x14ac:dyDescent="0.35">
      <c r="F27" s="40" t="s">
        <v>1458</v>
      </c>
      <c r="G27" s="40" t="s">
        <v>603</v>
      </c>
      <c r="H27" s="40" t="s">
        <v>604</v>
      </c>
      <c r="I27" s="41" t="s">
        <v>605</v>
      </c>
      <c r="J27" s="41" t="s">
        <v>120</v>
      </c>
      <c r="K27" s="41" t="s">
        <v>2207</v>
      </c>
      <c r="L27" s="41" t="s">
        <v>104</v>
      </c>
      <c r="M27" s="40" t="s">
        <v>637</v>
      </c>
      <c r="P27" s="40" t="s">
        <v>604</v>
      </c>
      <c r="Q27" s="41" t="s">
        <v>605</v>
      </c>
      <c r="R27" s="41" t="s">
        <v>120</v>
      </c>
      <c r="S27" s="41" t="s">
        <v>2207</v>
      </c>
      <c r="T27" s="64">
        <v>45920</v>
      </c>
      <c r="V27" s="41" t="s">
        <v>2203</v>
      </c>
      <c r="W27" s="41" t="s">
        <v>2204</v>
      </c>
      <c r="Y27" s="42"/>
      <c r="Z27" s="41" t="s">
        <v>170</v>
      </c>
      <c r="AA27" s="41" t="s">
        <v>1022</v>
      </c>
      <c r="AB27" s="41" t="s">
        <v>1894</v>
      </c>
      <c r="AC27" s="41" t="s">
        <v>2175</v>
      </c>
    </row>
    <row r="28" spans="6:29" hidden="1" x14ac:dyDescent="0.35">
      <c r="F28" s="40" t="s">
        <v>1459</v>
      </c>
      <c r="G28" s="40" t="s">
        <v>603</v>
      </c>
      <c r="H28" s="40" t="s">
        <v>604</v>
      </c>
      <c r="I28" s="41" t="s">
        <v>605</v>
      </c>
      <c r="J28" s="41" t="s">
        <v>120</v>
      </c>
      <c r="K28" s="41" t="s">
        <v>2207</v>
      </c>
      <c r="L28" s="41" t="s">
        <v>104</v>
      </c>
      <c r="M28" s="40" t="s">
        <v>638</v>
      </c>
      <c r="P28" s="40" t="s">
        <v>604</v>
      </c>
      <c r="Q28" s="41" t="s">
        <v>607</v>
      </c>
      <c r="R28" s="41" t="s">
        <v>120</v>
      </c>
      <c r="S28" s="41" t="s">
        <v>635</v>
      </c>
      <c r="T28" s="64">
        <v>45920</v>
      </c>
      <c r="V28" s="41" t="s">
        <v>2203</v>
      </c>
      <c r="W28" s="41" t="s">
        <v>2204</v>
      </c>
      <c r="Y28" s="42"/>
      <c r="Z28" s="41" t="s">
        <v>170</v>
      </c>
      <c r="AA28" s="41" t="s">
        <v>1023</v>
      </c>
      <c r="AB28" s="41" t="s">
        <v>1895</v>
      </c>
      <c r="AC28" s="41" t="s">
        <v>2175</v>
      </c>
    </row>
    <row r="29" spans="6:29" hidden="1" x14ac:dyDescent="0.35">
      <c r="F29" s="40" t="s">
        <v>1460</v>
      </c>
      <c r="G29" s="40" t="s">
        <v>603</v>
      </c>
      <c r="H29" s="40" t="s">
        <v>604</v>
      </c>
      <c r="I29" s="41" t="s">
        <v>605</v>
      </c>
      <c r="J29" s="41" t="s">
        <v>120</v>
      </c>
      <c r="K29" s="41" t="s">
        <v>2207</v>
      </c>
      <c r="L29" s="41" t="s">
        <v>104</v>
      </c>
      <c r="M29" s="40" t="s">
        <v>639</v>
      </c>
      <c r="P29" s="40" t="s">
        <v>604</v>
      </c>
      <c r="Q29" s="41" t="s">
        <v>607</v>
      </c>
      <c r="R29" s="41" t="s">
        <v>120</v>
      </c>
      <c r="S29" s="41" t="s">
        <v>635</v>
      </c>
      <c r="T29" s="64">
        <v>45920</v>
      </c>
      <c r="V29" s="41" t="s">
        <v>2203</v>
      </c>
      <c r="W29" s="41" t="s">
        <v>2204</v>
      </c>
      <c r="Y29" s="42"/>
      <c r="Z29" s="41" t="s">
        <v>170</v>
      </c>
      <c r="AA29" s="41" t="s">
        <v>1024</v>
      </c>
      <c r="AB29" s="41" t="s">
        <v>1896</v>
      </c>
      <c r="AC29" s="41" t="s">
        <v>2175</v>
      </c>
    </row>
    <row r="30" spans="6:29" hidden="1" x14ac:dyDescent="0.35">
      <c r="F30" s="40" t="s">
        <v>1461</v>
      </c>
      <c r="G30" s="40" t="s">
        <v>603</v>
      </c>
      <c r="H30" s="40" t="s">
        <v>604</v>
      </c>
      <c r="I30" s="41" t="s">
        <v>605</v>
      </c>
      <c r="J30" s="41" t="s">
        <v>120</v>
      </c>
      <c r="K30" s="41" t="s">
        <v>2207</v>
      </c>
      <c r="L30" s="41" t="s">
        <v>104</v>
      </c>
      <c r="M30" s="40" t="s">
        <v>640</v>
      </c>
      <c r="P30" s="40" t="s">
        <v>604</v>
      </c>
      <c r="Q30" s="41" t="s">
        <v>607</v>
      </c>
      <c r="R30" s="41" t="s">
        <v>120</v>
      </c>
      <c r="S30" s="41" t="s">
        <v>635</v>
      </c>
      <c r="T30" s="64">
        <v>45920</v>
      </c>
      <c r="V30" s="41" t="s">
        <v>2203</v>
      </c>
      <c r="W30" s="41" t="s">
        <v>2204</v>
      </c>
      <c r="Y30" s="42"/>
      <c r="Z30" s="41" t="s">
        <v>170</v>
      </c>
      <c r="AA30" s="41" t="s">
        <v>1025</v>
      </c>
      <c r="AB30" s="41" t="s">
        <v>1897</v>
      </c>
      <c r="AC30" s="41" t="s">
        <v>2175</v>
      </c>
    </row>
    <row r="31" spans="6:29" hidden="1" x14ac:dyDescent="0.35">
      <c r="F31" s="40" t="s">
        <v>1462</v>
      </c>
      <c r="G31" s="40" t="s">
        <v>603</v>
      </c>
      <c r="H31" s="40" t="s">
        <v>604</v>
      </c>
      <c r="I31" s="41" t="s">
        <v>605</v>
      </c>
      <c r="J31" s="41" t="s">
        <v>120</v>
      </c>
      <c r="K31" s="41" t="s">
        <v>2207</v>
      </c>
      <c r="L31" s="41" t="s">
        <v>104</v>
      </c>
      <c r="M31" s="40" t="s">
        <v>641</v>
      </c>
      <c r="P31" s="40" t="s">
        <v>604</v>
      </c>
      <c r="Q31" s="41" t="s">
        <v>607</v>
      </c>
      <c r="R31" s="41" t="s">
        <v>120</v>
      </c>
      <c r="S31" s="41" t="s">
        <v>635</v>
      </c>
      <c r="T31" s="64">
        <v>45920</v>
      </c>
      <c r="V31" s="41" t="s">
        <v>2203</v>
      </c>
      <c r="W31" s="41" t="s">
        <v>2204</v>
      </c>
      <c r="Y31" s="42"/>
      <c r="Z31" s="41" t="s">
        <v>170</v>
      </c>
      <c r="AA31" s="41" t="s">
        <v>1026</v>
      </c>
      <c r="AB31" s="41" t="s">
        <v>1898</v>
      </c>
      <c r="AC31" s="41" t="s">
        <v>2175</v>
      </c>
    </row>
    <row r="32" spans="6:29" x14ac:dyDescent="0.35">
      <c r="F32" s="40" t="s">
        <v>1463</v>
      </c>
      <c r="G32" s="40" t="s">
        <v>603</v>
      </c>
      <c r="H32" s="40" t="s">
        <v>604</v>
      </c>
      <c r="I32" s="41" t="s">
        <v>605</v>
      </c>
      <c r="J32" s="41" t="s">
        <v>120</v>
      </c>
      <c r="K32" s="41" t="s">
        <v>2207</v>
      </c>
      <c r="L32" s="41" t="s">
        <v>104</v>
      </c>
      <c r="M32" s="40" t="s">
        <v>642</v>
      </c>
      <c r="P32" s="40" t="s">
        <v>604</v>
      </c>
      <c r="Q32" s="41" t="s">
        <v>605</v>
      </c>
      <c r="R32" s="41" t="s">
        <v>120</v>
      </c>
      <c r="S32" s="41" t="s">
        <v>2207</v>
      </c>
      <c r="T32" s="64">
        <v>45920</v>
      </c>
      <c r="V32" s="41" t="s">
        <v>2203</v>
      </c>
      <c r="W32" s="41" t="s">
        <v>2204</v>
      </c>
      <c r="Y32" s="42"/>
      <c r="Z32" s="41" t="s">
        <v>170</v>
      </c>
      <c r="AA32" s="41" t="s">
        <v>1027</v>
      </c>
      <c r="AB32" s="41" t="s">
        <v>1899</v>
      </c>
      <c r="AC32" s="41" t="s">
        <v>2175</v>
      </c>
    </row>
    <row r="33" spans="6:29" hidden="1" x14ac:dyDescent="0.35">
      <c r="F33" s="40" t="s">
        <v>1464</v>
      </c>
      <c r="G33" s="40" t="s">
        <v>603</v>
      </c>
      <c r="H33" s="40" t="s">
        <v>604</v>
      </c>
      <c r="I33" s="41" t="s">
        <v>605</v>
      </c>
      <c r="J33" s="41" t="s">
        <v>120</v>
      </c>
      <c r="K33" s="41" t="s">
        <v>2207</v>
      </c>
      <c r="L33" s="41" t="s">
        <v>104</v>
      </c>
      <c r="M33" s="40" t="s">
        <v>643</v>
      </c>
      <c r="P33" s="40" t="s">
        <v>604</v>
      </c>
      <c r="Q33" s="41" t="s">
        <v>607</v>
      </c>
      <c r="R33" s="41" t="s">
        <v>120</v>
      </c>
      <c r="S33" s="41" t="s">
        <v>635</v>
      </c>
      <c r="T33" s="64">
        <v>45920</v>
      </c>
      <c r="V33" s="41" t="s">
        <v>2203</v>
      </c>
      <c r="W33" s="41" t="s">
        <v>2204</v>
      </c>
      <c r="Y33" s="42"/>
      <c r="Z33" s="41" t="s">
        <v>170</v>
      </c>
      <c r="AA33" s="41" t="s">
        <v>1028</v>
      </c>
      <c r="AB33" s="41" t="s">
        <v>1900</v>
      </c>
      <c r="AC33" s="41" t="s">
        <v>2175</v>
      </c>
    </row>
    <row r="34" spans="6:29" ht="29" hidden="1" x14ac:dyDescent="0.35">
      <c r="F34" s="40" t="s">
        <v>1465</v>
      </c>
      <c r="G34" s="40" t="s">
        <v>603</v>
      </c>
      <c r="H34" s="40" t="s">
        <v>604</v>
      </c>
      <c r="I34" s="41" t="s">
        <v>605</v>
      </c>
      <c r="J34" s="41" t="s">
        <v>117</v>
      </c>
      <c r="K34" s="41" t="s">
        <v>646</v>
      </c>
      <c r="L34" s="41" t="s">
        <v>104</v>
      </c>
      <c r="M34" s="40" t="s">
        <v>644</v>
      </c>
      <c r="P34" s="40" t="s">
        <v>604</v>
      </c>
      <c r="Q34" s="41" t="s">
        <v>607</v>
      </c>
      <c r="R34" s="41" t="s">
        <v>117</v>
      </c>
      <c r="S34" s="41" t="s">
        <v>647</v>
      </c>
      <c r="T34" s="64">
        <v>45920</v>
      </c>
      <c r="V34" s="41" t="s">
        <v>2203</v>
      </c>
      <c r="W34" s="41" t="s">
        <v>2204</v>
      </c>
      <c r="Y34" s="42"/>
      <c r="Z34" s="41" t="s">
        <v>170</v>
      </c>
      <c r="AA34" s="41" t="s">
        <v>1029</v>
      </c>
      <c r="AB34" s="41" t="s">
        <v>1901</v>
      </c>
      <c r="AC34" s="41" t="s">
        <v>2175</v>
      </c>
    </row>
    <row r="35" spans="6:29" x14ac:dyDescent="0.35">
      <c r="F35" s="40" t="s">
        <v>1466</v>
      </c>
      <c r="G35" s="40" t="s">
        <v>603</v>
      </c>
      <c r="H35" s="40" t="s">
        <v>604</v>
      </c>
      <c r="I35" s="41" t="s">
        <v>605</v>
      </c>
      <c r="J35" s="41" t="s">
        <v>117</v>
      </c>
      <c r="K35" s="41" t="s">
        <v>646</v>
      </c>
      <c r="L35" s="41" t="s">
        <v>104</v>
      </c>
      <c r="M35" s="40" t="s">
        <v>648</v>
      </c>
      <c r="P35" s="40" t="s">
        <v>604</v>
      </c>
      <c r="Q35" s="41" t="s">
        <v>605</v>
      </c>
      <c r="R35" s="41" t="s">
        <v>117</v>
      </c>
      <c r="S35" s="41" t="s">
        <v>646</v>
      </c>
      <c r="T35" s="64">
        <v>45920</v>
      </c>
      <c r="V35" s="41" t="s">
        <v>2203</v>
      </c>
      <c r="W35" s="41" t="s">
        <v>2204</v>
      </c>
      <c r="Y35" s="42"/>
      <c r="Z35" s="41" t="s">
        <v>170</v>
      </c>
      <c r="AA35" s="41" t="s">
        <v>1030</v>
      </c>
      <c r="AB35" s="41" t="s">
        <v>1902</v>
      </c>
      <c r="AC35" s="41" t="s">
        <v>2175</v>
      </c>
    </row>
    <row r="36" spans="6:29" x14ac:dyDescent="0.35">
      <c r="F36" s="40" t="s">
        <v>1467</v>
      </c>
      <c r="G36" s="40" t="s">
        <v>603</v>
      </c>
      <c r="H36" s="40" t="s">
        <v>604</v>
      </c>
      <c r="I36" s="41" t="s">
        <v>605</v>
      </c>
      <c r="J36" s="41" t="s">
        <v>117</v>
      </c>
      <c r="K36" s="41" t="s">
        <v>646</v>
      </c>
      <c r="L36" s="41" t="s">
        <v>104</v>
      </c>
      <c r="M36" s="40" t="s">
        <v>650</v>
      </c>
      <c r="P36" s="40" t="s">
        <v>604</v>
      </c>
      <c r="Q36" s="41" t="s">
        <v>605</v>
      </c>
      <c r="R36" s="41" t="s">
        <v>102</v>
      </c>
      <c r="S36" s="41" t="s">
        <v>2212</v>
      </c>
      <c r="T36" s="64">
        <v>45920</v>
      </c>
      <c r="V36" s="41" t="s">
        <v>2203</v>
      </c>
      <c r="W36" s="41" t="s">
        <v>2204</v>
      </c>
      <c r="Y36" s="42"/>
      <c r="Z36" s="41" t="s">
        <v>170</v>
      </c>
      <c r="AA36" s="41" t="s">
        <v>1031</v>
      </c>
      <c r="AB36" s="41" t="s">
        <v>1903</v>
      </c>
      <c r="AC36" s="41" t="s">
        <v>2175</v>
      </c>
    </row>
    <row r="37" spans="6:29" ht="29" hidden="1" x14ac:dyDescent="0.35">
      <c r="F37" s="40" t="s">
        <v>1468</v>
      </c>
      <c r="G37" s="40" t="s">
        <v>603</v>
      </c>
      <c r="H37" s="40" t="s">
        <v>604</v>
      </c>
      <c r="I37" s="41" t="s">
        <v>605</v>
      </c>
      <c r="J37" s="41" t="s">
        <v>117</v>
      </c>
      <c r="K37" s="41" t="s">
        <v>646</v>
      </c>
      <c r="L37" s="41" t="s">
        <v>104</v>
      </c>
      <c r="M37" s="40" t="s">
        <v>651</v>
      </c>
      <c r="P37" s="40" t="s">
        <v>604</v>
      </c>
      <c r="Q37" s="41" t="s">
        <v>607</v>
      </c>
      <c r="R37" s="41" t="s">
        <v>117</v>
      </c>
      <c r="S37" s="41" t="s">
        <v>647</v>
      </c>
      <c r="T37" s="64">
        <v>45920</v>
      </c>
      <c r="V37" s="41" t="s">
        <v>2203</v>
      </c>
      <c r="W37" s="41" t="s">
        <v>2204</v>
      </c>
      <c r="Y37" s="42"/>
      <c r="Z37" s="41" t="s">
        <v>170</v>
      </c>
      <c r="AA37" s="41" t="s">
        <v>1032</v>
      </c>
      <c r="AB37" s="41" t="s">
        <v>1904</v>
      </c>
      <c r="AC37" s="41" t="s">
        <v>2175</v>
      </c>
    </row>
    <row r="38" spans="6:29" ht="29" hidden="1" x14ac:dyDescent="0.35">
      <c r="F38" s="40" t="s">
        <v>1469</v>
      </c>
      <c r="G38" s="40" t="s">
        <v>603</v>
      </c>
      <c r="H38" s="40" t="s">
        <v>604</v>
      </c>
      <c r="I38" s="41" t="s">
        <v>605</v>
      </c>
      <c r="J38" s="41" t="s">
        <v>117</v>
      </c>
      <c r="K38" s="41" t="s">
        <v>646</v>
      </c>
      <c r="L38" s="41" t="s">
        <v>104</v>
      </c>
      <c r="M38" s="40" t="s">
        <v>652</v>
      </c>
      <c r="P38" s="40" t="s">
        <v>604</v>
      </c>
      <c r="Q38" s="41" t="s">
        <v>607</v>
      </c>
      <c r="R38" s="41" t="s">
        <v>117</v>
      </c>
      <c r="S38" s="41" t="s">
        <v>647</v>
      </c>
      <c r="T38" s="64">
        <v>45920</v>
      </c>
      <c r="V38" s="41" t="s">
        <v>2203</v>
      </c>
      <c r="W38" s="41" t="s">
        <v>2204</v>
      </c>
      <c r="Y38" s="42"/>
      <c r="Z38" s="41" t="s">
        <v>170</v>
      </c>
      <c r="AA38" s="41" t="s">
        <v>1033</v>
      </c>
      <c r="AB38" s="41" t="s">
        <v>1905</v>
      </c>
      <c r="AC38" s="41" t="s">
        <v>2175</v>
      </c>
    </row>
    <row r="39" spans="6:29" ht="29" hidden="1" x14ac:dyDescent="0.35">
      <c r="F39" s="40" t="s">
        <v>1470</v>
      </c>
      <c r="G39" s="40" t="s">
        <v>603</v>
      </c>
      <c r="H39" s="40" t="s">
        <v>604</v>
      </c>
      <c r="I39" s="41" t="s">
        <v>605</v>
      </c>
      <c r="J39" s="41" t="s">
        <v>117</v>
      </c>
      <c r="K39" s="41" t="s">
        <v>646</v>
      </c>
      <c r="L39" s="41" t="s">
        <v>104</v>
      </c>
      <c r="M39" s="40" t="s">
        <v>616</v>
      </c>
      <c r="P39" s="40" t="s">
        <v>604</v>
      </c>
      <c r="Q39" s="41" t="s">
        <v>607</v>
      </c>
      <c r="R39" s="41" t="s">
        <v>117</v>
      </c>
      <c r="S39" s="41" t="s">
        <v>647</v>
      </c>
      <c r="T39" s="64">
        <v>45920</v>
      </c>
      <c r="V39" s="41" t="s">
        <v>2203</v>
      </c>
      <c r="W39" s="41" t="s">
        <v>2204</v>
      </c>
      <c r="Y39" s="42"/>
      <c r="Z39" s="41" t="s">
        <v>170</v>
      </c>
      <c r="AA39" s="41" t="s">
        <v>1034</v>
      </c>
      <c r="AB39" s="41" t="s">
        <v>1906</v>
      </c>
      <c r="AC39" s="41" t="s">
        <v>2175</v>
      </c>
    </row>
    <row r="40" spans="6:29" x14ac:dyDescent="0.35">
      <c r="F40" s="40" t="s">
        <v>1471</v>
      </c>
      <c r="G40" s="40" t="s">
        <v>603</v>
      </c>
      <c r="H40" s="40" t="s">
        <v>604</v>
      </c>
      <c r="I40" s="41" t="s">
        <v>605</v>
      </c>
      <c r="J40" s="41" t="s">
        <v>117</v>
      </c>
      <c r="K40" s="41" t="s">
        <v>646</v>
      </c>
      <c r="L40" s="41" t="s">
        <v>104</v>
      </c>
      <c r="M40" s="40" t="s">
        <v>653</v>
      </c>
      <c r="P40" s="40" t="s">
        <v>604</v>
      </c>
      <c r="Q40" s="41" t="s">
        <v>605</v>
      </c>
      <c r="R40" s="41" t="s">
        <v>117</v>
      </c>
      <c r="S40" s="41" t="s">
        <v>646</v>
      </c>
      <c r="T40" s="64">
        <v>45920</v>
      </c>
      <c r="V40" s="41" t="s">
        <v>2203</v>
      </c>
      <c r="W40" s="41" t="s">
        <v>2204</v>
      </c>
      <c r="Y40" s="42"/>
      <c r="Z40" s="41" t="s">
        <v>170</v>
      </c>
      <c r="AA40" s="41" t="s">
        <v>1035</v>
      </c>
      <c r="AB40" s="41" t="s">
        <v>1907</v>
      </c>
      <c r="AC40" s="41" t="s">
        <v>2175</v>
      </c>
    </row>
    <row r="41" spans="6:29" ht="29" hidden="1" x14ac:dyDescent="0.35">
      <c r="F41" s="40" t="s">
        <v>1472</v>
      </c>
      <c r="G41" s="40" t="s">
        <v>603</v>
      </c>
      <c r="H41" s="40" t="s">
        <v>604</v>
      </c>
      <c r="I41" s="41" t="s">
        <v>605</v>
      </c>
      <c r="J41" s="41" t="s">
        <v>117</v>
      </c>
      <c r="K41" s="41" t="s">
        <v>646</v>
      </c>
      <c r="L41" s="41" t="s">
        <v>104</v>
      </c>
      <c r="M41" s="40" t="s">
        <v>654</v>
      </c>
      <c r="P41" s="40" t="s">
        <v>604</v>
      </c>
      <c r="Q41" s="41" t="s">
        <v>607</v>
      </c>
      <c r="R41" s="41" t="s">
        <v>117</v>
      </c>
      <c r="S41" s="41" t="s">
        <v>647</v>
      </c>
      <c r="T41" s="64">
        <v>45920</v>
      </c>
      <c r="V41" s="41" t="s">
        <v>2203</v>
      </c>
      <c r="W41" s="41" t="s">
        <v>2204</v>
      </c>
      <c r="Y41" s="42"/>
      <c r="Z41" s="41" t="s">
        <v>170</v>
      </c>
      <c r="AA41" s="41" t="s">
        <v>1036</v>
      </c>
      <c r="AB41" s="41" t="s">
        <v>1908</v>
      </c>
      <c r="AC41" s="41" t="s">
        <v>2175</v>
      </c>
    </row>
    <row r="42" spans="6:29" ht="29" hidden="1" x14ac:dyDescent="0.35">
      <c r="F42" s="40" t="s">
        <v>1473</v>
      </c>
      <c r="G42" s="40" t="s">
        <v>603</v>
      </c>
      <c r="H42" s="40" t="s">
        <v>604</v>
      </c>
      <c r="I42" s="41" t="s">
        <v>605</v>
      </c>
      <c r="J42" s="41" t="s">
        <v>117</v>
      </c>
      <c r="K42" s="41" t="s">
        <v>646</v>
      </c>
      <c r="L42" s="41" t="s">
        <v>104</v>
      </c>
      <c r="M42" s="40" t="s">
        <v>655</v>
      </c>
      <c r="P42" s="40" t="s">
        <v>604</v>
      </c>
      <c r="Q42" s="41" t="s">
        <v>607</v>
      </c>
      <c r="R42" s="41" t="s">
        <v>117</v>
      </c>
      <c r="S42" s="41" t="s">
        <v>647</v>
      </c>
      <c r="T42" s="64">
        <v>45920</v>
      </c>
      <c r="V42" s="41" t="s">
        <v>2203</v>
      </c>
      <c r="W42" s="41" t="s">
        <v>2204</v>
      </c>
      <c r="Y42" s="42"/>
      <c r="Z42" s="41" t="s">
        <v>170</v>
      </c>
      <c r="AA42" s="41" t="s">
        <v>1037</v>
      </c>
      <c r="AB42" s="41" t="s">
        <v>1909</v>
      </c>
      <c r="AC42" s="41" t="s">
        <v>2175</v>
      </c>
    </row>
    <row r="43" spans="6:29" ht="29" hidden="1" x14ac:dyDescent="0.35">
      <c r="F43" s="40" t="s">
        <v>1474</v>
      </c>
      <c r="G43" s="40" t="s">
        <v>603</v>
      </c>
      <c r="H43" s="40" t="s">
        <v>604</v>
      </c>
      <c r="I43" s="41" t="s">
        <v>605</v>
      </c>
      <c r="J43" s="41" t="s">
        <v>117</v>
      </c>
      <c r="K43" s="41" t="s">
        <v>646</v>
      </c>
      <c r="L43" s="41" t="s">
        <v>104</v>
      </c>
      <c r="M43" s="40" t="s">
        <v>656</v>
      </c>
      <c r="P43" s="40" t="s">
        <v>604</v>
      </c>
      <c r="Q43" s="41" t="s">
        <v>607</v>
      </c>
      <c r="R43" s="41" t="s">
        <v>117</v>
      </c>
      <c r="S43" s="41" t="s">
        <v>647</v>
      </c>
      <c r="T43" s="64">
        <v>45920</v>
      </c>
      <c r="V43" s="41" t="s">
        <v>2203</v>
      </c>
      <c r="W43" s="41" t="s">
        <v>2204</v>
      </c>
      <c r="Y43" s="42"/>
      <c r="Z43" s="41" t="s">
        <v>170</v>
      </c>
      <c r="AA43" s="41" t="s">
        <v>1038</v>
      </c>
      <c r="AB43" s="41" t="s">
        <v>1910</v>
      </c>
      <c r="AC43" s="41" t="s">
        <v>2175</v>
      </c>
    </row>
    <row r="44" spans="6:29" ht="29" hidden="1" x14ac:dyDescent="0.35">
      <c r="F44" s="40" t="s">
        <v>1475</v>
      </c>
      <c r="G44" s="40" t="s">
        <v>603</v>
      </c>
      <c r="H44" s="40" t="s">
        <v>604</v>
      </c>
      <c r="I44" s="41" t="s">
        <v>605</v>
      </c>
      <c r="J44" s="41" t="s">
        <v>117</v>
      </c>
      <c r="K44" s="41" t="s">
        <v>646</v>
      </c>
      <c r="L44" s="41" t="s">
        <v>104</v>
      </c>
      <c r="M44" s="40" t="s">
        <v>628</v>
      </c>
      <c r="P44" s="40" t="s">
        <v>604</v>
      </c>
      <c r="Q44" s="41" t="s">
        <v>607</v>
      </c>
      <c r="R44" s="41" t="s">
        <v>117</v>
      </c>
      <c r="S44" s="41" t="s">
        <v>647</v>
      </c>
      <c r="T44" s="64">
        <v>45920</v>
      </c>
      <c r="V44" s="41" t="s">
        <v>2203</v>
      </c>
      <c r="W44" s="41" t="s">
        <v>2204</v>
      </c>
      <c r="Y44" s="42"/>
      <c r="Z44" s="41" t="s">
        <v>170</v>
      </c>
      <c r="AA44" s="41" t="s">
        <v>1039</v>
      </c>
      <c r="AB44" s="41" t="s">
        <v>1911</v>
      </c>
      <c r="AC44" s="41" t="s">
        <v>2175</v>
      </c>
    </row>
    <row r="45" spans="6:29" ht="29" hidden="1" x14ac:dyDescent="0.35">
      <c r="F45" s="40" t="s">
        <v>1476</v>
      </c>
      <c r="G45" s="40" t="s">
        <v>603</v>
      </c>
      <c r="H45" s="40" t="s">
        <v>604</v>
      </c>
      <c r="I45" s="41" t="s">
        <v>605</v>
      </c>
      <c r="J45" s="41" t="s">
        <v>117</v>
      </c>
      <c r="K45" s="41" t="s">
        <v>660</v>
      </c>
      <c r="L45" s="41" t="s">
        <v>104</v>
      </c>
      <c r="M45" s="40" t="s">
        <v>658</v>
      </c>
      <c r="P45" s="40" t="s">
        <v>604</v>
      </c>
      <c r="Q45" s="41" t="s">
        <v>607</v>
      </c>
      <c r="R45" s="41" t="s">
        <v>117</v>
      </c>
      <c r="S45" s="41" t="s">
        <v>661</v>
      </c>
      <c r="T45" s="64">
        <v>45920</v>
      </c>
      <c r="V45" s="41" t="s">
        <v>2203</v>
      </c>
      <c r="W45" s="41" t="s">
        <v>2204</v>
      </c>
      <c r="Y45" s="42"/>
      <c r="Z45" s="41" t="s">
        <v>170</v>
      </c>
      <c r="AA45" s="41" t="s">
        <v>1040</v>
      </c>
      <c r="AB45" s="41" t="s">
        <v>1912</v>
      </c>
      <c r="AC45" s="41" t="s">
        <v>2175</v>
      </c>
    </row>
    <row r="46" spans="6:29" ht="29" hidden="1" x14ac:dyDescent="0.35">
      <c r="F46" s="40" t="s">
        <v>1477</v>
      </c>
      <c r="G46" s="40" t="s">
        <v>603</v>
      </c>
      <c r="H46" s="40" t="s">
        <v>604</v>
      </c>
      <c r="I46" s="41" t="s">
        <v>605</v>
      </c>
      <c r="J46" s="41" t="s">
        <v>117</v>
      </c>
      <c r="K46" s="41" t="s">
        <v>660</v>
      </c>
      <c r="L46" s="41" t="s">
        <v>104</v>
      </c>
      <c r="M46" s="40" t="s">
        <v>662</v>
      </c>
      <c r="P46" s="40" t="s">
        <v>604</v>
      </c>
      <c r="Q46" s="41" t="s">
        <v>607</v>
      </c>
      <c r="R46" s="41" t="s">
        <v>117</v>
      </c>
      <c r="S46" s="41" t="s">
        <v>661</v>
      </c>
      <c r="T46" s="64">
        <v>45920</v>
      </c>
      <c r="V46" s="41" t="s">
        <v>2203</v>
      </c>
      <c r="W46" s="41" t="s">
        <v>2204</v>
      </c>
      <c r="Y46" s="42"/>
      <c r="Z46" s="41" t="s">
        <v>170</v>
      </c>
      <c r="AA46" s="41" t="s">
        <v>1041</v>
      </c>
      <c r="AB46" s="41" t="s">
        <v>1913</v>
      </c>
      <c r="AC46" s="41" t="s">
        <v>2175</v>
      </c>
    </row>
    <row r="47" spans="6:29" ht="29" hidden="1" x14ac:dyDescent="0.35">
      <c r="F47" s="40" t="s">
        <v>1478</v>
      </c>
      <c r="G47" s="40" t="s">
        <v>603</v>
      </c>
      <c r="H47" s="40" t="s">
        <v>604</v>
      </c>
      <c r="I47" s="41" t="s">
        <v>605</v>
      </c>
      <c r="J47" s="41" t="s">
        <v>117</v>
      </c>
      <c r="K47" s="41" t="s">
        <v>660</v>
      </c>
      <c r="L47" s="41" t="s">
        <v>104</v>
      </c>
      <c r="M47" s="40" t="s">
        <v>616</v>
      </c>
      <c r="P47" s="40" t="s">
        <v>604</v>
      </c>
      <c r="Q47" s="41" t="s">
        <v>607</v>
      </c>
      <c r="R47" s="41" t="s">
        <v>117</v>
      </c>
      <c r="S47" s="41" t="s">
        <v>661</v>
      </c>
      <c r="T47" s="64">
        <v>45920</v>
      </c>
      <c r="V47" s="41" t="s">
        <v>2203</v>
      </c>
      <c r="W47" s="41" t="s">
        <v>2204</v>
      </c>
      <c r="Y47" s="42"/>
      <c r="Z47" s="41" t="s">
        <v>170</v>
      </c>
      <c r="AA47" s="41" t="s">
        <v>1042</v>
      </c>
      <c r="AB47" s="41" t="s">
        <v>1914</v>
      </c>
      <c r="AC47" s="41" t="s">
        <v>2175</v>
      </c>
    </row>
    <row r="48" spans="6:29" ht="29" hidden="1" x14ac:dyDescent="0.35">
      <c r="F48" s="40" t="s">
        <v>1479</v>
      </c>
      <c r="G48" s="40" t="s">
        <v>603</v>
      </c>
      <c r="H48" s="40" t="s">
        <v>604</v>
      </c>
      <c r="I48" s="41" t="s">
        <v>605</v>
      </c>
      <c r="J48" s="41" t="s">
        <v>117</v>
      </c>
      <c r="K48" s="41" t="s">
        <v>660</v>
      </c>
      <c r="L48" s="41" t="s">
        <v>104</v>
      </c>
      <c r="M48" s="40" t="s">
        <v>664</v>
      </c>
      <c r="P48" s="40" t="s">
        <v>604</v>
      </c>
      <c r="Q48" s="41" t="s">
        <v>607</v>
      </c>
      <c r="R48" s="41" t="s">
        <v>117</v>
      </c>
      <c r="S48" s="41" t="s">
        <v>661</v>
      </c>
      <c r="T48" s="64">
        <v>45920</v>
      </c>
      <c r="V48" s="41" t="s">
        <v>2203</v>
      </c>
      <c r="W48" s="41" t="s">
        <v>2204</v>
      </c>
      <c r="Y48" s="42"/>
      <c r="Z48" s="41" t="s">
        <v>170</v>
      </c>
      <c r="AA48" s="41" t="s">
        <v>1043</v>
      </c>
      <c r="AB48" s="41" t="s">
        <v>1915</v>
      </c>
      <c r="AC48" s="41" t="s">
        <v>2175</v>
      </c>
    </row>
    <row r="49" spans="6:29" ht="29" hidden="1" x14ac:dyDescent="0.35">
      <c r="F49" s="40" t="s">
        <v>1480</v>
      </c>
      <c r="G49" s="40" t="s">
        <v>603</v>
      </c>
      <c r="H49" s="40" t="s">
        <v>604</v>
      </c>
      <c r="I49" s="41" t="s">
        <v>605</v>
      </c>
      <c r="J49" s="41" t="s">
        <v>117</v>
      </c>
      <c r="K49" s="41" t="s">
        <v>660</v>
      </c>
      <c r="L49" s="41" t="s">
        <v>104</v>
      </c>
      <c r="M49" s="40" t="s">
        <v>666</v>
      </c>
      <c r="P49" s="40" t="s">
        <v>604</v>
      </c>
      <c r="Q49" s="41" t="s">
        <v>607</v>
      </c>
      <c r="R49" s="41" t="s">
        <v>117</v>
      </c>
      <c r="S49" s="41" t="s">
        <v>661</v>
      </c>
      <c r="T49" s="64">
        <v>45920</v>
      </c>
      <c r="V49" s="41" t="s">
        <v>2203</v>
      </c>
      <c r="W49" s="41" t="s">
        <v>2204</v>
      </c>
      <c r="Y49" s="42"/>
      <c r="Z49" s="41" t="s">
        <v>170</v>
      </c>
      <c r="AA49" s="41" t="s">
        <v>1044</v>
      </c>
      <c r="AB49" s="41" t="s">
        <v>1916</v>
      </c>
      <c r="AC49" s="41" t="s">
        <v>2175</v>
      </c>
    </row>
    <row r="50" spans="6:29" ht="29" hidden="1" x14ac:dyDescent="0.35">
      <c r="F50" s="40" t="s">
        <v>1481</v>
      </c>
      <c r="G50" s="40" t="s">
        <v>603</v>
      </c>
      <c r="H50" s="40" t="s">
        <v>604</v>
      </c>
      <c r="I50" s="41" t="s">
        <v>605</v>
      </c>
      <c r="J50" s="41" t="s">
        <v>117</v>
      </c>
      <c r="K50" s="41" t="s">
        <v>660</v>
      </c>
      <c r="L50" s="41" t="s">
        <v>104</v>
      </c>
      <c r="M50" s="40" t="s">
        <v>667</v>
      </c>
      <c r="P50" s="40" t="s">
        <v>604</v>
      </c>
      <c r="Q50" s="41" t="s">
        <v>607</v>
      </c>
      <c r="R50" s="41" t="s">
        <v>117</v>
      </c>
      <c r="S50" s="41" t="s">
        <v>661</v>
      </c>
      <c r="T50" s="64">
        <v>45920</v>
      </c>
      <c r="V50" s="41" t="s">
        <v>2203</v>
      </c>
      <c r="W50" s="41" t="s">
        <v>2204</v>
      </c>
      <c r="Y50" s="42"/>
      <c r="Z50" s="41" t="s">
        <v>170</v>
      </c>
      <c r="AA50" s="41" t="s">
        <v>1045</v>
      </c>
      <c r="AB50" s="41" t="s">
        <v>1917</v>
      </c>
      <c r="AC50" s="41" t="s">
        <v>2175</v>
      </c>
    </row>
    <row r="51" spans="6:29" ht="29" hidden="1" x14ac:dyDescent="0.35">
      <c r="F51" s="40" t="s">
        <v>1482</v>
      </c>
      <c r="G51" s="40" t="s">
        <v>603</v>
      </c>
      <c r="H51" s="40" t="s">
        <v>604</v>
      </c>
      <c r="I51" s="41" t="s">
        <v>605</v>
      </c>
      <c r="J51" s="41" t="s">
        <v>117</v>
      </c>
      <c r="K51" s="41" t="s">
        <v>660</v>
      </c>
      <c r="L51" s="41" t="s">
        <v>104</v>
      </c>
      <c r="M51" s="40" t="s">
        <v>654</v>
      </c>
      <c r="P51" s="40" t="s">
        <v>604</v>
      </c>
      <c r="Q51" s="41" t="s">
        <v>607</v>
      </c>
      <c r="R51" s="41" t="s">
        <v>117</v>
      </c>
      <c r="S51" s="41" t="s">
        <v>661</v>
      </c>
      <c r="T51" s="64">
        <v>45920</v>
      </c>
      <c r="V51" s="41" t="s">
        <v>2203</v>
      </c>
      <c r="W51" s="41" t="s">
        <v>2204</v>
      </c>
      <c r="Y51" s="42"/>
      <c r="Z51" s="41" t="s">
        <v>170</v>
      </c>
      <c r="AA51" s="41" t="s">
        <v>1046</v>
      </c>
      <c r="AB51" s="41" t="s">
        <v>1918</v>
      </c>
      <c r="AC51" s="41" t="s">
        <v>2175</v>
      </c>
    </row>
    <row r="52" spans="6:29" ht="29" hidden="1" x14ac:dyDescent="0.35">
      <c r="F52" s="40" t="s">
        <v>1483</v>
      </c>
      <c r="G52" s="40" t="s">
        <v>603</v>
      </c>
      <c r="H52" s="40" t="s">
        <v>604</v>
      </c>
      <c r="I52" s="41" t="s">
        <v>605</v>
      </c>
      <c r="J52" s="41" t="s">
        <v>117</v>
      </c>
      <c r="K52" s="41" t="s">
        <v>668</v>
      </c>
      <c r="L52" s="41" t="s">
        <v>104</v>
      </c>
      <c r="M52" s="40" t="s">
        <v>628</v>
      </c>
      <c r="P52" s="40" t="s">
        <v>604</v>
      </c>
      <c r="Q52" s="41" t="s">
        <v>607</v>
      </c>
      <c r="R52" s="41" t="s">
        <v>117</v>
      </c>
      <c r="S52" s="41" t="s">
        <v>669</v>
      </c>
      <c r="T52" s="64">
        <v>45920</v>
      </c>
      <c r="V52" s="41" t="s">
        <v>2203</v>
      </c>
      <c r="W52" s="41" t="s">
        <v>2204</v>
      </c>
      <c r="Y52" s="42"/>
      <c r="Z52" s="41" t="s">
        <v>170</v>
      </c>
      <c r="AA52" s="41" t="s">
        <v>1047</v>
      </c>
      <c r="AB52" s="41" t="s">
        <v>1919</v>
      </c>
      <c r="AC52" s="41" t="s">
        <v>2175</v>
      </c>
    </row>
    <row r="53" spans="6:29" ht="29" hidden="1" x14ac:dyDescent="0.35">
      <c r="F53" s="40" t="s">
        <v>1484</v>
      </c>
      <c r="G53" s="40" t="s">
        <v>603</v>
      </c>
      <c r="H53" s="40" t="s">
        <v>604</v>
      </c>
      <c r="I53" s="41" t="s">
        <v>605</v>
      </c>
      <c r="J53" s="41" t="s">
        <v>117</v>
      </c>
      <c r="K53" s="41" t="s">
        <v>668</v>
      </c>
      <c r="L53" s="41" t="s">
        <v>104</v>
      </c>
      <c r="M53" s="40" t="s">
        <v>658</v>
      </c>
      <c r="P53" s="40" t="s">
        <v>604</v>
      </c>
      <c r="Q53" s="41" t="s">
        <v>607</v>
      </c>
      <c r="R53" s="41" t="s">
        <v>117</v>
      </c>
      <c r="S53" s="41" t="s">
        <v>669</v>
      </c>
      <c r="T53" s="64">
        <v>45920</v>
      </c>
      <c r="V53" s="41" t="s">
        <v>2203</v>
      </c>
      <c r="W53" s="41" t="s">
        <v>2204</v>
      </c>
      <c r="Y53" s="42"/>
      <c r="Z53" s="41" t="s">
        <v>170</v>
      </c>
      <c r="AA53" s="41" t="s">
        <v>1048</v>
      </c>
      <c r="AB53" s="41" t="s">
        <v>1920</v>
      </c>
      <c r="AC53" s="41" t="s">
        <v>2175</v>
      </c>
    </row>
    <row r="54" spans="6:29" ht="29" hidden="1" x14ac:dyDescent="0.35">
      <c r="F54" s="40" t="s">
        <v>1485</v>
      </c>
      <c r="G54" s="40" t="s">
        <v>603</v>
      </c>
      <c r="H54" s="40" t="s">
        <v>604</v>
      </c>
      <c r="I54" s="41" t="s">
        <v>605</v>
      </c>
      <c r="J54" s="41" t="s">
        <v>117</v>
      </c>
      <c r="K54" s="41" t="s">
        <v>668</v>
      </c>
      <c r="L54" s="41" t="s">
        <v>104</v>
      </c>
      <c r="M54" s="40" t="s">
        <v>616</v>
      </c>
      <c r="P54" s="40" t="s">
        <v>604</v>
      </c>
      <c r="Q54" s="41" t="s">
        <v>607</v>
      </c>
      <c r="R54" s="41" t="s">
        <v>117</v>
      </c>
      <c r="S54" s="41" t="s">
        <v>669</v>
      </c>
      <c r="T54" s="64">
        <v>45920</v>
      </c>
      <c r="V54" s="41" t="s">
        <v>2203</v>
      </c>
      <c r="W54" s="41" t="s">
        <v>2204</v>
      </c>
      <c r="Y54" s="42"/>
      <c r="Z54" s="41" t="s">
        <v>170</v>
      </c>
      <c r="AA54" s="41" t="s">
        <v>1049</v>
      </c>
      <c r="AB54" s="41" t="s">
        <v>1921</v>
      </c>
      <c r="AC54" s="41" t="s">
        <v>2175</v>
      </c>
    </row>
    <row r="55" spans="6:29" ht="29" hidden="1" x14ac:dyDescent="0.35">
      <c r="F55" s="40" t="s">
        <v>1486</v>
      </c>
      <c r="G55" s="40" t="s">
        <v>603</v>
      </c>
      <c r="H55" s="40" t="s">
        <v>604</v>
      </c>
      <c r="I55" s="41" t="s">
        <v>605</v>
      </c>
      <c r="J55" s="41" t="s">
        <v>117</v>
      </c>
      <c r="K55" s="41" t="s">
        <v>668</v>
      </c>
      <c r="L55" s="41" t="s">
        <v>104</v>
      </c>
      <c r="M55" s="40" t="s">
        <v>670</v>
      </c>
      <c r="P55" s="40" t="s">
        <v>604</v>
      </c>
      <c r="Q55" s="41" t="s">
        <v>607</v>
      </c>
      <c r="R55" s="41" t="s">
        <v>117</v>
      </c>
      <c r="S55" s="41" t="s">
        <v>669</v>
      </c>
      <c r="T55" s="64">
        <v>45920</v>
      </c>
      <c r="V55" s="41" t="s">
        <v>2203</v>
      </c>
      <c r="W55" s="41" t="s">
        <v>2204</v>
      </c>
      <c r="Y55" s="42"/>
      <c r="Z55" s="41" t="s">
        <v>170</v>
      </c>
      <c r="AA55" s="41" t="s">
        <v>1050</v>
      </c>
      <c r="AB55" s="41" t="s">
        <v>1922</v>
      </c>
      <c r="AC55" s="41" t="s">
        <v>2175</v>
      </c>
    </row>
    <row r="56" spans="6:29" ht="29" hidden="1" x14ac:dyDescent="0.35">
      <c r="F56" s="40" t="s">
        <v>1487</v>
      </c>
      <c r="G56" s="40" t="s">
        <v>603</v>
      </c>
      <c r="H56" s="40" t="s">
        <v>604</v>
      </c>
      <c r="I56" s="41" t="s">
        <v>605</v>
      </c>
      <c r="J56" s="41" t="s">
        <v>117</v>
      </c>
      <c r="K56" s="41" t="s">
        <v>668</v>
      </c>
      <c r="L56" s="41" t="s">
        <v>104</v>
      </c>
      <c r="M56" s="40" t="s">
        <v>671</v>
      </c>
      <c r="P56" s="40" t="s">
        <v>604</v>
      </c>
      <c r="Q56" s="41" t="s">
        <v>607</v>
      </c>
      <c r="R56" s="41" t="s">
        <v>117</v>
      </c>
      <c r="S56" s="41" t="s">
        <v>669</v>
      </c>
      <c r="T56" s="64">
        <v>45920</v>
      </c>
      <c r="V56" s="41" t="s">
        <v>2203</v>
      </c>
      <c r="W56" s="41" t="s">
        <v>2204</v>
      </c>
      <c r="Y56" s="42"/>
      <c r="Z56" s="41" t="s">
        <v>170</v>
      </c>
      <c r="AA56" s="41" t="s">
        <v>1051</v>
      </c>
      <c r="AB56" s="41" t="s">
        <v>1923</v>
      </c>
      <c r="AC56" s="41" t="s">
        <v>2175</v>
      </c>
    </row>
    <row r="57" spans="6:29" ht="29" hidden="1" x14ac:dyDescent="0.35">
      <c r="F57" s="40" t="s">
        <v>1488</v>
      </c>
      <c r="G57" s="40" t="s">
        <v>603</v>
      </c>
      <c r="H57" s="40" t="s">
        <v>604</v>
      </c>
      <c r="I57" s="41" t="s">
        <v>605</v>
      </c>
      <c r="J57" s="41" t="s">
        <v>117</v>
      </c>
      <c r="K57" s="41" t="s">
        <v>668</v>
      </c>
      <c r="L57" s="41" t="s">
        <v>104</v>
      </c>
      <c r="M57" s="40" t="s">
        <v>655</v>
      </c>
      <c r="P57" s="40" t="s">
        <v>604</v>
      </c>
      <c r="Q57" s="41" t="s">
        <v>607</v>
      </c>
      <c r="R57" s="41" t="s">
        <v>117</v>
      </c>
      <c r="S57" s="41" t="s">
        <v>669</v>
      </c>
      <c r="T57" s="64">
        <v>45920</v>
      </c>
      <c r="V57" s="41" t="s">
        <v>2203</v>
      </c>
      <c r="W57" s="41" t="s">
        <v>2204</v>
      </c>
      <c r="Y57" s="42"/>
      <c r="Z57" s="41" t="s">
        <v>170</v>
      </c>
      <c r="AA57" s="41" t="s">
        <v>1052</v>
      </c>
      <c r="AB57" s="41" t="s">
        <v>1924</v>
      </c>
      <c r="AC57" s="41" t="s">
        <v>2175</v>
      </c>
    </row>
    <row r="58" spans="6:29" ht="29" hidden="1" x14ac:dyDescent="0.35">
      <c r="F58" s="40" t="s">
        <v>1489</v>
      </c>
      <c r="G58" s="40" t="s">
        <v>603</v>
      </c>
      <c r="H58" s="40" t="s">
        <v>604</v>
      </c>
      <c r="I58" s="41" t="s">
        <v>605</v>
      </c>
      <c r="J58" s="41" t="s">
        <v>117</v>
      </c>
      <c r="K58" s="41" t="s">
        <v>668</v>
      </c>
      <c r="L58" s="41" t="s">
        <v>104</v>
      </c>
      <c r="M58" s="40" t="s">
        <v>624</v>
      </c>
      <c r="P58" s="40" t="s">
        <v>2213</v>
      </c>
      <c r="Q58" s="41">
        <v>3</v>
      </c>
      <c r="R58" s="41" t="s">
        <v>117</v>
      </c>
      <c r="S58" s="41">
        <v>310</v>
      </c>
      <c r="T58" s="64">
        <v>45920</v>
      </c>
      <c r="V58" s="41" t="s">
        <v>2203</v>
      </c>
      <c r="W58" s="41" t="s">
        <v>2204</v>
      </c>
      <c r="Y58" s="42"/>
      <c r="Z58" s="41" t="s">
        <v>170</v>
      </c>
      <c r="AA58" s="41" t="s">
        <v>1053</v>
      </c>
      <c r="AB58" s="41" t="s">
        <v>1925</v>
      </c>
      <c r="AC58" s="41" t="s">
        <v>2175</v>
      </c>
    </row>
    <row r="59" spans="6:29" ht="29" hidden="1" x14ac:dyDescent="0.35">
      <c r="F59" s="40" t="s">
        <v>1490</v>
      </c>
      <c r="G59" s="40" t="s">
        <v>603</v>
      </c>
      <c r="H59" s="40" t="s">
        <v>604</v>
      </c>
      <c r="I59" s="41" t="s">
        <v>605</v>
      </c>
      <c r="J59" s="41" t="s">
        <v>117</v>
      </c>
      <c r="K59" s="41" t="s">
        <v>668</v>
      </c>
      <c r="L59" s="41" t="s">
        <v>104</v>
      </c>
      <c r="M59" s="40" t="s">
        <v>621</v>
      </c>
      <c r="P59" s="40" t="s">
        <v>2213</v>
      </c>
      <c r="Q59" s="41">
        <v>3</v>
      </c>
      <c r="R59" s="41" t="s">
        <v>117</v>
      </c>
      <c r="S59" s="41">
        <v>310</v>
      </c>
      <c r="T59" s="64">
        <v>45920</v>
      </c>
      <c r="V59" s="41" t="s">
        <v>2203</v>
      </c>
      <c r="W59" s="41" t="s">
        <v>2204</v>
      </c>
      <c r="Y59" s="42"/>
      <c r="Z59" s="41" t="s">
        <v>170</v>
      </c>
      <c r="AA59" s="41" t="s">
        <v>1054</v>
      </c>
      <c r="AB59" s="41" t="s">
        <v>1926</v>
      </c>
      <c r="AC59" s="41" t="s">
        <v>2175</v>
      </c>
    </row>
    <row r="60" spans="6:29" ht="29" hidden="1" x14ac:dyDescent="0.35">
      <c r="F60" s="40" t="s">
        <v>1491</v>
      </c>
      <c r="G60" s="40" t="s">
        <v>603</v>
      </c>
      <c r="H60" s="40" t="s">
        <v>604</v>
      </c>
      <c r="I60" s="41" t="s">
        <v>605</v>
      </c>
      <c r="J60" s="41" t="s">
        <v>117</v>
      </c>
      <c r="K60" s="41" t="s">
        <v>668</v>
      </c>
      <c r="L60" s="41" t="s">
        <v>104</v>
      </c>
      <c r="M60" s="40" t="s">
        <v>672</v>
      </c>
      <c r="P60" s="40" t="s">
        <v>604</v>
      </c>
      <c r="Q60" s="41" t="s">
        <v>607</v>
      </c>
      <c r="R60" s="41" t="s">
        <v>117</v>
      </c>
      <c r="S60" s="41" t="s">
        <v>669</v>
      </c>
      <c r="T60" s="64">
        <v>45920</v>
      </c>
      <c r="V60" s="41" t="s">
        <v>2203</v>
      </c>
      <c r="W60" s="41" t="s">
        <v>2204</v>
      </c>
      <c r="Y60" s="42"/>
      <c r="Z60" s="41" t="s">
        <v>170</v>
      </c>
      <c r="AA60" s="41" t="s">
        <v>1055</v>
      </c>
      <c r="AB60" s="41" t="s">
        <v>1927</v>
      </c>
      <c r="AC60" s="41" t="s">
        <v>2175</v>
      </c>
    </row>
    <row r="61" spans="6:29" ht="29" hidden="1" x14ac:dyDescent="0.35">
      <c r="F61" s="40" t="s">
        <v>1492</v>
      </c>
      <c r="G61" s="40" t="s">
        <v>603</v>
      </c>
      <c r="H61" s="40" t="s">
        <v>604</v>
      </c>
      <c r="I61" s="41" t="s">
        <v>605</v>
      </c>
      <c r="J61" s="41" t="s">
        <v>117</v>
      </c>
      <c r="K61" s="41" t="s">
        <v>668</v>
      </c>
      <c r="L61" s="41" t="s">
        <v>104</v>
      </c>
      <c r="M61" s="40" t="s">
        <v>630</v>
      </c>
      <c r="P61" s="40" t="s">
        <v>604</v>
      </c>
      <c r="Q61" s="41" t="s">
        <v>607</v>
      </c>
      <c r="R61" s="41" t="s">
        <v>117</v>
      </c>
      <c r="S61" s="41" t="s">
        <v>669</v>
      </c>
      <c r="T61" s="64">
        <v>45920</v>
      </c>
      <c r="V61" s="41" t="s">
        <v>2203</v>
      </c>
      <c r="W61" s="41" t="s">
        <v>2204</v>
      </c>
      <c r="Y61" s="42"/>
      <c r="Z61" s="41" t="s">
        <v>170</v>
      </c>
      <c r="AA61" s="41" t="s">
        <v>1056</v>
      </c>
      <c r="AB61" s="41" t="s">
        <v>1928</v>
      </c>
      <c r="AC61" s="41" t="s">
        <v>2175</v>
      </c>
    </row>
    <row r="62" spans="6:29" ht="29" hidden="1" x14ac:dyDescent="0.35">
      <c r="F62" s="40" t="s">
        <v>1493</v>
      </c>
      <c r="G62" s="40" t="s">
        <v>603</v>
      </c>
      <c r="H62" s="40" t="s">
        <v>604</v>
      </c>
      <c r="I62" s="41" t="s">
        <v>605</v>
      </c>
      <c r="J62" s="41" t="s">
        <v>117</v>
      </c>
      <c r="K62" s="41" t="s">
        <v>668</v>
      </c>
      <c r="L62" s="41" t="s">
        <v>104</v>
      </c>
      <c r="M62" s="40" t="s">
        <v>674</v>
      </c>
      <c r="P62" s="40" t="s">
        <v>604</v>
      </c>
      <c r="Q62" s="41" t="s">
        <v>607</v>
      </c>
      <c r="R62" s="41" t="s">
        <v>117</v>
      </c>
      <c r="S62" s="41" t="s">
        <v>669</v>
      </c>
      <c r="T62" s="64">
        <v>45920</v>
      </c>
      <c r="V62" s="41" t="s">
        <v>2203</v>
      </c>
      <c r="W62" s="41" t="s">
        <v>2204</v>
      </c>
      <c r="Y62" s="42"/>
      <c r="Z62" s="41" t="s">
        <v>170</v>
      </c>
      <c r="AA62" s="41" t="s">
        <v>1057</v>
      </c>
      <c r="AB62" s="41" t="s">
        <v>1929</v>
      </c>
      <c r="AC62" s="41" t="s">
        <v>2175</v>
      </c>
    </row>
    <row r="63" spans="6:29" ht="29" hidden="1" x14ac:dyDescent="0.35">
      <c r="F63" s="40" t="s">
        <v>1494</v>
      </c>
      <c r="G63" s="40" t="s">
        <v>603</v>
      </c>
      <c r="H63" s="40" t="s">
        <v>604</v>
      </c>
      <c r="I63" s="41" t="s">
        <v>605</v>
      </c>
      <c r="J63" s="41" t="s">
        <v>117</v>
      </c>
      <c r="K63" s="41" t="s">
        <v>668</v>
      </c>
      <c r="L63" s="41" t="s">
        <v>104</v>
      </c>
      <c r="M63" s="40" t="s">
        <v>662</v>
      </c>
      <c r="P63" s="40" t="s">
        <v>604</v>
      </c>
      <c r="Q63" s="41" t="s">
        <v>607</v>
      </c>
      <c r="R63" s="41" t="s">
        <v>117</v>
      </c>
      <c r="S63" s="41" t="s">
        <v>669</v>
      </c>
      <c r="T63" s="64">
        <v>45920</v>
      </c>
      <c r="V63" s="41" t="s">
        <v>2203</v>
      </c>
      <c r="W63" s="41" t="s">
        <v>2204</v>
      </c>
      <c r="Y63" s="42"/>
      <c r="Z63" s="41" t="s">
        <v>170</v>
      </c>
      <c r="AA63" s="41" t="s">
        <v>1058</v>
      </c>
      <c r="AB63" s="41" t="s">
        <v>1930</v>
      </c>
      <c r="AC63" s="41" t="s">
        <v>2175</v>
      </c>
    </row>
    <row r="64" spans="6:29" ht="29" hidden="1" x14ac:dyDescent="0.35">
      <c r="F64" s="40" t="s">
        <v>1495</v>
      </c>
      <c r="G64" s="40" t="s">
        <v>603</v>
      </c>
      <c r="H64" s="40" t="s">
        <v>604</v>
      </c>
      <c r="I64" s="41" t="s">
        <v>605</v>
      </c>
      <c r="J64" s="41" t="s">
        <v>117</v>
      </c>
      <c r="K64" s="41" t="s">
        <v>668</v>
      </c>
      <c r="L64" s="41" t="s">
        <v>104</v>
      </c>
      <c r="M64" s="40" t="s">
        <v>675</v>
      </c>
      <c r="P64" s="40" t="s">
        <v>604</v>
      </c>
      <c r="Q64" s="41" t="s">
        <v>607</v>
      </c>
      <c r="R64" s="41" t="s">
        <v>117</v>
      </c>
      <c r="S64" s="41" t="s">
        <v>669</v>
      </c>
      <c r="T64" s="64">
        <v>45920</v>
      </c>
      <c r="V64" s="41" t="s">
        <v>2203</v>
      </c>
      <c r="W64" s="41" t="s">
        <v>2204</v>
      </c>
      <c r="Y64" s="42"/>
      <c r="Z64" s="41" t="s">
        <v>170</v>
      </c>
      <c r="AA64" s="41" t="s">
        <v>1059</v>
      </c>
      <c r="AB64" s="41" t="s">
        <v>1931</v>
      </c>
      <c r="AC64" s="41" t="s">
        <v>2175</v>
      </c>
    </row>
    <row r="65" spans="6:29" hidden="1" x14ac:dyDescent="0.35">
      <c r="F65" s="40" t="s">
        <v>1496</v>
      </c>
      <c r="G65" s="40" t="s">
        <v>603</v>
      </c>
      <c r="H65" s="40" t="s">
        <v>604</v>
      </c>
      <c r="I65" s="41" t="s">
        <v>605</v>
      </c>
      <c r="J65" s="41" t="s">
        <v>117</v>
      </c>
      <c r="K65" s="41" t="s">
        <v>676</v>
      </c>
      <c r="L65" s="41" t="s">
        <v>104</v>
      </c>
      <c r="M65" s="40" t="s">
        <v>662</v>
      </c>
      <c r="P65" s="40" t="s">
        <v>604</v>
      </c>
      <c r="Q65" s="41" t="s">
        <v>607</v>
      </c>
      <c r="R65" s="41" t="s">
        <v>117</v>
      </c>
      <c r="S65" s="41" t="s">
        <v>677</v>
      </c>
      <c r="T65" s="64">
        <v>45920</v>
      </c>
      <c r="V65" s="41" t="s">
        <v>2203</v>
      </c>
      <c r="W65" s="41" t="s">
        <v>2204</v>
      </c>
      <c r="Y65" s="42"/>
      <c r="Z65" s="41" t="s">
        <v>170</v>
      </c>
      <c r="AA65" s="41" t="s">
        <v>1060</v>
      </c>
      <c r="AB65" s="41" t="s">
        <v>1932</v>
      </c>
      <c r="AC65" s="41" t="s">
        <v>2175</v>
      </c>
    </row>
    <row r="66" spans="6:29" hidden="1" x14ac:dyDescent="0.35">
      <c r="F66" s="40" t="s">
        <v>1497</v>
      </c>
      <c r="G66" s="40" t="s">
        <v>603</v>
      </c>
      <c r="H66" s="40" t="s">
        <v>604</v>
      </c>
      <c r="I66" s="41" t="s">
        <v>605</v>
      </c>
      <c r="J66" s="41" t="s">
        <v>117</v>
      </c>
      <c r="K66" s="41" t="s">
        <v>676</v>
      </c>
      <c r="L66" s="41" t="s">
        <v>104</v>
      </c>
      <c r="M66" s="40" t="s">
        <v>658</v>
      </c>
      <c r="P66" s="40" t="s">
        <v>604</v>
      </c>
      <c r="Q66" s="41" t="s">
        <v>607</v>
      </c>
      <c r="R66" s="41" t="s">
        <v>117</v>
      </c>
      <c r="S66" s="41" t="s">
        <v>677</v>
      </c>
      <c r="T66" s="64">
        <v>45920</v>
      </c>
      <c r="V66" s="41" t="s">
        <v>2203</v>
      </c>
      <c r="W66" s="41" t="s">
        <v>2204</v>
      </c>
      <c r="Y66" s="42"/>
      <c r="Z66" s="41" t="s">
        <v>170</v>
      </c>
      <c r="AA66" s="41" t="s">
        <v>1061</v>
      </c>
      <c r="AB66" s="41" t="s">
        <v>1933</v>
      </c>
      <c r="AC66" s="41" t="s">
        <v>2175</v>
      </c>
    </row>
    <row r="67" spans="6:29" hidden="1" x14ac:dyDescent="0.35">
      <c r="F67" s="40" t="s">
        <v>1498</v>
      </c>
      <c r="G67" s="40" t="s">
        <v>603</v>
      </c>
      <c r="H67" s="40" t="s">
        <v>604</v>
      </c>
      <c r="I67" s="41" t="s">
        <v>605</v>
      </c>
      <c r="J67" s="41" t="s">
        <v>117</v>
      </c>
      <c r="K67" s="41" t="s">
        <v>676</v>
      </c>
      <c r="L67" s="41" t="s">
        <v>104</v>
      </c>
      <c r="M67" s="40" t="s">
        <v>616</v>
      </c>
      <c r="P67" s="40" t="s">
        <v>604</v>
      </c>
      <c r="Q67" s="41" t="s">
        <v>607</v>
      </c>
      <c r="R67" s="41" t="s">
        <v>117</v>
      </c>
      <c r="S67" s="41" t="s">
        <v>677</v>
      </c>
      <c r="T67" s="64">
        <v>45920</v>
      </c>
      <c r="V67" s="41" t="s">
        <v>2203</v>
      </c>
      <c r="W67" s="41" t="s">
        <v>2204</v>
      </c>
      <c r="Y67" s="42"/>
      <c r="Z67" s="41" t="s">
        <v>170</v>
      </c>
      <c r="AA67" s="41" t="s">
        <v>1062</v>
      </c>
      <c r="AB67" s="41" t="s">
        <v>1934</v>
      </c>
      <c r="AC67" s="41" t="s">
        <v>2175</v>
      </c>
    </row>
    <row r="68" spans="6:29" x14ac:dyDescent="0.35">
      <c r="F68" s="40" t="s">
        <v>1499</v>
      </c>
      <c r="G68" s="40" t="s">
        <v>603</v>
      </c>
      <c r="H68" s="40" t="s">
        <v>604</v>
      </c>
      <c r="I68" s="41" t="s">
        <v>605</v>
      </c>
      <c r="J68" s="41" t="s">
        <v>102</v>
      </c>
      <c r="K68" s="41" t="s">
        <v>2212</v>
      </c>
      <c r="L68" s="41" t="s">
        <v>104</v>
      </c>
      <c r="M68" s="40" t="s">
        <v>608</v>
      </c>
      <c r="P68" s="40" t="s">
        <v>604</v>
      </c>
      <c r="Q68" s="41" t="s">
        <v>605</v>
      </c>
      <c r="R68" s="41" t="s">
        <v>102</v>
      </c>
      <c r="S68" s="41" t="s">
        <v>2212</v>
      </c>
      <c r="T68" s="64">
        <v>45920</v>
      </c>
      <c r="V68" s="41" t="s">
        <v>2203</v>
      </c>
      <c r="W68" s="41" t="s">
        <v>2204</v>
      </c>
      <c r="Y68" s="42"/>
      <c r="Z68" s="41" t="s">
        <v>170</v>
      </c>
      <c r="AA68" s="41" t="s">
        <v>1063</v>
      </c>
      <c r="AB68" s="41" t="s">
        <v>1935</v>
      </c>
      <c r="AC68" s="41" t="s">
        <v>2175</v>
      </c>
    </row>
    <row r="69" spans="6:29" hidden="1" x14ac:dyDescent="0.35">
      <c r="F69" s="40" t="s">
        <v>1500</v>
      </c>
      <c r="G69" s="40" t="s">
        <v>603</v>
      </c>
      <c r="H69" s="40" t="s">
        <v>604</v>
      </c>
      <c r="I69" s="41" t="s">
        <v>605</v>
      </c>
      <c r="J69" s="41" t="s">
        <v>117</v>
      </c>
      <c r="K69" s="41" t="s">
        <v>676</v>
      </c>
      <c r="L69" s="41" t="s">
        <v>104</v>
      </c>
      <c r="M69" s="40" t="s">
        <v>664</v>
      </c>
      <c r="P69" s="40" t="s">
        <v>604</v>
      </c>
      <c r="Q69" s="41" t="s">
        <v>607</v>
      </c>
      <c r="R69" s="41" t="s">
        <v>117</v>
      </c>
      <c r="S69" s="41" t="s">
        <v>677</v>
      </c>
      <c r="T69" s="64">
        <v>45920</v>
      </c>
      <c r="V69" s="41" t="s">
        <v>2203</v>
      </c>
      <c r="W69" s="41" t="s">
        <v>2204</v>
      </c>
      <c r="Y69" s="42"/>
      <c r="Z69" s="41" t="s">
        <v>170</v>
      </c>
      <c r="AA69" s="41" t="s">
        <v>1064</v>
      </c>
      <c r="AB69" s="41" t="s">
        <v>1936</v>
      </c>
      <c r="AC69" s="41" t="s">
        <v>2175</v>
      </c>
    </row>
    <row r="70" spans="6:29" hidden="1" x14ac:dyDescent="0.35">
      <c r="F70" s="40" t="s">
        <v>1501</v>
      </c>
      <c r="G70" s="40" t="s">
        <v>603</v>
      </c>
      <c r="H70" s="40" t="s">
        <v>604</v>
      </c>
      <c r="I70" s="41" t="s">
        <v>605</v>
      </c>
      <c r="J70" s="41" t="s">
        <v>117</v>
      </c>
      <c r="K70" s="41" t="s">
        <v>676</v>
      </c>
      <c r="L70" s="41" t="s">
        <v>104</v>
      </c>
      <c r="M70" s="40" t="s">
        <v>678</v>
      </c>
      <c r="P70" s="40" t="s">
        <v>604</v>
      </c>
      <c r="Q70" s="41" t="s">
        <v>607</v>
      </c>
      <c r="R70" s="41" t="s">
        <v>117</v>
      </c>
      <c r="S70" s="41" t="s">
        <v>677</v>
      </c>
      <c r="T70" s="64">
        <v>45920</v>
      </c>
      <c r="V70" s="41" t="s">
        <v>2203</v>
      </c>
      <c r="W70" s="41" t="s">
        <v>2204</v>
      </c>
      <c r="Y70" s="42"/>
      <c r="Z70" s="41" t="s">
        <v>170</v>
      </c>
      <c r="AA70" s="41" t="s">
        <v>1065</v>
      </c>
      <c r="AB70" s="41" t="s">
        <v>1937</v>
      </c>
      <c r="AC70" s="41" t="s">
        <v>2175</v>
      </c>
    </row>
    <row r="71" spans="6:29" hidden="1" x14ac:dyDescent="0.35">
      <c r="F71" s="40" t="s">
        <v>1502</v>
      </c>
      <c r="G71" s="40" t="s">
        <v>603</v>
      </c>
      <c r="H71" s="40" t="s">
        <v>604</v>
      </c>
      <c r="I71" s="41" t="s">
        <v>605</v>
      </c>
      <c r="J71" s="41" t="s">
        <v>117</v>
      </c>
      <c r="K71" s="41" t="s">
        <v>676</v>
      </c>
      <c r="L71" s="41" t="s">
        <v>104</v>
      </c>
      <c r="M71" s="40" t="s">
        <v>679</v>
      </c>
      <c r="P71" s="40" t="s">
        <v>604</v>
      </c>
      <c r="Q71" s="41" t="s">
        <v>607</v>
      </c>
      <c r="R71" s="41" t="s">
        <v>117</v>
      </c>
      <c r="S71" s="41" t="s">
        <v>677</v>
      </c>
      <c r="T71" s="64">
        <v>45920</v>
      </c>
      <c r="V71" s="41" t="s">
        <v>2203</v>
      </c>
      <c r="W71" s="41" t="s">
        <v>2204</v>
      </c>
      <c r="Y71" s="42"/>
      <c r="Z71" s="41" t="s">
        <v>170</v>
      </c>
      <c r="AA71" s="41" t="s">
        <v>1066</v>
      </c>
      <c r="AB71" s="41" t="s">
        <v>1938</v>
      </c>
      <c r="AC71" s="41" t="s">
        <v>2175</v>
      </c>
    </row>
    <row r="72" spans="6:29" hidden="1" x14ac:dyDescent="0.35">
      <c r="F72" s="40" t="s">
        <v>1503</v>
      </c>
      <c r="G72" s="40" t="s">
        <v>603</v>
      </c>
      <c r="H72" s="40" t="s">
        <v>604</v>
      </c>
      <c r="I72" s="41" t="s">
        <v>605</v>
      </c>
      <c r="J72" s="41" t="s">
        <v>117</v>
      </c>
      <c r="K72" s="41" t="s">
        <v>680</v>
      </c>
      <c r="L72" s="41" t="s">
        <v>104</v>
      </c>
      <c r="M72" s="40" t="s">
        <v>658</v>
      </c>
      <c r="P72" s="40" t="s">
        <v>604</v>
      </c>
      <c r="Q72" s="41" t="s">
        <v>607</v>
      </c>
      <c r="R72" s="41" t="s">
        <v>117</v>
      </c>
      <c r="S72" s="41" t="s">
        <v>681</v>
      </c>
      <c r="T72" s="64">
        <v>45920</v>
      </c>
      <c r="V72" s="41" t="s">
        <v>2203</v>
      </c>
      <c r="W72" s="41" t="s">
        <v>2204</v>
      </c>
      <c r="Y72" s="42"/>
      <c r="Z72" s="41" t="s">
        <v>170</v>
      </c>
      <c r="AA72" s="41" t="s">
        <v>1067</v>
      </c>
      <c r="AB72" s="41" t="s">
        <v>1939</v>
      </c>
      <c r="AC72" s="41" t="s">
        <v>2175</v>
      </c>
    </row>
    <row r="73" spans="6:29" hidden="1" x14ac:dyDescent="0.35">
      <c r="F73" s="40" t="s">
        <v>1504</v>
      </c>
      <c r="G73" s="40" t="s">
        <v>603</v>
      </c>
      <c r="H73" s="40" t="s">
        <v>604</v>
      </c>
      <c r="I73" s="41" t="s">
        <v>605</v>
      </c>
      <c r="J73" s="41" t="s">
        <v>117</v>
      </c>
      <c r="K73" s="41" t="s">
        <v>680</v>
      </c>
      <c r="L73" s="41" t="s">
        <v>104</v>
      </c>
      <c r="M73" s="40" t="s">
        <v>616</v>
      </c>
      <c r="P73" s="40" t="s">
        <v>604</v>
      </c>
      <c r="Q73" s="41" t="s">
        <v>607</v>
      </c>
      <c r="R73" s="41" t="s">
        <v>117</v>
      </c>
      <c r="S73" s="41" t="s">
        <v>681</v>
      </c>
      <c r="T73" s="64">
        <v>45920</v>
      </c>
      <c r="V73" s="41" t="s">
        <v>2203</v>
      </c>
      <c r="W73" s="41" t="s">
        <v>2204</v>
      </c>
      <c r="Y73" s="42"/>
      <c r="Z73" s="41" t="s">
        <v>170</v>
      </c>
      <c r="AA73" s="41" t="s">
        <v>1068</v>
      </c>
      <c r="AB73" s="41" t="s">
        <v>1940</v>
      </c>
      <c r="AC73" s="41" t="s">
        <v>2175</v>
      </c>
    </row>
    <row r="74" spans="6:29" x14ac:dyDescent="0.35">
      <c r="F74" s="40" t="s">
        <v>1505</v>
      </c>
      <c r="G74" s="40" t="s">
        <v>603</v>
      </c>
      <c r="H74" s="40" t="s">
        <v>604</v>
      </c>
      <c r="I74" s="41" t="s">
        <v>605</v>
      </c>
      <c r="J74" s="41" t="s">
        <v>102</v>
      </c>
      <c r="K74" s="41" t="s">
        <v>2212</v>
      </c>
      <c r="L74" s="41" t="s">
        <v>104</v>
      </c>
      <c r="M74" s="40" t="s">
        <v>608</v>
      </c>
      <c r="P74" s="40" t="s">
        <v>604</v>
      </c>
      <c r="Q74" s="41" t="s">
        <v>605</v>
      </c>
      <c r="R74" s="41" t="s">
        <v>102</v>
      </c>
      <c r="S74" s="41" t="s">
        <v>2212</v>
      </c>
      <c r="T74" s="64">
        <v>45920</v>
      </c>
      <c r="V74" s="41" t="s">
        <v>2203</v>
      </c>
      <c r="W74" s="41" t="s">
        <v>2204</v>
      </c>
      <c r="Y74" s="42"/>
      <c r="Z74" s="41" t="s">
        <v>170</v>
      </c>
      <c r="AA74" s="41" t="s">
        <v>1069</v>
      </c>
      <c r="AB74" s="41" t="s">
        <v>1941</v>
      </c>
      <c r="AC74" s="41" t="s">
        <v>2175</v>
      </c>
    </row>
    <row r="75" spans="6:29" hidden="1" x14ac:dyDescent="0.35">
      <c r="F75" s="40" t="s">
        <v>1506</v>
      </c>
      <c r="G75" s="40" t="s">
        <v>603</v>
      </c>
      <c r="H75" s="40" t="s">
        <v>604</v>
      </c>
      <c r="I75" s="41" t="s">
        <v>605</v>
      </c>
      <c r="J75" s="41" t="s">
        <v>117</v>
      </c>
      <c r="K75" s="41" t="s">
        <v>680</v>
      </c>
      <c r="L75" s="41" t="s">
        <v>104</v>
      </c>
      <c r="M75" s="40" t="s">
        <v>655</v>
      </c>
      <c r="P75" s="40" t="s">
        <v>604</v>
      </c>
      <c r="Q75" s="41" t="s">
        <v>607</v>
      </c>
      <c r="R75" s="41" t="s">
        <v>117</v>
      </c>
      <c r="S75" s="41" t="s">
        <v>681</v>
      </c>
      <c r="T75" s="64">
        <v>45920</v>
      </c>
      <c r="V75" s="41" t="s">
        <v>2203</v>
      </c>
      <c r="W75" s="41" t="s">
        <v>2204</v>
      </c>
      <c r="Y75" s="42"/>
      <c r="Z75" s="41" t="s">
        <v>170</v>
      </c>
      <c r="AA75" s="41" t="s">
        <v>1070</v>
      </c>
      <c r="AB75" s="41" t="s">
        <v>1942</v>
      </c>
      <c r="AC75" s="41" t="s">
        <v>2175</v>
      </c>
    </row>
    <row r="76" spans="6:29" hidden="1" x14ac:dyDescent="0.35">
      <c r="F76" s="40" t="s">
        <v>1507</v>
      </c>
      <c r="G76" s="40" t="s">
        <v>603</v>
      </c>
      <c r="H76" s="40" t="s">
        <v>604</v>
      </c>
      <c r="I76" s="41" t="s">
        <v>605</v>
      </c>
      <c r="J76" s="41" t="s">
        <v>117</v>
      </c>
      <c r="K76" s="41" t="s">
        <v>680</v>
      </c>
      <c r="L76" s="41" t="s">
        <v>104</v>
      </c>
      <c r="M76" s="40" t="s">
        <v>654</v>
      </c>
      <c r="P76" s="40" t="s">
        <v>604</v>
      </c>
      <c r="Q76" s="41" t="s">
        <v>607</v>
      </c>
      <c r="R76" s="41" t="s">
        <v>117</v>
      </c>
      <c r="S76" s="41" t="s">
        <v>681</v>
      </c>
      <c r="T76" s="64">
        <v>45920</v>
      </c>
      <c r="V76" s="41" t="s">
        <v>2203</v>
      </c>
      <c r="W76" s="41" t="s">
        <v>2204</v>
      </c>
      <c r="Y76" s="42"/>
      <c r="Z76" s="41" t="s">
        <v>170</v>
      </c>
      <c r="AA76" s="41" t="s">
        <v>1071</v>
      </c>
      <c r="AB76" s="41" t="s">
        <v>1943</v>
      </c>
      <c r="AC76" s="41" t="s">
        <v>2175</v>
      </c>
    </row>
    <row r="77" spans="6:29" hidden="1" x14ac:dyDescent="0.35">
      <c r="F77" s="40" t="s">
        <v>1508</v>
      </c>
      <c r="G77" s="40" t="s">
        <v>603</v>
      </c>
      <c r="H77" s="40" t="s">
        <v>604</v>
      </c>
      <c r="I77" s="41" t="s">
        <v>605</v>
      </c>
      <c r="J77" s="41" t="s">
        <v>117</v>
      </c>
      <c r="K77" s="41" t="s">
        <v>680</v>
      </c>
      <c r="L77" s="41" t="s">
        <v>104</v>
      </c>
      <c r="M77" s="40" t="s">
        <v>656</v>
      </c>
      <c r="P77" s="40" t="s">
        <v>604</v>
      </c>
      <c r="Q77" s="41" t="s">
        <v>607</v>
      </c>
      <c r="R77" s="41" t="s">
        <v>117</v>
      </c>
      <c r="S77" s="41" t="s">
        <v>681</v>
      </c>
      <c r="T77" s="64">
        <v>45920</v>
      </c>
      <c r="V77" s="41" t="s">
        <v>2203</v>
      </c>
      <c r="W77" s="41" t="s">
        <v>2204</v>
      </c>
      <c r="Y77" s="42"/>
      <c r="Z77" s="41" t="s">
        <v>170</v>
      </c>
      <c r="AA77" s="41" t="s">
        <v>1072</v>
      </c>
      <c r="AB77" s="41" t="s">
        <v>1944</v>
      </c>
      <c r="AC77" s="41" t="s">
        <v>2175</v>
      </c>
    </row>
    <row r="78" spans="6:29" x14ac:dyDescent="0.35">
      <c r="F78" s="40" t="s">
        <v>1509</v>
      </c>
      <c r="G78" s="40" t="s">
        <v>603</v>
      </c>
      <c r="H78" s="40" t="s">
        <v>604</v>
      </c>
      <c r="I78" s="41" t="s">
        <v>605</v>
      </c>
      <c r="J78" s="41" t="s">
        <v>117</v>
      </c>
      <c r="K78" s="41" t="s">
        <v>680</v>
      </c>
      <c r="L78" s="41" t="s">
        <v>104</v>
      </c>
      <c r="M78" s="40" t="s">
        <v>653</v>
      </c>
      <c r="P78" s="40" t="s">
        <v>604</v>
      </c>
      <c r="Q78" s="41" t="s">
        <v>605</v>
      </c>
      <c r="R78" s="41" t="s">
        <v>117</v>
      </c>
      <c r="S78" s="41" t="s">
        <v>695</v>
      </c>
      <c r="T78" s="64">
        <v>45920</v>
      </c>
      <c r="V78" s="41" t="s">
        <v>2203</v>
      </c>
      <c r="W78" s="41" t="s">
        <v>2204</v>
      </c>
      <c r="Y78" s="42"/>
      <c r="Z78" s="41" t="s">
        <v>170</v>
      </c>
      <c r="AA78" s="41" t="s">
        <v>1073</v>
      </c>
      <c r="AB78" s="41" t="s">
        <v>1945</v>
      </c>
      <c r="AC78" s="41" t="s">
        <v>2175</v>
      </c>
    </row>
    <row r="79" spans="6:29" hidden="1" x14ac:dyDescent="0.35">
      <c r="F79" s="40" t="s">
        <v>1510</v>
      </c>
      <c r="G79" s="40" t="s">
        <v>603</v>
      </c>
      <c r="H79" s="40" t="s">
        <v>604</v>
      </c>
      <c r="I79" s="41" t="s">
        <v>605</v>
      </c>
      <c r="J79" s="41" t="s">
        <v>117</v>
      </c>
      <c r="K79" s="41" t="s">
        <v>680</v>
      </c>
      <c r="L79" s="41" t="s">
        <v>104</v>
      </c>
      <c r="M79" s="40" t="s">
        <v>671</v>
      </c>
      <c r="P79" s="40" t="s">
        <v>604</v>
      </c>
      <c r="Q79" s="41" t="s">
        <v>607</v>
      </c>
      <c r="R79" s="41" t="s">
        <v>117</v>
      </c>
      <c r="S79" s="41" t="s">
        <v>681</v>
      </c>
      <c r="T79" s="64">
        <v>45920</v>
      </c>
      <c r="V79" s="41" t="s">
        <v>2203</v>
      </c>
      <c r="W79" s="41" t="s">
        <v>2204</v>
      </c>
      <c r="Y79" s="42"/>
      <c r="Z79" s="41" t="s">
        <v>170</v>
      </c>
      <c r="AA79" s="41" t="s">
        <v>1074</v>
      </c>
      <c r="AB79" s="41" t="s">
        <v>1946</v>
      </c>
      <c r="AC79" s="41" t="s">
        <v>2175</v>
      </c>
    </row>
    <row r="80" spans="6:29" hidden="1" x14ac:dyDescent="0.35">
      <c r="F80" s="40" t="s">
        <v>1511</v>
      </c>
      <c r="G80" s="40" t="s">
        <v>603</v>
      </c>
      <c r="H80" s="40" t="s">
        <v>604</v>
      </c>
      <c r="I80" s="41" t="s">
        <v>605</v>
      </c>
      <c r="J80" s="41" t="s">
        <v>117</v>
      </c>
      <c r="K80" s="41" t="s">
        <v>680</v>
      </c>
      <c r="L80" s="41" t="s">
        <v>104</v>
      </c>
      <c r="M80" s="40" t="s">
        <v>682</v>
      </c>
      <c r="P80" s="40" t="s">
        <v>604</v>
      </c>
      <c r="Q80" s="41" t="s">
        <v>607</v>
      </c>
      <c r="R80" s="41" t="s">
        <v>117</v>
      </c>
      <c r="S80" s="41" t="s">
        <v>681</v>
      </c>
      <c r="T80" s="64">
        <v>45920</v>
      </c>
      <c r="V80" s="41" t="s">
        <v>2203</v>
      </c>
      <c r="W80" s="41" t="s">
        <v>2204</v>
      </c>
      <c r="Y80" s="42"/>
      <c r="Z80" s="41" t="s">
        <v>170</v>
      </c>
      <c r="AA80" s="41" t="s">
        <v>1075</v>
      </c>
      <c r="AB80" s="41" t="s">
        <v>1947</v>
      </c>
      <c r="AC80" s="41" t="s">
        <v>2175</v>
      </c>
    </row>
    <row r="81" spans="6:29" hidden="1" x14ac:dyDescent="0.35">
      <c r="F81" s="40" t="s">
        <v>1512</v>
      </c>
      <c r="G81" s="40" t="s">
        <v>603</v>
      </c>
      <c r="H81" s="40" t="s">
        <v>604</v>
      </c>
      <c r="I81" s="41" t="s">
        <v>605</v>
      </c>
      <c r="J81" s="41" t="s">
        <v>117</v>
      </c>
      <c r="K81" s="41" t="s">
        <v>680</v>
      </c>
      <c r="L81" s="41" t="s">
        <v>104</v>
      </c>
      <c r="M81" s="40" t="s">
        <v>678</v>
      </c>
      <c r="P81" s="40" t="s">
        <v>604</v>
      </c>
      <c r="Q81" s="41" t="s">
        <v>607</v>
      </c>
      <c r="R81" s="41" t="s">
        <v>117</v>
      </c>
      <c r="S81" s="41" t="s">
        <v>681</v>
      </c>
      <c r="T81" s="64">
        <v>45920</v>
      </c>
      <c r="V81" s="41" t="s">
        <v>2203</v>
      </c>
      <c r="W81" s="41" t="s">
        <v>2204</v>
      </c>
      <c r="Y81" s="42"/>
      <c r="Z81" s="41" t="s">
        <v>170</v>
      </c>
      <c r="AA81" s="41" t="s">
        <v>1076</v>
      </c>
      <c r="AB81" s="41" t="s">
        <v>1948</v>
      </c>
      <c r="AC81" s="41" t="s">
        <v>2175</v>
      </c>
    </row>
    <row r="82" spans="6:29" hidden="1" x14ac:dyDescent="0.35">
      <c r="F82" s="40" t="s">
        <v>1513</v>
      </c>
      <c r="G82" s="40" t="s">
        <v>603</v>
      </c>
      <c r="H82" s="40" t="s">
        <v>604</v>
      </c>
      <c r="I82" s="41" t="s">
        <v>605</v>
      </c>
      <c r="J82" s="41" t="s">
        <v>117</v>
      </c>
      <c r="K82" s="41" t="s">
        <v>683</v>
      </c>
      <c r="L82" s="41" t="s">
        <v>104</v>
      </c>
      <c r="M82" s="40" t="s">
        <v>658</v>
      </c>
      <c r="P82" s="40" t="s">
        <v>604</v>
      </c>
      <c r="Q82" s="41" t="s">
        <v>607</v>
      </c>
      <c r="R82" s="41" t="s">
        <v>117</v>
      </c>
      <c r="S82" s="41" t="s">
        <v>684</v>
      </c>
      <c r="T82" s="64">
        <v>45920</v>
      </c>
      <c r="V82" s="41" t="s">
        <v>2203</v>
      </c>
      <c r="W82" s="41" t="s">
        <v>2204</v>
      </c>
      <c r="Y82" s="42"/>
      <c r="Z82" s="41" t="s">
        <v>170</v>
      </c>
      <c r="AA82" s="41" t="s">
        <v>1077</v>
      </c>
      <c r="AB82" s="41" t="s">
        <v>1949</v>
      </c>
      <c r="AC82" s="41" t="s">
        <v>2175</v>
      </c>
    </row>
    <row r="83" spans="6:29" hidden="1" x14ac:dyDescent="0.35">
      <c r="F83" s="40" t="s">
        <v>1514</v>
      </c>
      <c r="G83" s="40" t="s">
        <v>603</v>
      </c>
      <c r="H83" s="40" t="s">
        <v>604</v>
      </c>
      <c r="I83" s="41" t="s">
        <v>605</v>
      </c>
      <c r="J83" s="41" t="s">
        <v>117</v>
      </c>
      <c r="K83" s="41" t="s">
        <v>683</v>
      </c>
      <c r="L83" s="41" t="s">
        <v>104</v>
      </c>
      <c r="M83" s="40" t="s">
        <v>685</v>
      </c>
      <c r="P83" s="40" t="s">
        <v>604</v>
      </c>
      <c r="Q83" s="41" t="s">
        <v>607</v>
      </c>
      <c r="R83" s="41" t="s">
        <v>117</v>
      </c>
      <c r="S83" s="41" t="s">
        <v>684</v>
      </c>
      <c r="T83" s="64">
        <v>45920</v>
      </c>
      <c r="V83" s="41" t="s">
        <v>2203</v>
      </c>
      <c r="W83" s="41" t="s">
        <v>2204</v>
      </c>
      <c r="Y83" s="42"/>
      <c r="Z83" s="41" t="s">
        <v>170</v>
      </c>
      <c r="AA83" s="41" t="s">
        <v>1078</v>
      </c>
      <c r="AB83" s="41" t="s">
        <v>1950</v>
      </c>
      <c r="AC83" s="41" t="s">
        <v>2175</v>
      </c>
    </row>
    <row r="84" spans="6:29" hidden="1" x14ac:dyDescent="0.35">
      <c r="F84" s="40" t="s">
        <v>1515</v>
      </c>
      <c r="G84" s="40" t="s">
        <v>603</v>
      </c>
      <c r="H84" s="40" t="s">
        <v>604</v>
      </c>
      <c r="I84" s="41" t="s">
        <v>605</v>
      </c>
      <c r="J84" s="41" t="s">
        <v>117</v>
      </c>
      <c r="K84" s="41" t="s">
        <v>683</v>
      </c>
      <c r="L84" s="41" t="s">
        <v>104</v>
      </c>
      <c r="M84" s="40" t="s">
        <v>687</v>
      </c>
      <c r="P84" s="40" t="s">
        <v>604</v>
      </c>
      <c r="Q84" s="41" t="s">
        <v>607</v>
      </c>
      <c r="R84" s="41" t="s">
        <v>117</v>
      </c>
      <c r="S84" s="41" t="s">
        <v>684</v>
      </c>
      <c r="T84" s="64">
        <v>45920</v>
      </c>
      <c r="V84" s="41" t="s">
        <v>2203</v>
      </c>
      <c r="W84" s="41" t="s">
        <v>2204</v>
      </c>
      <c r="Y84" s="42"/>
      <c r="Z84" s="41" t="s">
        <v>170</v>
      </c>
      <c r="AA84" s="41" t="s">
        <v>1079</v>
      </c>
      <c r="AB84" s="41" t="s">
        <v>1951</v>
      </c>
      <c r="AC84" s="41" t="s">
        <v>2175</v>
      </c>
    </row>
    <row r="85" spans="6:29" hidden="1" x14ac:dyDescent="0.35">
      <c r="F85" s="40" t="s">
        <v>1516</v>
      </c>
      <c r="G85" s="40" t="s">
        <v>603</v>
      </c>
      <c r="H85" s="40" t="s">
        <v>604</v>
      </c>
      <c r="I85" s="41" t="s">
        <v>605</v>
      </c>
      <c r="J85" s="41" t="s">
        <v>117</v>
      </c>
      <c r="K85" s="41" t="s">
        <v>683</v>
      </c>
      <c r="L85" s="41" t="s">
        <v>104</v>
      </c>
      <c r="M85" s="40" t="s">
        <v>616</v>
      </c>
      <c r="P85" s="40" t="s">
        <v>604</v>
      </c>
      <c r="Q85" s="41" t="s">
        <v>607</v>
      </c>
      <c r="R85" s="41" t="s">
        <v>117</v>
      </c>
      <c r="S85" s="41" t="s">
        <v>684</v>
      </c>
      <c r="T85" s="64">
        <v>45920</v>
      </c>
      <c r="V85" s="41" t="s">
        <v>2203</v>
      </c>
      <c r="W85" s="41" t="s">
        <v>2204</v>
      </c>
      <c r="Y85" s="42"/>
      <c r="Z85" s="41" t="s">
        <v>170</v>
      </c>
      <c r="AA85" s="41" t="s">
        <v>1080</v>
      </c>
      <c r="AB85" s="41" t="s">
        <v>1952</v>
      </c>
      <c r="AC85" s="41" t="s">
        <v>2175</v>
      </c>
    </row>
    <row r="86" spans="6:29" x14ac:dyDescent="0.35">
      <c r="F86" s="40" t="s">
        <v>1517</v>
      </c>
      <c r="G86" s="40" t="s">
        <v>603</v>
      </c>
      <c r="H86" s="40" t="s">
        <v>604</v>
      </c>
      <c r="I86" s="41" t="s">
        <v>605</v>
      </c>
      <c r="J86" s="41" t="s">
        <v>102</v>
      </c>
      <c r="K86" s="41" t="s">
        <v>2212</v>
      </c>
      <c r="L86" s="41" t="s">
        <v>104</v>
      </c>
      <c r="M86" s="40" t="s">
        <v>608</v>
      </c>
      <c r="P86" s="40" t="s">
        <v>604</v>
      </c>
      <c r="Q86" s="41" t="s">
        <v>605</v>
      </c>
      <c r="R86" s="41" t="s">
        <v>102</v>
      </c>
      <c r="S86" s="41" t="s">
        <v>2212</v>
      </c>
      <c r="T86" s="64">
        <v>45920</v>
      </c>
      <c r="V86" s="41" t="s">
        <v>2203</v>
      </c>
      <c r="W86" s="41" t="s">
        <v>2204</v>
      </c>
      <c r="Y86" s="42"/>
      <c r="Z86" s="41" t="s">
        <v>170</v>
      </c>
      <c r="AA86" s="41" t="s">
        <v>1081</v>
      </c>
      <c r="AB86" s="41" t="s">
        <v>1953</v>
      </c>
      <c r="AC86" s="41" t="s">
        <v>2175</v>
      </c>
    </row>
    <row r="87" spans="6:29" hidden="1" x14ac:dyDescent="0.35">
      <c r="F87" s="40" t="s">
        <v>1518</v>
      </c>
      <c r="G87" s="40" t="s">
        <v>603</v>
      </c>
      <c r="H87" s="40" t="s">
        <v>604</v>
      </c>
      <c r="I87" s="41" t="s">
        <v>605</v>
      </c>
      <c r="J87" s="41" t="s">
        <v>117</v>
      </c>
      <c r="K87" s="41" t="s">
        <v>683</v>
      </c>
      <c r="L87" s="41" t="s">
        <v>104</v>
      </c>
      <c r="M87" s="40" t="s">
        <v>654</v>
      </c>
      <c r="P87" s="40" t="s">
        <v>604</v>
      </c>
      <c r="Q87" s="41" t="s">
        <v>607</v>
      </c>
      <c r="R87" s="41" t="s">
        <v>117</v>
      </c>
      <c r="S87" s="41" t="s">
        <v>684</v>
      </c>
      <c r="T87" s="64">
        <v>45920</v>
      </c>
      <c r="V87" s="41" t="s">
        <v>2203</v>
      </c>
      <c r="W87" s="41" t="s">
        <v>2204</v>
      </c>
      <c r="Y87" s="42"/>
      <c r="Z87" s="41" t="s">
        <v>170</v>
      </c>
      <c r="AA87" s="41" t="s">
        <v>1082</v>
      </c>
      <c r="AB87" s="41" t="s">
        <v>1954</v>
      </c>
      <c r="AC87" s="41" t="s">
        <v>2175</v>
      </c>
    </row>
    <row r="88" spans="6:29" hidden="1" x14ac:dyDescent="0.35">
      <c r="F88" s="40" t="s">
        <v>1519</v>
      </c>
      <c r="G88" s="40" t="s">
        <v>603</v>
      </c>
      <c r="H88" s="40" t="s">
        <v>604</v>
      </c>
      <c r="I88" s="41" t="s">
        <v>605</v>
      </c>
      <c r="J88" s="41" t="s">
        <v>117</v>
      </c>
      <c r="K88" s="41" t="s">
        <v>683</v>
      </c>
      <c r="L88" s="41" t="s">
        <v>104</v>
      </c>
      <c r="M88" s="40" t="s">
        <v>678</v>
      </c>
      <c r="P88" s="40" t="s">
        <v>604</v>
      </c>
      <c r="Q88" s="41" t="s">
        <v>607</v>
      </c>
      <c r="R88" s="41" t="s">
        <v>117</v>
      </c>
      <c r="S88" s="41" t="s">
        <v>684</v>
      </c>
      <c r="T88" s="64">
        <v>45920</v>
      </c>
      <c r="V88" s="41" t="s">
        <v>2203</v>
      </c>
      <c r="W88" s="41" t="s">
        <v>2204</v>
      </c>
      <c r="Y88" s="42"/>
      <c r="Z88" s="41" t="s">
        <v>170</v>
      </c>
      <c r="AA88" s="41" t="s">
        <v>1083</v>
      </c>
      <c r="AB88" s="41" t="s">
        <v>1955</v>
      </c>
      <c r="AC88" s="41" t="s">
        <v>2175</v>
      </c>
    </row>
    <row r="89" spans="6:29" ht="29" x14ac:dyDescent="0.35">
      <c r="F89" s="40" t="s">
        <v>1520</v>
      </c>
      <c r="G89" s="40" t="s">
        <v>603</v>
      </c>
      <c r="H89" s="40" t="s">
        <v>604</v>
      </c>
      <c r="I89" s="41" t="s">
        <v>605</v>
      </c>
      <c r="J89" s="41" t="s">
        <v>117</v>
      </c>
      <c r="K89" s="41" t="s">
        <v>683</v>
      </c>
      <c r="L89" s="41" t="s">
        <v>104</v>
      </c>
      <c r="M89" s="40" t="s">
        <v>653</v>
      </c>
      <c r="P89" s="40" t="s">
        <v>604</v>
      </c>
      <c r="Q89" s="41" t="s">
        <v>605</v>
      </c>
      <c r="R89" s="41" t="s">
        <v>117</v>
      </c>
      <c r="S89" s="41" t="s">
        <v>707</v>
      </c>
      <c r="T89" s="64">
        <v>45920</v>
      </c>
      <c r="V89" s="41" t="s">
        <v>2203</v>
      </c>
      <c r="W89" s="41" t="s">
        <v>2204</v>
      </c>
      <c r="Y89" s="42"/>
      <c r="Z89" s="41" t="s">
        <v>170</v>
      </c>
      <c r="AA89" s="41" t="s">
        <v>1084</v>
      </c>
      <c r="AB89" s="41" t="s">
        <v>1956</v>
      </c>
      <c r="AC89" s="41" t="s">
        <v>2175</v>
      </c>
    </row>
    <row r="90" spans="6:29" hidden="1" x14ac:dyDescent="0.35">
      <c r="F90" s="40" t="s">
        <v>1521</v>
      </c>
      <c r="G90" s="40" t="s">
        <v>603</v>
      </c>
      <c r="H90" s="40" t="s">
        <v>604</v>
      </c>
      <c r="I90" s="41" t="s">
        <v>605</v>
      </c>
      <c r="J90" s="41" t="s">
        <v>117</v>
      </c>
      <c r="K90" s="41" t="s">
        <v>683</v>
      </c>
      <c r="L90" s="41" t="s">
        <v>104</v>
      </c>
      <c r="M90" s="40" t="s">
        <v>689</v>
      </c>
      <c r="P90" s="40" t="s">
        <v>604</v>
      </c>
      <c r="Q90" s="41" t="s">
        <v>607</v>
      </c>
      <c r="R90" s="41" t="s">
        <v>117</v>
      </c>
      <c r="S90" s="41" t="s">
        <v>684</v>
      </c>
      <c r="T90" s="64">
        <v>45920</v>
      </c>
      <c r="V90" s="41" t="s">
        <v>2203</v>
      </c>
      <c r="W90" s="41" t="s">
        <v>2204</v>
      </c>
      <c r="Y90" s="42"/>
      <c r="Z90" s="41" t="s">
        <v>170</v>
      </c>
      <c r="AA90" s="41" t="s">
        <v>1085</v>
      </c>
      <c r="AB90" s="41" t="s">
        <v>1957</v>
      </c>
      <c r="AC90" s="41" t="s">
        <v>2175</v>
      </c>
    </row>
    <row r="91" spans="6:29" hidden="1" x14ac:dyDescent="0.35">
      <c r="F91" s="40" t="s">
        <v>1522</v>
      </c>
      <c r="G91" s="40" t="s">
        <v>603</v>
      </c>
      <c r="H91" s="40" t="s">
        <v>604</v>
      </c>
      <c r="I91" s="41" t="s">
        <v>605</v>
      </c>
      <c r="J91" s="41" t="s">
        <v>117</v>
      </c>
      <c r="K91" s="41" t="s">
        <v>683</v>
      </c>
      <c r="L91" s="41" t="s">
        <v>104</v>
      </c>
      <c r="M91" s="40" t="s">
        <v>690</v>
      </c>
      <c r="P91" s="40" t="s">
        <v>604</v>
      </c>
      <c r="Q91" s="41" t="s">
        <v>607</v>
      </c>
      <c r="R91" s="41" t="s">
        <v>117</v>
      </c>
      <c r="S91" s="41" t="s">
        <v>684</v>
      </c>
      <c r="T91" s="64">
        <v>45920</v>
      </c>
      <c r="V91" s="41" t="s">
        <v>2203</v>
      </c>
      <c r="W91" s="41" t="s">
        <v>2204</v>
      </c>
      <c r="Y91" s="42"/>
      <c r="Z91" s="41" t="s">
        <v>170</v>
      </c>
      <c r="AA91" s="41" t="s">
        <v>1086</v>
      </c>
      <c r="AB91" s="41" t="s">
        <v>1958</v>
      </c>
      <c r="AC91" s="41" t="s">
        <v>2175</v>
      </c>
    </row>
    <row r="92" spans="6:29" ht="29" hidden="1" x14ac:dyDescent="0.35">
      <c r="F92" s="40" t="s">
        <v>1523</v>
      </c>
      <c r="G92" s="40" t="s">
        <v>603</v>
      </c>
      <c r="H92" s="40" t="s">
        <v>604</v>
      </c>
      <c r="I92" s="41" t="s">
        <v>605</v>
      </c>
      <c r="J92" s="41" t="s">
        <v>117</v>
      </c>
      <c r="K92" s="41" t="s">
        <v>691</v>
      </c>
      <c r="L92" s="41" t="s">
        <v>104</v>
      </c>
      <c r="M92" s="40" t="s">
        <v>616</v>
      </c>
      <c r="P92" s="40" t="s">
        <v>604</v>
      </c>
      <c r="Q92" s="41" t="s">
        <v>607</v>
      </c>
      <c r="R92" s="41" t="s">
        <v>117</v>
      </c>
      <c r="S92" s="41" t="s">
        <v>692</v>
      </c>
      <c r="T92" s="64">
        <v>45920</v>
      </c>
      <c r="V92" s="41" t="s">
        <v>2203</v>
      </c>
      <c r="W92" s="41" t="s">
        <v>2204</v>
      </c>
      <c r="Y92" s="42"/>
      <c r="Z92" s="41" t="s">
        <v>170</v>
      </c>
      <c r="AA92" s="41" t="s">
        <v>1087</v>
      </c>
      <c r="AB92" s="41" t="s">
        <v>1959</v>
      </c>
      <c r="AC92" s="41" t="s">
        <v>2175</v>
      </c>
    </row>
    <row r="93" spans="6:29" ht="29" hidden="1" x14ac:dyDescent="0.35">
      <c r="F93" s="40" t="s">
        <v>1524</v>
      </c>
      <c r="G93" s="40" t="s">
        <v>603</v>
      </c>
      <c r="H93" s="40" t="s">
        <v>604</v>
      </c>
      <c r="I93" s="41" t="s">
        <v>605</v>
      </c>
      <c r="J93" s="41" t="s">
        <v>117</v>
      </c>
      <c r="K93" s="41" t="s">
        <v>691</v>
      </c>
      <c r="L93" s="41" t="s">
        <v>104</v>
      </c>
      <c r="M93" s="40" t="s">
        <v>662</v>
      </c>
      <c r="P93" s="40" t="s">
        <v>604</v>
      </c>
      <c r="Q93" s="41" t="s">
        <v>607</v>
      </c>
      <c r="R93" s="41" t="s">
        <v>117</v>
      </c>
      <c r="S93" s="41" t="s">
        <v>692</v>
      </c>
      <c r="T93" s="64">
        <v>45920</v>
      </c>
      <c r="V93" s="41" t="s">
        <v>2203</v>
      </c>
      <c r="W93" s="41" t="s">
        <v>2204</v>
      </c>
      <c r="Y93" s="42"/>
      <c r="Z93" s="41" t="s">
        <v>170</v>
      </c>
      <c r="AA93" s="41" t="s">
        <v>1088</v>
      </c>
      <c r="AB93" s="41" t="s">
        <v>1960</v>
      </c>
      <c r="AC93" s="41" t="s">
        <v>2175</v>
      </c>
    </row>
    <row r="94" spans="6:29" ht="29" hidden="1" x14ac:dyDescent="0.35">
      <c r="F94" s="40" t="s">
        <v>1525</v>
      </c>
      <c r="G94" s="40" t="s">
        <v>603</v>
      </c>
      <c r="H94" s="40" t="s">
        <v>604</v>
      </c>
      <c r="I94" s="41" t="s">
        <v>605</v>
      </c>
      <c r="J94" s="41" t="s">
        <v>117</v>
      </c>
      <c r="K94" s="41" t="s">
        <v>691</v>
      </c>
      <c r="L94" s="41" t="s">
        <v>104</v>
      </c>
      <c r="M94" s="40" t="s">
        <v>674</v>
      </c>
      <c r="P94" s="40" t="s">
        <v>604</v>
      </c>
      <c r="Q94" s="41" t="s">
        <v>607</v>
      </c>
      <c r="R94" s="41" t="s">
        <v>117</v>
      </c>
      <c r="S94" s="41" t="s">
        <v>692</v>
      </c>
      <c r="T94" s="64">
        <v>45920</v>
      </c>
      <c r="V94" s="41" t="s">
        <v>2203</v>
      </c>
      <c r="W94" s="41" t="s">
        <v>2204</v>
      </c>
      <c r="Y94" s="42"/>
      <c r="Z94" s="41" t="s">
        <v>170</v>
      </c>
      <c r="AA94" s="41" t="s">
        <v>1089</v>
      </c>
      <c r="AB94" s="41" t="s">
        <v>1961</v>
      </c>
      <c r="AC94" s="41" t="s">
        <v>2175</v>
      </c>
    </row>
    <row r="95" spans="6:29" ht="29" hidden="1" x14ac:dyDescent="0.35">
      <c r="F95" s="40" t="s">
        <v>1526</v>
      </c>
      <c r="G95" s="40" t="s">
        <v>603</v>
      </c>
      <c r="H95" s="40" t="s">
        <v>604</v>
      </c>
      <c r="I95" s="41" t="s">
        <v>605</v>
      </c>
      <c r="J95" s="41" t="s">
        <v>117</v>
      </c>
      <c r="K95" s="41" t="s">
        <v>691</v>
      </c>
      <c r="L95" s="41" t="s">
        <v>104</v>
      </c>
      <c r="M95" s="40" t="s">
        <v>658</v>
      </c>
      <c r="P95" s="40" t="s">
        <v>604</v>
      </c>
      <c r="Q95" s="41" t="s">
        <v>607</v>
      </c>
      <c r="R95" s="41" t="s">
        <v>117</v>
      </c>
      <c r="S95" s="41" t="s">
        <v>692</v>
      </c>
      <c r="T95" s="64">
        <v>45920</v>
      </c>
      <c r="V95" s="41" t="s">
        <v>2203</v>
      </c>
      <c r="W95" s="41" t="s">
        <v>2204</v>
      </c>
      <c r="Y95" s="42"/>
      <c r="Z95" s="41" t="s">
        <v>170</v>
      </c>
      <c r="AA95" s="41" t="s">
        <v>1090</v>
      </c>
      <c r="AB95" s="41" t="s">
        <v>1962</v>
      </c>
      <c r="AC95" s="41" t="s">
        <v>2175</v>
      </c>
    </row>
    <row r="96" spans="6:29" ht="29" hidden="1" x14ac:dyDescent="0.35">
      <c r="F96" s="40" t="s">
        <v>1527</v>
      </c>
      <c r="G96" s="40" t="s">
        <v>603</v>
      </c>
      <c r="H96" s="40" t="s">
        <v>604</v>
      </c>
      <c r="I96" s="41" t="s">
        <v>605</v>
      </c>
      <c r="J96" s="41" t="s">
        <v>117</v>
      </c>
      <c r="K96" s="41" t="s">
        <v>691</v>
      </c>
      <c r="L96" s="41" t="s">
        <v>104</v>
      </c>
      <c r="M96" s="40" t="s">
        <v>694</v>
      </c>
      <c r="P96" s="40" t="s">
        <v>604</v>
      </c>
      <c r="Q96" s="41" t="s">
        <v>607</v>
      </c>
      <c r="R96" s="41" t="s">
        <v>117</v>
      </c>
      <c r="S96" s="41" t="s">
        <v>692</v>
      </c>
      <c r="T96" s="64">
        <v>45920</v>
      </c>
      <c r="V96" s="41" t="s">
        <v>2203</v>
      </c>
      <c r="W96" s="41" t="s">
        <v>2204</v>
      </c>
      <c r="Y96" s="42"/>
      <c r="Z96" s="41" t="s">
        <v>170</v>
      </c>
      <c r="AA96" s="41" t="s">
        <v>1091</v>
      </c>
      <c r="AB96" s="41" t="s">
        <v>1963</v>
      </c>
      <c r="AC96" s="41" t="s">
        <v>2175</v>
      </c>
    </row>
    <row r="97" spans="6:29" ht="29" x14ac:dyDescent="0.35">
      <c r="F97" s="40" t="s">
        <v>1528</v>
      </c>
      <c r="G97" s="40" t="s">
        <v>603</v>
      </c>
      <c r="H97" s="40" t="s">
        <v>604</v>
      </c>
      <c r="I97" s="41" t="s">
        <v>605</v>
      </c>
      <c r="J97" s="41" t="s">
        <v>117</v>
      </c>
      <c r="K97" s="41" t="s">
        <v>691</v>
      </c>
      <c r="L97" s="41" t="s">
        <v>104</v>
      </c>
      <c r="M97" s="40" t="s">
        <v>653</v>
      </c>
      <c r="P97" s="40" t="s">
        <v>604</v>
      </c>
      <c r="Q97" s="41" t="s">
        <v>605</v>
      </c>
      <c r="R97" s="41" t="s">
        <v>117</v>
      </c>
      <c r="S97" s="41" t="s">
        <v>692</v>
      </c>
      <c r="T97" s="64">
        <v>45920</v>
      </c>
      <c r="V97" s="41" t="s">
        <v>2203</v>
      </c>
      <c r="W97" s="41" t="s">
        <v>2204</v>
      </c>
      <c r="Y97" s="42"/>
      <c r="Z97" s="41" t="s">
        <v>170</v>
      </c>
      <c r="AA97" s="41" t="s">
        <v>1092</v>
      </c>
      <c r="AB97" s="41" t="s">
        <v>1964</v>
      </c>
      <c r="AC97" s="41" t="s">
        <v>2175</v>
      </c>
    </row>
    <row r="98" spans="6:29" ht="29" hidden="1" x14ac:dyDescent="0.35">
      <c r="F98" s="40" t="s">
        <v>1529</v>
      </c>
      <c r="G98" s="40" t="s">
        <v>603</v>
      </c>
      <c r="H98" s="40" t="s">
        <v>604</v>
      </c>
      <c r="I98" s="41" t="s">
        <v>605</v>
      </c>
      <c r="J98" s="41" t="s">
        <v>117</v>
      </c>
      <c r="K98" s="41" t="s">
        <v>691</v>
      </c>
      <c r="L98" s="41" t="s">
        <v>104</v>
      </c>
      <c r="M98" s="40" t="s">
        <v>678</v>
      </c>
      <c r="P98" s="40" t="s">
        <v>604</v>
      </c>
      <c r="Q98" s="41" t="s">
        <v>607</v>
      </c>
      <c r="R98" s="41" t="s">
        <v>117</v>
      </c>
      <c r="S98" s="41" t="s">
        <v>692</v>
      </c>
      <c r="T98" s="64">
        <v>45920</v>
      </c>
      <c r="V98" s="41" t="s">
        <v>2203</v>
      </c>
      <c r="W98" s="41" t="s">
        <v>2204</v>
      </c>
      <c r="Y98" s="42"/>
      <c r="Z98" s="41" t="s">
        <v>170</v>
      </c>
      <c r="AA98" s="41" t="s">
        <v>1093</v>
      </c>
      <c r="AB98" s="41" t="s">
        <v>1965</v>
      </c>
      <c r="AC98" s="41" t="s">
        <v>2175</v>
      </c>
    </row>
    <row r="99" spans="6:29" ht="29" hidden="1" x14ac:dyDescent="0.35">
      <c r="F99" s="40" t="s">
        <v>1530</v>
      </c>
      <c r="G99" s="40" t="s">
        <v>603</v>
      </c>
      <c r="H99" s="40" t="s">
        <v>604</v>
      </c>
      <c r="I99" s="41" t="s">
        <v>605</v>
      </c>
      <c r="J99" s="41" t="s">
        <v>117</v>
      </c>
      <c r="K99" s="41" t="s">
        <v>691</v>
      </c>
      <c r="L99" s="41" t="s">
        <v>104</v>
      </c>
      <c r="M99" s="40" t="s">
        <v>654</v>
      </c>
      <c r="P99" s="40" t="s">
        <v>604</v>
      </c>
      <c r="Q99" s="41" t="s">
        <v>607</v>
      </c>
      <c r="R99" s="41" t="s">
        <v>117</v>
      </c>
      <c r="S99" s="41" t="s">
        <v>692</v>
      </c>
      <c r="T99" s="64">
        <v>45920</v>
      </c>
      <c r="V99" s="41" t="s">
        <v>2203</v>
      </c>
      <c r="W99" s="41" t="s">
        <v>2204</v>
      </c>
      <c r="Y99" s="42"/>
      <c r="Z99" s="41" t="s">
        <v>170</v>
      </c>
      <c r="AA99" s="41" t="s">
        <v>1094</v>
      </c>
      <c r="AB99" s="41" t="s">
        <v>1966</v>
      </c>
      <c r="AC99" s="41" t="s">
        <v>2175</v>
      </c>
    </row>
    <row r="100" spans="6:29" ht="29" hidden="1" x14ac:dyDescent="0.35">
      <c r="F100" s="40" t="s">
        <v>1531</v>
      </c>
      <c r="G100" s="40" t="s">
        <v>603</v>
      </c>
      <c r="H100" s="40" t="s">
        <v>604</v>
      </c>
      <c r="I100" s="41" t="s">
        <v>605</v>
      </c>
      <c r="J100" s="41" t="s">
        <v>117</v>
      </c>
      <c r="K100" s="41" t="s">
        <v>691</v>
      </c>
      <c r="L100" s="41" t="s">
        <v>104</v>
      </c>
      <c r="M100" s="40" t="s">
        <v>690</v>
      </c>
      <c r="P100" s="40" t="s">
        <v>604</v>
      </c>
      <c r="Q100" s="41" t="s">
        <v>607</v>
      </c>
      <c r="R100" s="41" t="s">
        <v>117</v>
      </c>
      <c r="S100" s="41" t="s">
        <v>692</v>
      </c>
      <c r="T100" s="64">
        <v>45920</v>
      </c>
      <c r="V100" s="41" t="s">
        <v>2203</v>
      </c>
      <c r="W100" s="41" t="s">
        <v>2204</v>
      </c>
      <c r="Y100" s="42"/>
      <c r="Z100" s="41" t="s">
        <v>170</v>
      </c>
      <c r="AA100" s="41" t="s">
        <v>1095</v>
      </c>
      <c r="AB100" s="41" t="s">
        <v>1967</v>
      </c>
      <c r="AC100" s="41" t="s">
        <v>2175</v>
      </c>
    </row>
    <row r="101" spans="6:29" ht="29" hidden="1" x14ac:dyDescent="0.35">
      <c r="F101" s="40" t="s">
        <v>1532</v>
      </c>
      <c r="G101" s="40" t="s">
        <v>603</v>
      </c>
      <c r="H101" s="40" t="s">
        <v>604</v>
      </c>
      <c r="I101" s="41" t="s">
        <v>605</v>
      </c>
      <c r="J101" s="41" t="s">
        <v>117</v>
      </c>
      <c r="K101" s="41" t="s">
        <v>695</v>
      </c>
      <c r="L101" s="41" t="s">
        <v>104</v>
      </c>
      <c r="M101" s="40" t="s">
        <v>662</v>
      </c>
      <c r="P101" s="40" t="s">
        <v>604</v>
      </c>
      <c r="Q101" s="41" t="s">
        <v>607</v>
      </c>
      <c r="R101" s="41" t="s">
        <v>117</v>
      </c>
      <c r="S101" s="41" t="s">
        <v>696</v>
      </c>
      <c r="T101" s="64">
        <v>45920</v>
      </c>
      <c r="V101" s="41" t="s">
        <v>2203</v>
      </c>
      <c r="W101" s="41" t="s">
        <v>2204</v>
      </c>
      <c r="Y101" s="42"/>
      <c r="Z101" s="41" t="s">
        <v>170</v>
      </c>
      <c r="AA101" s="41" t="s">
        <v>1096</v>
      </c>
      <c r="AB101" s="41" t="s">
        <v>1968</v>
      </c>
      <c r="AC101" s="41" t="s">
        <v>2175</v>
      </c>
    </row>
    <row r="102" spans="6:29" x14ac:dyDescent="0.35">
      <c r="F102" s="40" t="s">
        <v>1533</v>
      </c>
      <c r="G102" s="40" t="s">
        <v>603</v>
      </c>
      <c r="H102" s="40" t="s">
        <v>604</v>
      </c>
      <c r="I102" s="41" t="s">
        <v>605</v>
      </c>
      <c r="J102" s="41" t="s">
        <v>102</v>
      </c>
      <c r="K102" s="41" t="s">
        <v>2212</v>
      </c>
      <c r="L102" s="41" t="s">
        <v>104</v>
      </c>
      <c r="M102" s="40" t="s">
        <v>608</v>
      </c>
      <c r="P102" s="40" t="s">
        <v>604</v>
      </c>
      <c r="Q102" s="41" t="s">
        <v>605</v>
      </c>
      <c r="R102" s="41" t="s">
        <v>102</v>
      </c>
      <c r="S102" s="41" t="s">
        <v>2212</v>
      </c>
      <c r="T102" s="64">
        <v>45920</v>
      </c>
      <c r="V102" s="41" t="s">
        <v>2203</v>
      </c>
      <c r="W102" s="41" t="s">
        <v>2204</v>
      </c>
      <c r="Y102" s="42"/>
      <c r="Z102" s="41" t="s">
        <v>170</v>
      </c>
      <c r="AA102" s="41" t="s">
        <v>1097</v>
      </c>
      <c r="AB102" s="41" t="s">
        <v>1969</v>
      </c>
      <c r="AC102" s="41" t="s">
        <v>2175</v>
      </c>
    </row>
    <row r="103" spans="6:29" ht="29" x14ac:dyDescent="0.35">
      <c r="F103" s="40" t="s">
        <v>1534</v>
      </c>
      <c r="G103" s="40" t="s">
        <v>603</v>
      </c>
      <c r="H103" s="40" t="s">
        <v>604</v>
      </c>
      <c r="I103" s="41" t="s">
        <v>605</v>
      </c>
      <c r="J103" s="41" t="s">
        <v>117</v>
      </c>
      <c r="K103" s="41" t="s">
        <v>695</v>
      </c>
      <c r="L103" s="41" t="s">
        <v>104</v>
      </c>
      <c r="M103" s="40" t="s">
        <v>653</v>
      </c>
      <c r="P103" s="40" t="s">
        <v>604</v>
      </c>
      <c r="Q103" s="41" t="s">
        <v>605</v>
      </c>
      <c r="R103" s="41" t="s">
        <v>117</v>
      </c>
      <c r="S103" s="41" t="s">
        <v>696</v>
      </c>
      <c r="T103" s="64">
        <v>45920</v>
      </c>
      <c r="V103" s="41" t="s">
        <v>2203</v>
      </c>
      <c r="W103" s="41" t="s">
        <v>2204</v>
      </c>
      <c r="Y103" s="42"/>
      <c r="Z103" s="41" t="s">
        <v>170</v>
      </c>
      <c r="AA103" s="41" t="s">
        <v>1098</v>
      </c>
      <c r="AB103" s="41" t="s">
        <v>1970</v>
      </c>
      <c r="AC103" s="41" t="s">
        <v>2175</v>
      </c>
    </row>
    <row r="104" spans="6:29" ht="29" hidden="1" x14ac:dyDescent="0.35">
      <c r="F104" s="40" t="s">
        <v>1535</v>
      </c>
      <c r="G104" s="40" t="s">
        <v>603</v>
      </c>
      <c r="H104" s="40" t="s">
        <v>604</v>
      </c>
      <c r="I104" s="41" t="s">
        <v>605</v>
      </c>
      <c r="J104" s="41" t="s">
        <v>117</v>
      </c>
      <c r="K104" s="41" t="s">
        <v>695</v>
      </c>
      <c r="L104" s="41" t="s">
        <v>104</v>
      </c>
      <c r="M104" s="40" t="s">
        <v>687</v>
      </c>
      <c r="P104" s="40" t="s">
        <v>604</v>
      </c>
      <c r="Q104" s="41" t="s">
        <v>607</v>
      </c>
      <c r="R104" s="41" t="s">
        <v>117</v>
      </c>
      <c r="S104" s="41" t="s">
        <v>696</v>
      </c>
      <c r="T104" s="64">
        <v>45920</v>
      </c>
      <c r="V104" s="41" t="s">
        <v>2203</v>
      </c>
      <c r="W104" s="41" t="s">
        <v>2204</v>
      </c>
      <c r="Y104" s="42"/>
      <c r="Z104" s="41" t="s">
        <v>170</v>
      </c>
      <c r="AA104" s="41" t="s">
        <v>1099</v>
      </c>
      <c r="AB104" s="41" t="s">
        <v>1971</v>
      </c>
      <c r="AC104" s="41" t="s">
        <v>2175</v>
      </c>
    </row>
    <row r="105" spans="6:29" ht="29" hidden="1" x14ac:dyDescent="0.35">
      <c r="F105" s="40" t="s">
        <v>1536</v>
      </c>
      <c r="G105" s="40" t="s">
        <v>603</v>
      </c>
      <c r="H105" s="40" t="s">
        <v>604</v>
      </c>
      <c r="I105" s="41" t="s">
        <v>605</v>
      </c>
      <c r="J105" s="41" t="s">
        <v>117</v>
      </c>
      <c r="K105" s="41" t="s">
        <v>695</v>
      </c>
      <c r="L105" s="41" t="s">
        <v>104</v>
      </c>
      <c r="M105" s="40" t="s">
        <v>616</v>
      </c>
      <c r="P105" s="40" t="s">
        <v>604</v>
      </c>
      <c r="Q105" s="41" t="s">
        <v>607</v>
      </c>
      <c r="R105" s="41" t="s">
        <v>117</v>
      </c>
      <c r="S105" s="41" t="s">
        <v>696</v>
      </c>
      <c r="T105" s="64">
        <v>45920</v>
      </c>
      <c r="V105" s="41" t="s">
        <v>2203</v>
      </c>
      <c r="W105" s="41" t="s">
        <v>2204</v>
      </c>
      <c r="Y105" s="42"/>
      <c r="Z105" s="41" t="s">
        <v>170</v>
      </c>
      <c r="AA105" s="41" t="s">
        <v>1100</v>
      </c>
      <c r="AB105" s="41" t="s">
        <v>1972</v>
      </c>
      <c r="AC105" s="41" t="s">
        <v>2175</v>
      </c>
    </row>
    <row r="106" spans="6:29" ht="29" hidden="1" x14ac:dyDescent="0.35">
      <c r="F106" s="40" t="s">
        <v>1537</v>
      </c>
      <c r="G106" s="40" t="s">
        <v>603</v>
      </c>
      <c r="H106" s="40" t="s">
        <v>604</v>
      </c>
      <c r="I106" s="41" t="s">
        <v>605</v>
      </c>
      <c r="J106" s="41" t="s">
        <v>117</v>
      </c>
      <c r="K106" s="41" t="s">
        <v>695</v>
      </c>
      <c r="L106" s="41" t="s">
        <v>104</v>
      </c>
      <c r="M106" s="40" t="s">
        <v>658</v>
      </c>
      <c r="P106" s="40" t="s">
        <v>604</v>
      </c>
      <c r="Q106" s="41" t="s">
        <v>607</v>
      </c>
      <c r="R106" s="41" t="s">
        <v>117</v>
      </c>
      <c r="S106" s="41" t="s">
        <v>696</v>
      </c>
      <c r="T106" s="64">
        <v>45920</v>
      </c>
      <c r="V106" s="41" t="s">
        <v>2203</v>
      </c>
      <c r="W106" s="41" t="s">
        <v>2204</v>
      </c>
      <c r="Y106" s="42"/>
      <c r="Z106" s="41" t="s">
        <v>170</v>
      </c>
      <c r="AA106" s="41" t="s">
        <v>1101</v>
      </c>
      <c r="AB106" s="41" t="s">
        <v>1973</v>
      </c>
      <c r="AC106" s="41" t="s">
        <v>2175</v>
      </c>
    </row>
    <row r="107" spans="6:29" ht="29" hidden="1" x14ac:dyDescent="0.35">
      <c r="F107" s="40" t="s">
        <v>1538</v>
      </c>
      <c r="G107" s="40" t="s">
        <v>603</v>
      </c>
      <c r="H107" s="40" t="s">
        <v>604</v>
      </c>
      <c r="I107" s="41" t="s">
        <v>605</v>
      </c>
      <c r="J107" s="41" t="s">
        <v>117</v>
      </c>
      <c r="K107" s="41" t="s">
        <v>695</v>
      </c>
      <c r="L107" s="41" t="s">
        <v>104</v>
      </c>
      <c r="M107" s="40" t="s">
        <v>654</v>
      </c>
      <c r="P107" s="40" t="s">
        <v>604</v>
      </c>
      <c r="Q107" s="41" t="s">
        <v>607</v>
      </c>
      <c r="R107" s="41" t="s">
        <v>117</v>
      </c>
      <c r="S107" s="41" t="s">
        <v>696</v>
      </c>
      <c r="T107" s="64">
        <v>45920</v>
      </c>
      <c r="V107" s="41" t="s">
        <v>2203</v>
      </c>
      <c r="W107" s="41" t="s">
        <v>2204</v>
      </c>
      <c r="Y107" s="42"/>
      <c r="Z107" s="41" t="s">
        <v>170</v>
      </c>
      <c r="AA107" s="41" t="s">
        <v>1102</v>
      </c>
      <c r="AB107" s="41" t="s">
        <v>1974</v>
      </c>
      <c r="AC107" s="41" t="s">
        <v>2175</v>
      </c>
    </row>
    <row r="108" spans="6:29" ht="29" hidden="1" x14ac:dyDescent="0.35">
      <c r="F108" s="40" t="s">
        <v>1539</v>
      </c>
      <c r="G108" s="40" t="s">
        <v>603</v>
      </c>
      <c r="H108" s="40" t="s">
        <v>604</v>
      </c>
      <c r="I108" s="41" t="s">
        <v>605</v>
      </c>
      <c r="J108" s="41" t="s">
        <v>117</v>
      </c>
      <c r="K108" s="41" t="s">
        <v>695</v>
      </c>
      <c r="L108" s="41" t="s">
        <v>104</v>
      </c>
      <c r="M108" s="40" t="s">
        <v>685</v>
      </c>
      <c r="P108" s="40" t="s">
        <v>604</v>
      </c>
      <c r="Q108" s="41" t="s">
        <v>607</v>
      </c>
      <c r="R108" s="41" t="s">
        <v>117</v>
      </c>
      <c r="S108" s="41" t="s">
        <v>696</v>
      </c>
      <c r="T108" s="64">
        <v>45920</v>
      </c>
      <c r="V108" s="41" t="s">
        <v>2203</v>
      </c>
      <c r="W108" s="41" t="s">
        <v>2204</v>
      </c>
      <c r="Y108" s="42"/>
      <c r="Z108" s="41" t="s">
        <v>170</v>
      </c>
      <c r="AA108" s="41" t="s">
        <v>1103</v>
      </c>
      <c r="AB108" s="41" t="s">
        <v>1975</v>
      </c>
      <c r="AC108" s="41" t="s">
        <v>2175</v>
      </c>
    </row>
    <row r="109" spans="6:29" ht="29" hidden="1" x14ac:dyDescent="0.35">
      <c r="F109" s="40" t="s">
        <v>1540</v>
      </c>
      <c r="G109" s="40" t="s">
        <v>603</v>
      </c>
      <c r="H109" s="40" t="s">
        <v>604</v>
      </c>
      <c r="I109" s="41" t="s">
        <v>605</v>
      </c>
      <c r="J109" s="41" t="s">
        <v>117</v>
      </c>
      <c r="K109" s="41" t="s">
        <v>695</v>
      </c>
      <c r="L109" s="41" t="s">
        <v>104</v>
      </c>
      <c r="M109" s="40" t="s">
        <v>690</v>
      </c>
      <c r="P109" s="40" t="s">
        <v>604</v>
      </c>
      <c r="Q109" s="41" t="s">
        <v>607</v>
      </c>
      <c r="R109" s="41" t="s">
        <v>117</v>
      </c>
      <c r="S109" s="41" t="s">
        <v>696</v>
      </c>
      <c r="T109" s="64">
        <v>45920</v>
      </c>
      <c r="V109" s="41" t="s">
        <v>2203</v>
      </c>
      <c r="W109" s="41" t="s">
        <v>2204</v>
      </c>
      <c r="Y109" s="42"/>
      <c r="Z109" s="41" t="s">
        <v>170</v>
      </c>
      <c r="AA109" s="41" t="s">
        <v>1104</v>
      </c>
      <c r="AB109" s="41" t="s">
        <v>1976</v>
      </c>
      <c r="AC109" s="41" t="s">
        <v>2175</v>
      </c>
    </row>
    <row r="110" spans="6:29" ht="29" hidden="1" x14ac:dyDescent="0.35">
      <c r="F110" s="40" t="s">
        <v>1541</v>
      </c>
      <c r="G110" s="40" t="s">
        <v>603</v>
      </c>
      <c r="H110" s="40" t="s">
        <v>604</v>
      </c>
      <c r="I110" s="41" t="s">
        <v>605</v>
      </c>
      <c r="J110" s="41" t="s">
        <v>117</v>
      </c>
      <c r="K110" s="41" t="s">
        <v>695</v>
      </c>
      <c r="L110" s="41" t="s">
        <v>104</v>
      </c>
      <c r="M110" s="40" t="s">
        <v>678</v>
      </c>
      <c r="P110" s="40" t="s">
        <v>604</v>
      </c>
      <c r="Q110" s="41" t="s">
        <v>607</v>
      </c>
      <c r="R110" s="41" t="s">
        <v>117</v>
      </c>
      <c r="S110" s="41" t="s">
        <v>696</v>
      </c>
      <c r="T110" s="64">
        <v>45920</v>
      </c>
      <c r="V110" s="41" t="s">
        <v>2203</v>
      </c>
      <c r="W110" s="41" t="s">
        <v>2204</v>
      </c>
      <c r="Y110" s="42"/>
      <c r="Z110" s="41" t="s">
        <v>170</v>
      </c>
      <c r="AA110" s="41" t="s">
        <v>1105</v>
      </c>
      <c r="AB110" s="41" t="s">
        <v>1977</v>
      </c>
      <c r="AC110" s="41" t="s">
        <v>2175</v>
      </c>
    </row>
    <row r="111" spans="6:29" ht="29" hidden="1" x14ac:dyDescent="0.35">
      <c r="F111" s="40" t="s">
        <v>1542</v>
      </c>
      <c r="G111" s="40" t="s">
        <v>603</v>
      </c>
      <c r="H111" s="40" t="s">
        <v>604</v>
      </c>
      <c r="I111" s="41" t="s">
        <v>605</v>
      </c>
      <c r="J111" s="41" t="s">
        <v>117</v>
      </c>
      <c r="K111" s="41" t="s">
        <v>695</v>
      </c>
      <c r="L111" s="41" t="s">
        <v>104</v>
      </c>
      <c r="M111" s="40" t="s">
        <v>616</v>
      </c>
      <c r="P111" s="40" t="s">
        <v>604</v>
      </c>
      <c r="Q111" s="41" t="s">
        <v>607</v>
      </c>
      <c r="R111" s="41" t="s">
        <v>117</v>
      </c>
      <c r="S111" s="41" t="s">
        <v>696</v>
      </c>
      <c r="T111" s="64">
        <v>45920</v>
      </c>
      <c r="V111" s="41" t="s">
        <v>2203</v>
      </c>
      <c r="W111" s="41" t="s">
        <v>2204</v>
      </c>
      <c r="Y111" s="42"/>
      <c r="Z111" s="41" t="s">
        <v>170</v>
      </c>
      <c r="AA111" s="41" t="s">
        <v>1106</v>
      </c>
      <c r="AB111" s="41" t="s">
        <v>1978</v>
      </c>
      <c r="AC111" s="41" t="s">
        <v>2175</v>
      </c>
    </row>
    <row r="112" spans="6:29" hidden="1" x14ac:dyDescent="0.35">
      <c r="F112" s="40" t="s">
        <v>1543</v>
      </c>
      <c r="G112" s="40" t="s">
        <v>603</v>
      </c>
      <c r="H112" s="40" t="s">
        <v>604</v>
      </c>
      <c r="I112" s="41" t="s">
        <v>605</v>
      </c>
      <c r="J112" s="41" t="s">
        <v>117</v>
      </c>
      <c r="K112" s="41" t="s">
        <v>697</v>
      </c>
      <c r="L112" s="41" t="s">
        <v>104</v>
      </c>
      <c r="M112" s="40" t="s">
        <v>662</v>
      </c>
      <c r="P112" s="40" t="s">
        <v>604</v>
      </c>
      <c r="Q112" s="41" t="s">
        <v>607</v>
      </c>
      <c r="R112" s="41" t="s">
        <v>117</v>
      </c>
      <c r="S112" s="41" t="s">
        <v>698</v>
      </c>
      <c r="T112" s="64">
        <v>45920</v>
      </c>
      <c r="V112" s="41" t="s">
        <v>2203</v>
      </c>
      <c r="W112" s="41" t="s">
        <v>2204</v>
      </c>
      <c r="Y112" s="42"/>
      <c r="Z112" s="41" t="s">
        <v>170</v>
      </c>
      <c r="AA112" s="41" t="s">
        <v>1107</v>
      </c>
      <c r="AB112" s="41" t="s">
        <v>1979</v>
      </c>
      <c r="AC112" s="41" t="s">
        <v>2175</v>
      </c>
    </row>
    <row r="113" spans="6:29" x14ac:dyDescent="0.35">
      <c r="F113" s="40" t="s">
        <v>1544</v>
      </c>
      <c r="G113" s="40" t="s">
        <v>603</v>
      </c>
      <c r="H113" s="40" t="s">
        <v>604</v>
      </c>
      <c r="I113" s="41" t="s">
        <v>605</v>
      </c>
      <c r="J113" s="41" t="s">
        <v>117</v>
      </c>
      <c r="K113" s="41" t="s">
        <v>697</v>
      </c>
      <c r="L113" s="41" t="s">
        <v>104</v>
      </c>
      <c r="M113" s="40" t="s">
        <v>653</v>
      </c>
      <c r="P113" s="40" t="s">
        <v>604</v>
      </c>
      <c r="Q113" s="41" t="s">
        <v>605</v>
      </c>
      <c r="R113" s="41" t="s">
        <v>117</v>
      </c>
      <c r="S113" s="41" t="s">
        <v>698</v>
      </c>
      <c r="T113" s="64">
        <v>45920</v>
      </c>
      <c r="V113" s="41" t="s">
        <v>2203</v>
      </c>
      <c r="W113" s="41" t="s">
        <v>2204</v>
      </c>
      <c r="Y113" s="42"/>
      <c r="Z113" s="41" t="s">
        <v>170</v>
      </c>
      <c r="AA113" s="41" t="s">
        <v>1108</v>
      </c>
      <c r="AB113" s="41" t="s">
        <v>1980</v>
      </c>
      <c r="AC113" s="41" t="s">
        <v>2175</v>
      </c>
    </row>
    <row r="114" spans="6:29" hidden="1" x14ac:dyDescent="0.35">
      <c r="F114" s="40" t="s">
        <v>1545</v>
      </c>
      <c r="G114" s="40" t="s">
        <v>603</v>
      </c>
      <c r="H114" s="40" t="s">
        <v>604</v>
      </c>
      <c r="I114" s="41" t="s">
        <v>607</v>
      </c>
      <c r="J114" s="41" t="s">
        <v>117</v>
      </c>
      <c r="K114" s="41">
        <v>514</v>
      </c>
      <c r="L114" s="41" t="s">
        <v>104</v>
      </c>
      <c r="M114" s="40" t="s">
        <v>654</v>
      </c>
      <c r="P114" s="40" t="s">
        <v>604</v>
      </c>
      <c r="Q114" s="41" t="s">
        <v>607</v>
      </c>
      <c r="R114" s="41" t="s">
        <v>117</v>
      </c>
      <c r="S114" s="41">
        <v>514</v>
      </c>
      <c r="T114" s="64">
        <v>45920</v>
      </c>
      <c r="V114" s="41" t="s">
        <v>2203</v>
      </c>
      <c r="W114" s="41" t="s">
        <v>2204</v>
      </c>
      <c r="Y114" s="42"/>
      <c r="Z114" s="41" t="s">
        <v>170</v>
      </c>
      <c r="AA114" s="41" t="s">
        <v>1109</v>
      </c>
      <c r="AB114" s="41" t="s">
        <v>1981</v>
      </c>
      <c r="AC114" s="41" t="s">
        <v>2175</v>
      </c>
    </row>
    <row r="115" spans="6:29" hidden="1" x14ac:dyDescent="0.35">
      <c r="F115" s="40" t="s">
        <v>1546</v>
      </c>
      <c r="G115" s="40" t="s">
        <v>603</v>
      </c>
      <c r="H115" s="40" t="s">
        <v>604</v>
      </c>
      <c r="I115" s="41" t="s">
        <v>605</v>
      </c>
      <c r="J115" s="41" t="s">
        <v>117</v>
      </c>
      <c r="K115" s="41" t="s">
        <v>697</v>
      </c>
      <c r="L115" s="41" t="s">
        <v>104</v>
      </c>
      <c r="M115" s="40" t="s">
        <v>658</v>
      </c>
      <c r="P115" s="40" t="s">
        <v>604</v>
      </c>
      <c r="Q115" s="41" t="s">
        <v>607</v>
      </c>
      <c r="R115" s="41" t="s">
        <v>117</v>
      </c>
      <c r="S115" s="41" t="s">
        <v>2215</v>
      </c>
      <c r="T115" s="64">
        <v>45920</v>
      </c>
      <c r="V115" s="41" t="s">
        <v>2203</v>
      </c>
      <c r="W115" s="41" t="s">
        <v>2204</v>
      </c>
      <c r="Y115" s="42"/>
      <c r="Z115" s="41" t="s">
        <v>170</v>
      </c>
      <c r="AA115" s="41" t="s">
        <v>1110</v>
      </c>
      <c r="AB115" s="41" t="s">
        <v>1982</v>
      </c>
      <c r="AC115" s="41" t="s">
        <v>2175</v>
      </c>
    </row>
    <row r="116" spans="6:29" x14ac:dyDescent="0.35">
      <c r="F116" s="40" t="s">
        <v>1547</v>
      </c>
      <c r="G116" s="40" t="s">
        <v>603</v>
      </c>
      <c r="H116" s="40" t="s">
        <v>604</v>
      </c>
      <c r="I116" s="41" t="s">
        <v>605</v>
      </c>
      <c r="J116" s="41" t="s">
        <v>117</v>
      </c>
      <c r="K116" s="41" t="s">
        <v>697</v>
      </c>
      <c r="L116" s="41" t="s">
        <v>104</v>
      </c>
      <c r="M116" s="40" t="s">
        <v>685</v>
      </c>
      <c r="P116" s="40" t="s">
        <v>604</v>
      </c>
      <c r="Q116" s="41" t="s">
        <v>605</v>
      </c>
      <c r="R116" s="41" t="s">
        <v>117</v>
      </c>
      <c r="S116" s="41" t="s">
        <v>697</v>
      </c>
      <c r="T116" s="64">
        <v>45920</v>
      </c>
      <c r="V116" s="41" t="s">
        <v>2203</v>
      </c>
      <c r="W116" s="41" t="s">
        <v>2204</v>
      </c>
      <c r="Y116" s="42"/>
      <c r="Z116" s="41" t="s">
        <v>170</v>
      </c>
      <c r="AA116" s="41" t="s">
        <v>1111</v>
      </c>
      <c r="AB116" s="41" t="s">
        <v>1983</v>
      </c>
      <c r="AC116" s="41" t="s">
        <v>2175</v>
      </c>
    </row>
    <row r="117" spans="6:29" x14ac:dyDescent="0.35">
      <c r="F117" s="40" t="s">
        <v>1548</v>
      </c>
      <c r="G117" s="40" t="s">
        <v>603</v>
      </c>
      <c r="H117" s="40" t="s">
        <v>604</v>
      </c>
      <c r="I117" s="41" t="s">
        <v>605</v>
      </c>
      <c r="J117" s="41" t="s">
        <v>102</v>
      </c>
      <c r="K117" s="41" t="s">
        <v>2212</v>
      </c>
      <c r="L117" s="41" t="s">
        <v>104</v>
      </c>
      <c r="M117" s="40" t="s">
        <v>608</v>
      </c>
      <c r="P117" s="40" t="s">
        <v>604</v>
      </c>
      <c r="Q117" s="41" t="s">
        <v>605</v>
      </c>
      <c r="R117" s="41" t="s">
        <v>102</v>
      </c>
      <c r="S117" s="41" t="s">
        <v>2212</v>
      </c>
      <c r="T117" s="64">
        <v>45920</v>
      </c>
      <c r="V117" s="41" t="s">
        <v>2203</v>
      </c>
      <c r="W117" s="41" t="s">
        <v>2204</v>
      </c>
      <c r="Y117" s="42"/>
      <c r="Z117" s="41" t="s">
        <v>170</v>
      </c>
      <c r="AA117" s="41" t="s">
        <v>1112</v>
      </c>
      <c r="AB117" s="41" t="s">
        <v>1984</v>
      </c>
      <c r="AC117" s="41" t="s">
        <v>2175</v>
      </c>
    </row>
    <row r="118" spans="6:29" hidden="1" x14ac:dyDescent="0.35">
      <c r="F118" s="40" t="s">
        <v>1549</v>
      </c>
      <c r="G118" s="40" t="s">
        <v>603</v>
      </c>
      <c r="H118" s="40" t="s">
        <v>604</v>
      </c>
      <c r="I118" s="41" t="s">
        <v>605</v>
      </c>
      <c r="J118" s="41" t="s">
        <v>117</v>
      </c>
      <c r="K118" s="41" t="s">
        <v>699</v>
      </c>
      <c r="L118" s="41" t="s">
        <v>104</v>
      </c>
      <c r="M118" s="40" t="s">
        <v>658</v>
      </c>
      <c r="P118" s="40" t="s">
        <v>604</v>
      </c>
      <c r="Q118" s="41" t="s">
        <v>607</v>
      </c>
      <c r="R118" s="41" t="s">
        <v>117</v>
      </c>
      <c r="S118" s="41" t="s">
        <v>697</v>
      </c>
      <c r="T118" s="64">
        <v>45920</v>
      </c>
      <c r="V118" s="41" t="s">
        <v>2203</v>
      </c>
      <c r="W118" s="41" t="s">
        <v>2204</v>
      </c>
      <c r="Y118" s="42"/>
      <c r="Z118" s="41" t="s">
        <v>170</v>
      </c>
      <c r="AA118" s="41" t="s">
        <v>1113</v>
      </c>
      <c r="AB118" s="41" t="s">
        <v>1985</v>
      </c>
      <c r="AC118" s="41" t="s">
        <v>2175</v>
      </c>
    </row>
    <row r="119" spans="6:29" x14ac:dyDescent="0.35">
      <c r="F119" s="40" t="s">
        <v>1550</v>
      </c>
      <c r="G119" s="40" t="s">
        <v>603</v>
      </c>
      <c r="H119" s="40" t="s">
        <v>604</v>
      </c>
      <c r="I119" s="41" t="s">
        <v>605</v>
      </c>
      <c r="J119" s="41" t="s">
        <v>117</v>
      </c>
      <c r="K119" s="41" t="s">
        <v>699</v>
      </c>
      <c r="L119" s="41" t="s">
        <v>104</v>
      </c>
      <c r="M119" s="40" t="s">
        <v>694</v>
      </c>
      <c r="P119" s="40" t="s">
        <v>604</v>
      </c>
      <c r="Q119" s="41" t="s">
        <v>605</v>
      </c>
      <c r="R119" s="41" t="s">
        <v>117</v>
      </c>
      <c r="S119" s="41" t="s">
        <v>699</v>
      </c>
      <c r="T119" s="64">
        <v>45920</v>
      </c>
      <c r="V119" s="41" t="s">
        <v>2203</v>
      </c>
      <c r="W119" s="41" t="s">
        <v>2204</v>
      </c>
      <c r="Y119" s="42"/>
      <c r="Z119" s="41" t="s">
        <v>170</v>
      </c>
      <c r="AA119" s="41" t="s">
        <v>1114</v>
      </c>
      <c r="AB119" s="41" t="s">
        <v>1986</v>
      </c>
      <c r="AC119" s="41" t="s">
        <v>2175</v>
      </c>
    </row>
    <row r="120" spans="6:29" hidden="1" x14ac:dyDescent="0.35">
      <c r="F120" s="40" t="s">
        <v>1551</v>
      </c>
      <c r="G120" s="40" t="s">
        <v>603</v>
      </c>
      <c r="H120" s="40" t="s">
        <v>604</v>
      </c>
      <c r="I120" s="41" t="s">
        <v>607</v>
      </c>
      <c r="J120" s="41" t="s">
        <v>117</v>
      </c>
      <c r="K120" s="41" t="s">
        <v>699</v>
      </c>
      <c r="L120" s="41" t="s">
        <v>104</v>
      </c>
      <c r="M120" s="40" t="s">
        <v>616</v>
      </c>
      <c r="P120" s="40" t="s">
        <v>604</v>
      </c>
      <c r="Q120" s="41" t="s">
        <v>607</v>
      </c>
      <c r="R120" s="41" t="s">
        <v>117</v>
      </c>
      <c r="S120" s="41">
        <v>512</v>
      </c>
      <c r="T120" s="64">
        <v>45920</v>
      </c>
      <c r="V120" s="41" t="s">
        <v>2203</v>
      </c>
      <c r="W120" s="41" t="s">
        <v>2204</v>
      </c>
      <c r="Y120" s="42"/>
      <c r="Z120" s="41" t="s">
        <v>170</v>
      </c>
      <c r="AA120" s="41" t="s">
        <v>1115</v>
      </c>
      <c r="AB120" s="41" t="s">
        <v>1987</v>
      </c>
      <c r="AC120" s="41" t="s">
        <v>2175</v>
      </c>
    </row>
    <row r="121" spans="6:29" x14ac:dyDescent="0.35">
      <c r="F121" s="40" t="s">
        <v>1552</v>
      </c>
      <c r="G121" s="40" t="s">
        <v>603</v>
      </c>
      <c r="H121" s="40" t="s">
        <v>604</v>
      </c>
      <c r="I121" s="41" t="s">
        <v>605</v>
      </c>
      <c r="J121" s="41" t="s">
        <v>102</v>
      </c>
      <c r="K121" s="41" t="s">
        <v>2212</v>
      </c>
      <c r="L121" s="41" t="s">
        <v>104</v>
      </c>
      <c r="M121" s="40" t="s">
        <v>608</v>
      </c>
      <c r="P121" s="40" t="s">
        <v>604</v>
      </c>
      <c r="Q121" s="41" t="s">
        <v>605</v>
      </c>
      <c r="R121" s="41" t="s">
        <v>102</v>
      </c>
      <c r="S121" s="41" t="s">
        <v>2212</v>
      </c>
      <c r="T121" s="64">
        <v>45920</v>
      </c>
      <c r="V121" s="41" t="s">
        <v>2203</v>
      </c>
      <c r="W121" s="41" t="s">
        <v>2204</v>
      </c>
      <c r="Y121" s="42"/>
      <c r="Z121" s="41" t="s">
        <v>170</v>
      </c>
      <c r="AA121" s="41" t="s">
        <v>1116</v>
      </c>
      <c r="AB121" s="41" t="s">
        <v>1988</v>
      </c>
      <c r="AC121" s="41" t="s">
        <v>2175</v>
      </c>
    </row>
    <row r="122" spans="6:29" x14ac:dyDescent="0.35">
      <c r="F122" s="40" t="s">
        <v>1553</v>
      </c>
      <c r="G122" s="40" t="s">
        <v>603</v>
      </c>
      <c r="H122" s="40" t="s">
        <v>604</v>
      </c>
      <c r="I122" s="41" t="s">
        <v>605</v>
      </c>
      <c r="J122" s="41" t="s">
        <v>117</v>
      </c>
      <c r="K122" s="41" t="s">
        <v>699</v>
      </c>
      <c r="L122" s="41" t="s">
        <v>104</v>
      </c>
      <c r="M122" s="40" t="s">
        <v>701</v>
      </c>
      <c r="P122" s="40" t="s">
        <v>604</v>
      </c>
      <c r="Q122" s="41" t="s">
        <v>605</v>
      </c>
      <c r="R122" s="41" t="s">
        <v>117</v>
      </c>
      <c r="S122" s="41" t="s">
        <v>699</v>
      </c>
      <c r="T122" s="64">
        <v>45920</v>
      </c>
      <c r="V122" s="41" t="s">
        <v>2203</v>
      </c>
      <c r="W122" s="41" t="s">
        <v>2204</v>
      </c>
      <c r="Y122" s="42"/>
      <c r="Z122" s="41" t="s">
        <v>170</v>
      </c>
      <c r="AA122" s="41" t="s">
        <v>1117</v>
      </c>
      <c r="AB122" s="41" t="s">
        <v>1989</v>
      </c>
      <c r="AC122" s="41" t="s">
        <v>2175</v>
      </c>
    </row>
    <row r="123" spans="6:29" hidden="1" x14ac:dyDescent="0.35">
      <c r="F123" s="40" t="s">
        <v>1554</v>
      </c>
      <c r="G123" s="40" t="s">
        <v>603</v>
      </c>
      <c r="H123" s="40" t="s">
        <v>604</v>
      </c>
      <c r="I123" s="41" t="s">
        <v>605</v>
      </c>
      <c r="J123" s="41" t="s">
        <v>117</v>
      </c>
      <c r="K123" s="41" t="s">
        <v>699</v>
      </c>
      <c r="L123" s="41" t="s">
        <v>104</v>
      </c>
      <c r="M123" s="40" t="s">
        <v>664</v>
      </c>
      <c r="P123" s="40" t="s">
        <v>604</v>
      </c>
      <c r="Q123" s="41" t="s">
        <v>607</v>
      </c>
      <c r="R123" s="41" t="s">
        <v>117</v>
      </c>
      <c r="S123" s="41" t="s">
        <v>700</v>
      </c>
      <c r="T123" s="64">
        <v>45920</v>
      </c>
      <c r="V123" s="41" t="s">
        <v>2203</v>
      </c>
      <c r="W123" s="41" t="s">
        <v>2204</v>
      </c>
      <c r="Y123" s="42"/>
      <c r="Z123" s="41" t="s">
        <v>170</v>
      </c>
      <c r="AA123" s="41" t="s">
        <v>1118</v>
      </c>
      <c r="AB123" s="41" t="s">
        <v>1990</v>
      </c>
      <c r="AC123" s="41" t="s">
        <v>2175</v>
      </c>
    </row>
    <row r="124" spans="6:29" x14ac:dyDescent="0.35">
      <c r="F124" s="40" t="s">
        <v>1555</v>
      </c>
      <c r="G124" s="40" t="s">
        <v>603</v>
      </c>
      <c r="H124" s="40" t="s">
        <v>604</v>
      </c>
      <c r="I124" s="41" t="s">
        <v>605</v>
      </c>
      <c r="J124" s="41" t="s">
        <v>117</v>
      </c>
      <c r="K124" s="41" t="s">
        <v>699</v>
      </c>
      <c r="L124" s="41" t="s">
        <v>104</v>
      </c>
      <c r="M124" s="40" t="s">
        <v>653</v>
      </c>
      <c r="P124" s="40" t="s">
        <v>604</v>
      </c>
      <c r="Q124" s="41" t="s">
        <v>605</v>
      </c>
      <c r="R124" s="41" t="s">
        <v>117</v>
      </c>
      <c r="S124" s="41" t="s">
        <v>699</v>
      </c>
      <c r="T124" s="64">
        <v>45920</v>
      </c>
      <c r="V124" s="41" t="s">
        <v>2203</v>
      </c>
      <c r="W124" s="41" t="s">
        <v>2204</v>
      </c>
      <c r="Y124" s="42"/>
      <c r="Z124" s="41" t="s">
        <v>170</v>
      </c>
      <c r="AA124" s="41" t="s">
        <v>1119</v>
      </c>
      <c r="AB124" s="41" t="s">
        <v>1991</v>
      </c>
      <c r="AC124" s="41" t="s">
        <v>2175</v>
      </c>
    </row>
    <row r="125" spans="6:29" hidden="1" x14ac:dyDescent="0.35">
      <c r="F125" s="40" t="s">
        <v>1556</v>
      </c>
      <c r="G125" s="40" t="s">
        <v>603</v>
      </c>
      <c r="H125" s="40" t="s">
        <v>604</v>
      </c>
      <c r="I125" s="41" t="s">
        <v>605</v>
      </c>
      <c r="J125" s="41" t="s">
        <v>117</v>
      </c>
      <c r="K125" s="41" t="s">
        <v>699</v>
      </c>
      <c r="L125" s="41" t="s">
        <v>104</v>
      </c>
      <c r="M125" s="40" t="s">
        <v>678</v>
      </c>
      <c r="P125" s="40" t="s">
        <v>604</v>
      </c>
      <c r="Q125" s="41" t="s">
        <v>607</v>
      </c>
      <c r="R125" s="41" t="s">
        <v>117</v>
      </c>
      <c r="S125" s="41" t="s">
        <v>700</v>
      </c>
      <c r="T125" s="64">
        <v>45920</v>
      </c>
      <c r="V125" s="41" t="s">
        <v>2203</v>
      </c>
      <c r="W125" s="41" t="s">
        <v>2204</v>
      </c>
      <c r="Y125" s="42"/>
      <c r="Z125" s="41" t="s">
        <v>170</v>
      </c>
      <c r="AA125" s="41" t="s">
        <v>1120</v>
      </c>
      <c r="AB125" s="41" t="s">
        <v>1992</v>
      </c>
      <c r="AC125" s="41" t="s">
        <v>2175</v>
      </c>
    </row>
    <row r="126" spans="6:29" hidden="1" x14ac:dyDescent="0.35">
      <c r="F126" s="40" t="s">
        <v>1557</v>
      </c>
      <c r="G126" s="40" t="s">
        <v>603</v>
      </c>
      <c r="H126" s="40" t="s">
        <v>604</v>
      </c>
      <c r="I126" s="41" t="s">
        <v>605</v>
      </c>
      <c r="J126" s="41" t="s">
        <v>117</v>
      </c>
      <c r="K126" s="41" t="s">
        <v>699</v>
      </c>
      <c r="L126" s="41" t="s">
        <v>104</v>
      </c>
      <c r="M126" s="40" t="s">
        <v>656</v>
      </c>
      <c r="P126" s="40" t="s">
        <v>604</v>
      </c>
      <c r="Q126" s="41" t="s">
        <v>607</v>
      </c>
      <c r="R126" s="41" t="s">
        <v>117</v>
      </c>
      <c r="S126" s="41" t="s">
        <v>700</v>
      </c>
      <c r="T126" s="64">
        <v>45920</v>
      </c>
      <c r="V126" s="41" t="s">
        <v>2203</v>
      </c>
      <c r="W126" s="41" t="s">
        <v>2204</v>
      </c>
      <c r="Y126" s="42"/>
      <c r="Z126" s="41" t="s">
        <v>170</v>
      </c>
      <c r="AA126" s="41" t="s">
        <v>1121</v>
      </c>
      <c r="AB126" s="41" t="s">
        <v>1993</v>
      </c>
      <c r="AC126" s="41" t="s">
        <v>2175</v>
      </c>
    </row>
    <row r="127" spans="6:29" hidden="1" x14ac:dyDescent="0.35">
      <c r="F127" s="40" t="s">
        <v>1558</v>
      </c>
      <c r="G127" s="40" t="s">
        <v>603</v>
      </c>
      <c r="H127" s="40" t="s">
        <v>604</v>
      </c>
      <c r="I127" s="41" t="s">
        <v>605</v>
      </c>
      <c r="J127" s="41" t="s">
        <v>117</v>
      </c>
      <c r="K127" s="41" t="s">
        <v>699</v>
      </c>
      <c r="L127" s="41" t="s">
        <v>104</v>
      </c>
      <c r="M127" s="40" t="s">
        <v>654</v>
      </c>
      <c r="P127" s="40" t="s">
        <v>604</v>
      </c>
      <c r="Q127" s="41" t="s">
        <v>607</v>
      </c>
      <c r="R127" s="41" t="s">
        <v>117</v>
      </c>
      <c r="S127" s="41" t="s">
        <v>700</v>
      </c>
      <c r="T127" s="64">
        <v>45920</v>
      </c>
      <c r="V127" s="41" t="s">
        <v>2203</v>
      </c>
      <c r="W127" s="41" t="s">
        <v>2204</v>
      </c>
      <c r="Y127" s="42"/>
      <c r="Z127" s="41" t="s">
        <v>170</v>
      </c>
      <c r="AA127" s="41" t="s">
        <v>1122</v>
      </c>
      <c r="AB127" s="41" t="s">
        <v>1994</v>
      </c>
      <c r="AC127" s="41" t="s">
        <v>2175</v>
      </c>
    </row>
    <row r="128" spans="6:29" hidden="1" x14ac:dyDescent="0.35">
      <c r="F128" s="40" t="s">
        <v>1559</v>
      </c>
      <c r="G128" s="40" t="s">
        <v>603</v>
      </c>
      <c r="H128" s="40" t="s">
        <v>604</v>
      </c>
      <c r="I128" s="41" t="s">
        <v>605</v>
      </c>
      <c r="J128" s="41" t="s">
        <v>117</v>
      </c>
      <c r="K128" s="41" t="s">
        <v>699</v>
      </c>
      <c r="L128" s="41" t="s">
        <v>104</v>
      </c>
      <c r="M128" s="40" t="s">
        <v>654</v>
      </c>
      <c r="P128" s="40" t="s">
        <v>604</v>
      </c>
      <c r="Q128" s="41" t="s">
        <v>607</v>
      </c>
      <c r="R128" s="41" t="s">
        <v>117</v>
      </c>
      <c r="S128" s="41" t="s">
        <v>700</v>
      </c>
      <c r="T128" s="64">
        <v>45920</v>
      </c>
      <c r="V128" s="41" t="s">
        <v>2203</v>
      </c>
      <c r="W128" s="41" t="s">
        <v>2204</v>
      </c>
      <c r="Y128" s="42"/>
      <c r="Z128" s="41" t="s">
        <v>170</v>
      </c>
      <c r="AA128" s="41" t="s">
        <v>1123</v>
      </c>
      <c r="AB128" s="41" t="s">
        <v>1995</v>
      </c>
      <c r="AC128" s="41" t="s">
        <v>2175</v>
      </c>
    </row>
    <row r="129" spans="6:29" hidden="1" x14ac:dyDescent="0.35">
      <c r="F129" s="40" t="s">
        <v>1560</v>
      </c>
      <c r="G129" s="40" t="s">
        <v>603</v>
      </c>
      <c r="H129" s="40" t="s">
        <v>604</v>
      </c>
      <c r="I129" s="41" t="s">
        <v>605</v>
      </c>
      <c r="J129" s="41" t="s">
        <v>117</v>
      </c>
      <c r="K129" s="41" t="s">
        <v>699</v>
      </c>
      <c r="L129" s="41" t="s">
        <v>104</v>
      </c>
      <c r="M129" s="40" t="s">
        <v>628</v>
      </c>
      <c r="P129" s="40" t="s">
        <v>604</v>
      </c>
      <c r="Q129" s="41" t="s">
        <v>607</v>
      </c>
      <c r="R129" s="41" t="s">
        <v>117</v>
      </c>
      <c r="S129" s="41" t="s">
        <v>700</v>
      </c>
      <c r="T129" s="64">
        <v>45920</v>
      </c>
      <c r="V129" s="41" t="s">
        <v>2203</v>
      </c>
      <c r="W129" s="41" t="s">
        <v>2204</v>
      </c>
      <c r="Y129" s="42"/>
      <c r="Z129" s="41" t="s">
        <v>170</v>
      </c>
      <c r="AA129" s="41" t="s">
        <v>1124</v>
      </c>
      <c r="AB129" s="41" t="s">
        <v>1996</v>
      </c>
      <c r="AC129" s="41" t="s">
        <v>2175</v>
      </c>
    </row>
    <row r="130" spans="6:29" x14ac:dyDescent="0.35">
      <c r="F130" s="40" t="s">
        <v>1561</v>
      </c>
      <c r="G130" s="40" t="s">
        <v>603</v>
      </c>
      <c r="H130" s="40" t="s">
        <v>604</v>
      </c>
      <c r="I130" s="41" t="s">
        <v>605</v>
      </c>
      <c r="J130" s="41" t="s">
        <v>117</v>
      </c>
      <c r="K130" s="41" t="s">
        <v>699</v>
      </c>
      <c r="L130" s="41" t="s">
        <v>104</v>
      </c>
      <c r="M130" s="40" t="s">
        <v>703</v>
      </c>
      <c r="P130" s="40" t="s">
        <v>604</v>
      </c>
      <c r="Q130" s="41" t="s">
        <v>607</v>
      </c>
      <c r="R130" s="41" t="s">
        <v>117</v>
      </c>
      <c r="S130" s="41">
        <v>512</v>
      </c>
      <c r="T130" s="64">
        <v>45920</v>
      </c>
      <c r="V130" s="41" t="s">
        <v>2203</v>
      </c>
      <c r="W130" s="41" t="s">
        <v>2204</v>
      </c>
      <c r="Y130" s="42"/>
      <c r="Z130" s="41" t="s">
        <v>170</v>
      </c>
      <c r="AA130" s="41" t="s">
        <v>1125</v>
      </c>
      <c r="AB130" s="41" t="s">
        <v>1997</v>
      </c>
      <c r="AC130" s="41" t="s">
        <v>2175</v>
      </c>
    </row>
    <row r="131" spans="6:29" hidden="1" x14ac:dyDescent="0.35">
      <c r="F131" s="40" t="s">
        <v>1562</v>
      </c>
      <c r="G131" s="40" t="s">
        <v>603</v>
      </c>
      <c r="H131" s="40" t="s">
        <v>604</v>
      </c>
      <c r="I131" s="41" t="s">
        <v>605</v>
      </c>
      <c r="J131" s="41" t="s">
        <v>117</v>
      </c>
      <c r="K131" s="41" t="s">
        <v>705</v>
      </c>
      <c r="L131" s="41" t="s">
        <v>104</v>
      </c>
      <c r="M131" s="40" t="s">
        <v>658</v>
      </c>
      <c r="P131" s="40" t="s">
        <v>604</v>
      </c>
      <c r="Q131" s="41" t="s">
        <v>607</v>
      </c>
      <c r="R131" s="41" t="s">
        <v>117</v>
      </c>
      <c r="S131" s="41" t="s">
        <v>706</v>
      </c>
      <c r="T131" s="64">
        <v>45920</v>
      </c>
      <c r="V131" s="41" t="s">
        <v>2203</v>
      </c>
      <c r="W131" s="41" t="s">
        <v>2204</v>
      </c>
      <c r="Y131" s="42"/>
      <c r="Z131" s="41" t="s">
        <v>170</v>
      </c>
      <c r="AA131" s="41" t="s">
        <v>1126</v>
      </c>
      <c r="AB131" s="41" t="s">
        <v>1998</v>
      </c>
      <c r="AC131" s="41" t="s">
        <v>2175</v>
      </c>
    </row>
    <row r="132" spans="6:29" hidden="1" x14ac:dyDescent="0.35">
      <c r="F132" s="40" t="s">
        <v>1563</v>
      </c>
      <c r="G132" s="40" t="s">
        <v>603</v>
      </c>
      <c r="H132" s="40" t="s">
        <v>604</v>
      </c>
      <c r="I132" s="41" t="s">
        <v>605</v>
      </c>
      <c r="J132" s="41" t="s">
        <v>117</v>
      </c>
      <c r="K132" s="41" t="s">
        <v>705</v>
      </c>
      <c r="L132" s="41" t="s">
        <v>104</v>
      </c>
      <c r="M132" s="40" t="s">
        <v>694</v>
      </c>
      <c r="P132" s="40" t="s">
        <v>604</v>
      </c>
      <c r="Q132" s="41" t="s">
        <v>607</v>
      </c>
      <c r="R132" s="41" t="s">
        <v>117</v>
      </c>
      <c r="S132" s="41" t="s">
        <v>706</v>
      </c>
      <c r="T132" s="64">
        <v>45920</v>
      </c>
      <c r="V132" s="41" t="s">
        <v>2203</v>
      </c>
      <c r="W132" s="41" t="s">
        <v>2204</v>
      </c>
      <c r="Y132" s="42"/>
      <c r="Z132" s="41" t="s">
        <v>170</v>
      </c>
      <c r="AA132" s="41" t="s">
        <v>1127</v>
      </c>
      <c r="AB132" s="41" t="s">
        <v>1999</v>
      </c>
      <c r="AC132" s="41" t="s">
        <v>2175</v>
      </c>
    </row>
    <row r="133" spans="6:29" hidden="1" x14ac:dyDescent="0.35">
      <c r="F133" s="40" t="s">
        <v>1564</v>
      </c>
      <c r="G133" s="40" t="s">
        <v>603</v>
      </c>
      <c r="H133" s="40" t="s">
        <v>604</v>
      </c>
      <c r="I133" s="41" t="s">
        <v>605</v>
      </c>
      <c r="J133" s="41" t="s">
        <v>117</v>
      </c>
      <c r="K133" s="41" t="s">
        <v>705</v>
      </c>
      <c r="L133" s="41" t="s">
        <v>104</v>
      </c>
      <c r="M133" s="40" t="s">
        <v>616</v>
      </c>
      <c r="P133" s="40" t="s">
        <v>604</v>
      </c>
      <c r="Q133" s="41" t="s">
        <v>607</v>
      </c>
      <c r="R133" s="41" t="s">
        <v>117</v>
      </c>
      <c r="S133" s="41" t="s">
        <v>706</v>
      </c>
      <c r="T133" s="64">
        <v>45920</v>
      </c>
      <c r="V133" s="41" t="s">
        <v>2203</v>
      </c>
      <c r="W133" s="41" t="s">
        <v>2204</v>
      </c>
      <c r="Y133" s="42"/>
      <c r="Z133" s="41" t="s">
        <v>170</v>
      </c>
      <c r="AA133" s="41" t="s">
        <v>1128</v>
      </c>
      <c r="AB133" s="41" t="s">
        <v>2000</v>
      </c>
      <c r="AC133" s="41" t="s">
        <v>2175</v>
      </c>
    </row>
    <row r="134" spans="6:29" x14ac:dyDescent="0.35">
      <c r="F134" s="40" t="s">
        <v>1565</v>
      </c>
      <c r="G134" s="40" t="s">
        <v>603</v>
      </c>
      <c r="H134" s="40" t="s">
        <v>604</v>
      </c>
      <c r="I134" s="41" t="s">
        <v>605</v>
      </c>
      <c r="J134" s="41" t="s">
        <v>102</v>
      </c>
      <c r="K134" s="41" t="s">
        <v>2212</v>
      </c>
      <c r="L134" s="41" t="s">
        <v>104</v>
      </c>
      <c r="M134" s="40" t="s">
        <v>608</v>
      </c>
      <c r="P134" s="40" t="s">
        <v>604</v>
      </c>
      <c r="Q134" s="41" t="s">
        <v>605</v>
      </c>
      <c r="R134" s="41" t="s">
        <v>102</v>
      </c>
      <c r="S134" s="41" t="s">
        <v>2212</v>
      </c>
      <c r="T134" s="64">
        <v>45920</v>
      </c>
      <c r="V134" s="41" t="s">
        <v>2203</v>
      </c>
      <c r="W134" s="41" t="s">
        <v>2204</v>
      </c>
      <c r="Y134" s="42"/>
      <c r="Z134" s="41" t="s">
        <v>170</v>
      </c>
      <c r="AA134" s="41" t="s">
        <v>1129</v>
      </c>
      <c r="AB134" s="41" t="s">
        <v>2001</v>
      </c>
      <c r="AC134" s="41" t="s">
        <v>2175</v>
      </c>
    </row>
    <row r="135" spans="6:29" hidden="1" x14ac:dyDescent="0.35">
      <c r="F135" s="40" t="s">
        <v>1566</v>
      </c>
      <c r="G135" s="40" t="s">
        <v>603</v>
      </c>
      <c r="H135" s="40" t="s">
        <v>604</v>
      </c>
      <c r="I135" s="41" t="s">
        <v>605</v>
      </c>
      <c r="J135" s="41" t="s">
        <v>117</v>
      </c>
      <c r="K135" s="41" t="s">
        <v>705</v>
      </c>
      <c r="L135" s="41" t="s">
        <v>104</v>
      </c>
      <c r="M135" s="40" t="s">
        <v>654</v>
      </c>
      <c r="P135" s="40" t="s">
        <v>604</v>
      </c>
      <c r="Q135" s="41" t="s">
        <v>607</v>
      </c>
      <c r="R135" s="41" t="s">
        <v>117</v>
      </c>
      <c r="S135" s="41" t="s">
        <v>706</v>
      </c>
      <c r="T135" s="64">
        <v>45920</v>
      </c>
      <c r="V135" s="41" t="s">
        <v>2203</v>
      </c>
      <c r="W135" s="41" t="s">
        <v>2204</v>
      </c>
      <c r="Y135" s="42"/>
      <c r="Z135" s="41" t="s">
        <v>170</v>
      </c>
      <c r="AA135" s="41" t="s">
        <v>1130</v>
      </c>
      <c r="AB135" s="41" t="s">
        <v>2002</v>
      </c>
      <c r="AC135" s="41" t="s">
        <v>2175</v>
      </c>
    </row>
    <row r="136" spans="6:29" hidden="1" x14ac:dyDescent="0.35">
      <c r="F136" s="40" t="s">
        <v>1567</v>
      </c>
      <c r="G136" s="40" t="s">
        <v>603</v>
      </c>
      <c r="H136" s="40" t="s">
        <v>604</v>
      </c>
      <c r="I136" s="41" t="s">
        <v>605</v>
      </c>
      <c r="J136" s="41" t="s">
        <v>117</v>
      </c>
      <c r="K136" s="41" t="s">
        <v>705</v>
      </c>
      <c r="L136" s="41" t="s">
        <v>104</v>
      </c>
      <c r="M136" s="40" t="s">
        <v>656</v>
      </c>
      <c r="P136" s="40" t="s">
        <v>604</v>
      </c>
      <c r="Q136" s="41" t="s">
        <v>607</v>
      </c>
      <c r="R136" s="41" t="s">
        <v>117</v>
      </c>
      <c r="S136" s="41" t="s">
        <v>706</v>
      </c>
      <c r="T136" s="64">
        <v>45920</v>
      </c>
      <c r="V136" s="41" t="s">
        <v>2203</v>
      </c>
      <c r="W136" s="41" t="s">
        <v>2204</v>
      </c>
      <c r="Y136" s="42"/>
      <c r="Z136" s="41" t="s">
        <v>170</v>
      </c>
      <c r="AA136" s="41" t="s">
        <v>1131</v>
      </c>
      <c r="AB136" s="41" t="s">
        <v>2003</v>
      </c>
      <c r="AC136" s="41" t="s">
        <v>2175</v>
      </c>
    </row>
    <row r="137" spans="6:29" hidden="1" x14ac:dyDescent="0.35">
      <c r="F137" s="40" t="s">
        <v>1568</v>
      </c>
      <c r="G137" s="40" t="s">
        <v>603</v>
      </c>
      <c r="H137" s="40" t="s">
        <v>604</v>
      </c>
      <c r="I137" s="41" t="s">
        <v>605</v>
      </c>
      <c r="J137" s="41" t="s">
        <v>117</v>
      </c>
      <c r="K137" s="41" t="s">
        <v>705</v>
      </c>
      <c r="L137" s="41" t="s">
        <v>104</v>
      </c>
      <c r="M137" s="40" t="s">
        <v>678</v>
      </c>
      <c r="P137" s="40" t="s">
        <v>604</v>
      </c>
      <c r="Q137" s="41" t="s">
        <v>607</v>
      </c>
      <c r="R137" s="41" t="s">
        <v>117</v>
      </c>
      <c r="S137" s="41" t="s">
        <v>706</v>
      </c>
      <c r="T137" s="64">
        <v>45920</v>
      </c>
      <c r="V137" s="41" t="s">
        <v>2203</v>
      </c>
      <c r="W137" s="41" t="s">
        <v>2204</v>
      </c>
      <c r="Y137" s="42"/>
      <c r="Z137" s="41" t="s">
        <v>170</v>
      </c>
      <c r="AA137" s="41" t="s">
        <v>1132</v>
      </c>
      <c r="AB137" s="41" t="s">
        <v>2004</v>
      </c>
      <c r="AC137" s="41" t="s">
        <v>2175</v>
      </c>
    </row>
    <row r="138" spans="6:29" x14ac:dyDescent="0.35">
      <c r="F138" s="40" t="s">
        <v>1569</v>
      </c>
      <c r="G138" s="40" t="s">
        <v>603</v>
      </c>
      <c r="H138" s="40" t="s">
        <v>604</v>
      </c>
      <c r="I138" s="41" t="s">
        <v>605</v>
      </c>
      <c r="J138" s="41" t="s">
        <v>117</v>
      </c>
      <c r="K138" s="41" t="s">
        <v>705</v>
      </c>
      <c r="L138" s="41" t="s">
        <v>104</v>
      </c>
      <c r="M138" s="40" t="s">
        <v>653</v>
      </c>
      <c r="P138" s="40" t="s">
        <v>604</v>
      </c>
      <c r="Q138" s="41" t="s">
        <v>605</v>
      </c>
      <c r="R138" s="41" t="s">
        <v>117</v>
      </c>
      <c r="S138" s="41" t="s">
        <v>705</v>
      </c>
      <c r="T138" s="64">
        <v>45920</v>
      </c>
      <c r="V138" s="41" t="s">
        <v>2203</v>
      </c>
      <c r="W138" s="41" t="s">
        <v>2204</v>
      </c>
      <c r="Y138" s="42"/>
      <c r="Z138" s="41" t="s">
        <v>170</v>
      </c>
      <c r="AA138" s="41" t="s">
        <v>1133</v>
      </c>
      <c r="AB138" s="41" t="s">
        <v>2005</v>
      </c>
      <c r="AC138" s="41" t="s">
        <v>2175</v>
      </c>
    </row>
    <row r="139" spans="6:29" hidden="1" x14ac:dyDescent="0.35">
      <c r="F139" s="40" t="s">
        <v>1570</v>
      </c>
      <c r="G139" s="40" t="s">
        <v>603</v>
      </c>
      <c r="H139" s="40" t="s">
        <v>604</v>
      </c>
      <c r="I139" s="41" t="s">
        <v>605</v>
      </c>
      <c r="J139" s="41" t="s">
        <v>117</v>
      </c>
      <c r="K139" s="41" t="s">
        <v>705</v>
      </c>
      <c r="L139" s="41" t="s">
        <v>104</v>
      </c>
      <c r="M139" s="40" t="s">
        <v>655</v>
      </c>
      <c r="P139" s="40" t="s">
        <v>604</v>
      </c>
      <c r="Q139" s="41" t="s">
        <v>607</v>
      </c>
      <c r="R139" s="41" t="s">
        <v>117</v>
      </c>
      <c r="S139" s="41" t="s">
        <v>706</v>
      </c>
      <c r="T139" s="64">
        <v>45920</v>
      </c>
      <c r="V139" s="41" t="s">
        <v>2203</v>
      </c>
      <c r="W139" s="41" t="s">
        <v>2204</v>
      </c>
      <c r="Y139" s="42"/>
      <c r="Z139" s="41" t="s">
        <v>170</v>
      </c>
      <c r="AA139" s="41" t="s">
        <v>1134</v>
      </c>
      <c r="AB139" s="41" t="s">
        <v>2006</v>
      </c>
      <c r="AC139" s="41" t="s">
        <v>2175</v>
      </c>
    </row>
    <row r="140" spans="6:29" ht="29" hidden="1" x14ac:dyDescent="0.35">
      <c r="F140" s="40" t="s">
        <v>1571</v>
      </c>
      <c r="G140" s="40" t="s">
        <v>603</v>
      </c>
      <c r="H140" s="40" t="s">
        <v>604</v>
      </c>
      <c r="I140" s="41" t="s">
        <v>605</v>
      </c>
      <c r="J140" s="41" t="s">
        <v>117</v>
      </c>
      <c r="K140" s="41" t="s">
        <v>707</v>
      </c>
      <c r="L140" s="41" t="s">
        <v>104</v>
      </c>
      <c r="M140" s="40" t="s">
        <v>658</v>
      </c>
      <c r="P140" s="40" t="s">
        <v>604</v>
      </c>
      <c r="Q140" s="41" t="s">
        <v>607</v>
      </c>
      <c r="R140" s="41" t="s">
        <v>117</v>
      </c>
      <c r="S140" s="41" t="s">
        <v>708</v>
      </c>
      <c r="T140" s="64">
        <v>45920</v>
      </c>
      <c r="V140" s="41" t="s">
        <v>2203</v>
      </c>
      <c r="W140" s="41" t="s">
        <v>2204</v>
      </c>
      <c r="Y140" s="42"/>
      <c r="Z140" s="41" t="s">
        <v>170</v>
      </c>
      <c r="AA140" s="41" t="s">
        <v>1135</v>
      </c>
      <c r="AB140" s="41" t="s">
        <v>2007</v>
      </c>
      <c r="AC140" s="41" t="s">
        <v>2175</v>
      </c>
    </row>
    <row r="141" spans="6:29" ht="29" hidden="1" x14ac:dyDescent="0.35">
      <c r="F141" s="40" t="s">
        <v>1572</v>
      </c>
      <c r="G141" s="40" t="s">
        <v>603</v>
      </c>
      <c r="H141" s="40" t="s">
        <v>604</v>
      </c>
      <c r="I141" s="41" t="s">
        <v>605</v>
      </c>
      <c r="J141" s="41" t="s">
        <v>117</v>
      </c>
      <c r="K141" s="41" t="s">
        <v>707</v>
      </c>
      <c r="L141" s="41" t="s">
        <v>104</v>
      </c>
      <c r="M141" s="40" t="s">
        <v>694</v>
      </c>
      <c r="P141" s="40" t="s">
        <v>604</v>
      </c>
      <c r="Q141" s="41" t="s">
        <v>607</v>
      </c>
      <c r="R141" s="41" t="s">
        <v>117</v>
      </c>
      <c r="S141" s="41" t="s">
        <v>708</v>
      </c>
      <c r="T141" s="64">
        <v>45920</v>
      </c>
      <c r="V141" s="41" t="s">
        <v>2203</v>
      </c>
      <c r="W141" s="41" t="s">
        <v>2204</v>
      </c>
      <c r="Y141" s="42"/>
      <c r="Z141" s="41" t="s">
        <v>170</v>
      </c>
      <c r="AA141" s="41" t="s">
        <v>1136</v>
      </c>
      <c r="AB141" s="41" t="s">
        <v>2008</v>
      </c>
      <c r="AC141" s="41" t="s">
        <v>2175</v>
      </c>
    </row>
    <row r="142" spans="6:29" ht="29" hidden="1" x14ac:dyDescent="0.35">
      <c r="F142" s="40" t="s">
        <v>1573</v>
      </c>
      <c r="G142" s="40" t="s">
        <v>603</v>
      </c>
      <c r="H142" s="40" t="s">
        <v>604</v>
      </c>
      <c r="I142" s="41" t="s">
        <v>605</v>
      </c>
      <c r="J142" s="41" t="s">
        <v>117</v>
      </c>
      <c r="K142" s="41" t="s">
        <v>707</v>
      </c>
      <c r="L142" s="41" t="s">
        <v>104</v>
      </c>
      <c r="M142" s="40" t="s">
        <v>616</v>
      </c>
      <c r="P142" s="40" t="s">
        <v>604</v>
      </c>
      <c r="Q142" s="41" t="s">
        <v>607</v>
      </c>
      <c r="R142" s="41" t="s">
        <v>117</v>
      </c>
      <c r="S142" s="41" t="s">
        <v>708</v>
      </c>
      <c r="T142" s="64">
        <v>45920</v>
      </c>
      <c r="V142" s="41" t="s">
        <v>2203</v>
      </c>
      <c r="W142" s="41" t="s">
        <v>2204</v>
      </c>
      <c r="Y142" s="42"/>
      <c r="Z142" s="41" t="s">
        <v>170</v>
      </c>
      <c r="AA142" s="41" t="s">
        <v>1137</v>
      </c>
      <c r="AB142" s="41" t="s">
        <v>2009</v>
      </c>
      <c r="AC142" s="41" t="s">
        <v>2175</v>
      </c>
    </row>
    <row r="143" spans="6:29" x14ac:dyDescent="0.35">
      <c r="F143" s="40" t="s">
        <v>1574</v>
      </c>
      <c r="G143" s="40" t="s">
        <v>603</v>
      </c>
      <c r="H143" s="40" t="s">
        <v>604</v>
      </c>
      <c r="I143" s="41" t="s">
        <v>605</v>
      </c>
      <c r="J143" s="41" t="s">
        <v>102</v>
      </c>
      <c r="K143" s="41" t="s">
        <v>2212</v>
      </c>
      <c r="L143" s="41" t="s">
        <v>104</v>
      </c>
      <c r="M143" s="40" t="s">
        <v>608</v>
      </c>
      <c r="P143" s="40" t="s">
        <v>604</v>
      </c>
      <c r="Q143" s="41" t="s">
        <v>605</v>
      </c>
      <c r="R143" s="41" t="s">
        <v>102</v>
      </c>
      <c r="S143" s="41" t="s">
        <v>2212</v>
      </c>
      <c r="T143" s="64">
        <v>45920</v>
      </c>
      <c r="V143" s="41" t="s">
        <v>2203</v>
      </c>
      <c r="W143" s="41" t="s">
        <v>2204</v>
      </c>
      <c r="Y143" s="42"/>
      <c r="Z143" s="41" t="s">
        <v>170</v>
      </c>
      <c r="AA143" s="41" t="s">
        <v>1138</v>
      </c>
      <c r="AB143" s="41" t="s">
        <v>2010</v>
      </c>
      <c r="AC143" s="41" t="s">
        <v>2175</v>
      </c>
    </row>
    <row r="144" spans="6:29" ht="29" hidden="1" x14ac:dyDescent="0.35">
      <c r="F144" s="40" t="s">
        <v>1575</v>
      </c>
      <c r="G144" s="40" t="s">
        <v>603</v>
      </c>
      <c r="H144" s="40" t="s">
        <v>604</v>
      </c>
      <c r="I144" s="41" t="s">
        <v>605</v>
      </c>
      <c r="J144" s="41" t="s">
        <v>117</v>
      </c>
      <c r="K144" s="41" t="s">
        <v>707</v>
      </c>
      <c r="L144" s="41" t="s">
        <v>104</v>
      </c>
      <c r="M144" s="40" t="s">
        <v>654</v>
      </c>
      <c r="P144" s="40" t="s">
        <v>604</v>
      </c>
      <c r="Q144" s="41" t="s">
        <v>607</v>
      </c>
      <c r="R144" s="41" t="s">
        <v>117</v>
      </c>
      <c r="S144" s="41" t="s">
        <v>708</v>
      </c>
      <c r="T144" s="64">
        <v>45920</v>
      </c>
      <c r="V144" s="41" t="s">
        <v>2203</v>
      </c>
      <c r="W144" s="41" t="s">
        <v>2204</v>
      </c>
      <c r="Y144" s="42"/>
      <c r="Z144" s="41" t="s">
        <v>170</v>
      </c>
      <c r="AA144" s="41" t="s">
        <v>1139</v>
      </c>
      <c r="AB144" s="41" t="s">
        <v>2011</v>
      </c>
      <c r="AC144" s="41" t="s">
        <v>2175</v>
      </c>
    </row>
    <row r="145" spans="6:29" ht="29" hidden="1" x14ac:dyDescent="0.35">
      <c r="F145" s="40" t="s">
        <v>1576</v>
      </c>
      <c r="G145" s="40" t="s">
        <v>603</v>
      </c>
      <c r="H145" s="40" t="s">
        <v>604</v>
      </c>
      <c r="I145" s="41" t="s">
        <v>605</v>
      </c>
      <c r="J145" s="41" t="s">
        <v>117</v>
      </c>
      <c r="K145" s="41" t="s">
        <v>707</v>
      </c>
      <c r="L145" s="41" t="s">
        <v>104</v>
      </c>
      <c r="M145" s="40" t="s">
        <v>656</v>
      </c>
      <c r="P145" s="40" t="s">
        <v>604</v>
      </c>
      <c r="Q145" s="41" t="s">
        <v>607</v>
      </c>
      <c r="R145" s="41" t="s">
        <v>117</v>
      </c>
      <c r="S145" s="41" t="s">
        <v>708</v>
      </c>
      <c r="T145" s="64">
        <v>45920</v>
      </c>
      <c r="V145" s="41" t="s">
        <v>2203</v>
      </c>
      <c r="W145" s="41" t="s">
        <v>2204</v>
      </c>
      <c r="Y145" s="42"/>
      <c r="Z145" s="41" t="s">
        <v>170</v>
      </c>
      <c r="AA145" s="41" t="s">
        <v>1140</v>
      </c>
      <c r="AB145" s="41" t="s">
        <v>2012</v>
      </c>
      <c r="AC145" s="41" t="s">
        <v>2175</v>
      </c>
    </row>
    <row r="146" spans="6:29" ht="29" hidden="1" x14ac:dyDescent="0.35">
      <c r="F146" s="40" t="s">
        <v>1577</v>
      </c>
      <c r="G146" s="40" t="s">
        <v>603</v>
      </c>
      <c r="H146" s="40" t="s">
        <v>604</v>
      </c>
      <c r="I146" s="41" t="s">
        <v>605</v>
      </c>
      <c r="J146" s="41" t="s">
        <v>117</v>
      </c>
      <c r="K146" s="41" t="s">
        <v>707</v>
      </c>
      <c r="L146" s="41" t="s">
        <v>104</v>
      </c>
      <c r="M146" s="40" t="s">
        <v>678</v>
      </c>
      <c r="P146" s="40" t="s">
        <v>604</v>
      </c>
      <c r="Q146" s="41" t="s">
        <v>607</v>
      </c>
      <c r="R146" s="41" t="s">
        <v>117</v>
      </c>
      <c r="S146" s="41" t="s">
        <v>708</v>
      </c>
      <c r="T146" s="64">
        <v>45920</v>
      </c>
      <c r="V146" s="41" t="s">
        <v>2203</v>
      </c>
      <c r="W146" s="41" t="s">
        <v>2204</v>
      </c>
      <c r="Y146" s="42"/>
      <c r="Z146" s="41" t="s">
        <v>170</v>
      </c>
      <c r="AA146" s="41" t="s">
        <v>1141</v>
      </c>
      <c r="AB146" s="41" t="s">
        <v>2013</v>
      </c>
      <c r="AC146" s="41" t="s">
        <v>2175</v>
      </c>
    </row>
    <row r="147" spans="6:29" ht="29" x14ac:dyDescent="0.35">
      <c r="F147" s="40" t="s">
        <v>1578</v>
      </c>
      <c r="G147" s="40" t="s">
        <v>603</v>
      </c>
      <c r="H147" s="40" t="s">
        <v>604</v>
      </c>
      <c r="I147" s="41" t="s">
        <v>605</v>
      </c>
      <c r="J147" s="41" t="s">
        <v>117</v>
      </c>
      <c r="K147" s="41" t="s">
        <v>707</v>
      </c>
      <c r="L147" s="41" t="s">
        <v>104</v>
      </c>
      <c r="M147" s="40" t="s">
        <v>653</v>
      </c>
      <c r="P147" s="40" t="s">
        <v>604</v>
      </c>
      <c r="Q147" s="41" t="s">
        <v>605</v>
      </c>
      <c r="R147" s="41" t="s">
        <v>117</v>
      </c>
      <c r="S147" s="41" t="s">
        <v>707</v>
      </c>
      <c r="T147" s="64">
        <v>45920</v>
      </c>
      <c r="V147" s="41" t="s">
        <v>2203</v>
      </c>
      <c r="W147" s="41" t="s">
        <v>2204</v>
      </c>
      <c r="Y147" s="42"/>
      <c r="Z147" s="41" t="s">
        <v>170</v>
      </c>
      <c r="AA147" s="41" t="s">
        <v>1142</v>
      </c>
      <c r="AB147" s="41" t="s">
        <v>2014</v>
      </c>
      <c r="AC147" s="41" t="s">
        <v>2175</v>
      </c>
    </row>
    <row r="148" spans="6:29" ht="29" hidden="1" x14ac:dyDescent="0.35">
      <c r="F148" s="40" t="s">
        <v>1579</v>
      </c>
      <c r="G148" s="40" t="s">
        <v>603</v>
      </c>
      <c r="H148" s="40" t="s">
        <v>604</v>
      </c>
      <c r="I148" s="41" t="s">
        <v>605</v>
      </c>
      <c r="J148" s="41" t="s">
        <v>117</v>
      </c>
      <c r="K148" s="41" t="s">
        <v>707</v>
      </c>
      <c r="L148" s="41" t="s">
        <v>104</v>
      </c>
      <c r="M148" s="40" t="s">
        <v>709</v>
      </c>
      <c r="P148" s="40" t="s">
        <v>604</v>
      </c>
      <c r="Q148" s="41" t="s">
        <v>607</v>
      </c>
      <c r="R148" s="41" t="s">
        <v>117</v>
      </c>
      <c r="S148" s="41" t="s">
        <v>708</v>
      </c>
      <c r="T148" s="64">
        <v>45920</v>
      </c>
      <c r="V148" s="41" t="s">
        <v>2203</v>
      </c>
      <c r="W148" s="41" t="s">
        <v>2204</v>
      </c>
      <c r="Y148" s="42"/>
      <c r="Z148" s="41" t="s">
        <v>170</v>
      </c>
      <c r="AA148" s="41" t="s">
        <v>1143</v>
      </c>
      <c r="AB148" s="41" t="s">
        <v>2015</v>
      </c>
      <c r="AC148" s="41" t="s">
        <v>2175</v>
      </c>
    </row>
    <row r="149" spans="6:29" ht="29" hidden="1" x14ac:dyDescent="0.35">
      <c r="F149" s="40" t="s">
        <v>1580</v>
      </c>
      <c r="G149" s="40" t="s">
        <v>603</v>
      </c>
      <c r="H149" s="40" t="s">
        <v>604</v>
      </c>
      <c r="I149" s="41" t="s">
        <v>605</v>
      </c>
      <c r="J149" s="41" t="s">
        <v>117</v>
      </c>
      <c r="K149" s="41" t="s">
        <v>711</v>
      </c>
      <c r="L149" s="41" t="s">
        <v>104</v>
      </c>
      <c r="M149" s="40" t="s">
        <v>658</v>
      </c>
      <c r="P149" s="40" t="s">
        <v>604</v>
      </c>
      <c r="Q149" s="41" t="s">
        <v>607</v>
      </c>
      <c r="R149" s="41" t="s">
        <v>117</v>
      </c>
      <c r="S149" s="41" t="s">
        <v>712</v>
      </c>
      <c r="T149" s="64">
        <v>45920</v>
      </c>
      <c r="V149" s="41" t="s">
        <v>2203</v>
      </c>
      <c r="W149" s="41" t="s">
        <v>2204</v>
      </c>
      <c r="Y149" s="42"/>
      <c r="Z149" s="41" t="s">
        <v>170</v>
      </c>
      <c r="AA149" s="41" t="s">
        <v>1144</v>
      </c>
      <c r="AB149" s="41" t="s">
        <v>2016</v>
      </c>
      <c r="AC149" s="41" t="s">
        <v>2175</v>
      </c>
    </row>
    <row r="150" spans="6:29" ht="29" hidden="1" x14ac:dyDescent="0.35">
      <c r="F150" s="40" t="s">
        <v>1581</v>
      </c>
      <c r="G150" s="40" t="s">
        <v>603</v>
      </c>
      <c r="H150" s="40" t="s">
        <v>604</v>
      </c>
      <c r="I150" s="41" t="s">
        <v>605</v>
      </c>
      <c r="J150" s="41" t="s">
        <v>117</v>
      </c>
      <c r="K150" s="41" t="s">
        <v>711</v>
      </c>
      <c r="L150" s="41" t="s">
        <v>104</v>
      </c>
      <c r="M150" s="40" t="s">
        <v>713</v>
      </c>
      <c r="P150" s="40" t="s">
        <v>604</v>
      </c>
      <c r="Q150" s="41" t="s">
        <v>607</v>
      </c>
      <c r="R150" s="41" t="s">
        <v>117</v>
      </c>
      <c r="S150" s="41" t="s">
        <v>712</v>
      </c>
      <c r="T150" s="64">
        <v>45920</v>
      </c>
      <c r="V150" s="41" t="s">
        <v>2203</v>
      </c>
      <c r="W150" s="41" t="s">
        <v>2204</v>
      </c>
      <c r="Y150" s="42"/>
      <c r="Z150" s="41" t="s">
        <v>170</v>
      </c>
      <c r="AA150" s="41" t="s">
        <v>1145</v>
      </c>
      <c r="AB150" s="41" t="s">
        <v>2017</v>
      </c>
      <c r="AC150" s="41" t="s">
        <v>2175</v>
      </c>
    </row>
    <row r="151" spans="6:29" ht="29" hidden="1" x14ac:dyDescent="0.35">
      <c r="F151" s="40" t="s">
        <v>1582</v>
      </c>
      <c r="G151" s="40" t="s">
        <v>603</v>
      </c>
      <c r="H151" s="40" t="s">
        <v>604</v>
      </c>
      <c r="I151" s="41" t="s">
        <v>605</v>
      </c>
      <c r="J151" s="41" t="s">
        <v>117</v>
      </c>
      <c r="K151" s="41" t="s">
        <v>711</v>
      </c>
      <c r="L151" s="41" t="s">
        <v>104</v>
      </c>
      <c r="M151" s="40" t="s">
        <v>654</v>
      </c>
      <c r="P151" s="40" t="s">
        <v>604</v>
      </c>
      <c r="Q151" s="41" t="s">
        <v>607</v>
      </c>
      <c r="R151" s="41" t="s">
        <v>117</v>
      </c>
      <c r="S151" s="41" t="s">
        <v>712</v>
      </c>
      <c r="T151" s="64">
        <v>45920</v>
      </c>
      <c r="V151" s="41" t="s">
        <v>2203</v>
      </c>
      <c r="W151" s="41" t="s">
        <v>2204</v>
      </c>
      <c r="Y151" s="42"/>
      <c r="Z151" s="41" t="s">
        <v>170</v>
      </c>
      <c r="AA151" s="41" t="s">
        <v>1146</v>
      </c>
      <c r="AB151" s="41" t="s">
        <v>2018</v>
      </c>
      <c r="AC151" s="41" t="s">
        <v>2175</v>
      </c>
    </row>
    <row r="152" spans="6:29" ht="29" hidden="1" x14ac:dyDescent="0.35">
      <c r="F152" s="40" t="s">
        <v>1583</v>
      </c>
      <c r="G152" s="40" t="s">
        <v>603</v>
      </c>
      <c r="H152" s="40" t="s">
        <v>604</v>
      </c>
      <c r="I152" s="41" t="s">
        <v>605</v>
      </c>
      <c r="J152" s="41" t="s">
        <v>117</v>
      </c>
      <c r="K152" s="41" t="s">
        <v>711</v>
      </c>
      <c r="L152" s="41" t="s">
        <v>104</v>
      </c>
      <c r="M152" s="40" t="s">
        <v>616</v>
      </c>
      <c r="P152" s="40" t="s">
        <v>604</v>
      </c>
      <c r="Q152" s="41" t="s">
        <v>607</v>
      </c>
      <c r="R152" s="41" t="s">
        <v>117</v>
      </c>
      <c r="S152" s="41" t="s">
        <v>712</v>
      </c>
      <c r="T152" s="64">
        <v>45920</v>
      </c>
      <c r="V152" s="41" t="s">
        <v>2203</v>
      </c>
      <c r="W152" s="41" t="s">
        <v>2204</v>
      </c>
      <c r="Y152" s="42"/>
      <c r="Z152" s="41" t="s">
        <v>170</v>
      </c>
      <c r="AA152" s="41" t="s">
        <v>1147</v>
      </c>
      <c r="AB152" s="41" t="s">
        <v>2019</v>
      </c>
      <c r="AC152" s="41" t="s">
        <v>2175</v>
      </c>
    </row>
    <row r="153" spans="6:29" x14ac:dyDescent="0.35">
      <c r="F153" s="40" t="s">
        <v>1584</v>
      </c>
      <c r="G153" s="40" t="s">
        <v>603</v>
      </c>
      <c r="H153" s="40" t="s">
        <v>604</v>
      </c>
      <c r="I153" s="41" t="s">
        <v>605</v>
      </c>
      <c r="J153" s="41" t="s">
        <v>102</v>
      </c>
      <c r="K153" s="41" t="s">
        <v>2212</v>
      </c>
      <c r="L153" s="41" t="s">
        <v>104</v>
      </c>
      <c r="M153" s="40" t="s">
        <v>608</v>
      </c>
      <c r="P153" s="40" t="s">
        <v>604</v>
      </c>
      <c r="Q153" s="41" t="s">
        <v>605</v>
      </c>
      <c r="R153" s="41" t="s">
        <v>102</v>
      </c>
      <c r="S153" s="41" t="s">
        <v>2212</v>
      </c>
      <c r="T153" s="64">
        <v>45920</v>
      </c>
      <c r="V153" s="41" t="s">
        <v>2203</v>
      </c>
      <c r="W153" s="41" t="s">
        <v>2204</v>
      </c>
      <c r="Y153" s="42"/>
      <c r="Z153" s="41" t="s">
        <v>170</v>
      </c>
      <c r="AA153" s="41" t="s">
        <v>1148</v>
      </c>
      <c r="AB153" s="41" t="s">
        <v>2020</v>
      </c>
      <c r="AC153" s="41" t="s">
        <v>2175</v>
      </c>
    </row>
    <row r="154" spans="6:29" ht="29" hidden="1" x14ac:dyDescent="0.35">
      <c r="F154" s="40" t="s">
        <v>1585</v>
      </c>
      <c r="G154" s="40" t="s">
        <v>603</v>
      </c>
      <c r="H154" s="40" t="s">
        <v>604</v>
      </c>
      <c r="I154" s="41" t="s">
        <v>605</v>
      </c>
      <c r="J154" s="41" t="s">
        <v>117</v>
      </c>
      <c r="K154" s="41" t="s">
        <v>711</v>
      </c>
      <c r="L154" s="41" t="s">
        <v>104</v>
      </c>
      <c r="M154" s="40" t="s">
        <v>662</v>
      </c>
      <c r="P154" s="40" t="s">
        <v>604</v>
      </c>
      <c r="Q154" s="41" t="s">
        <v>607</v>
      </c>
      <c r="R154" s="41" t="s">
        <v>117</v>
      </c>
      <c r="S154" s="41" t="s">
        <v>712</v>
      </c>
      <c r="T154" s="64">
        <v>45920</v>
      </c>
      <c r="V154" s="41" t="s">
        <v>2203</v>
      </c>
      <c r="W154" s="41" t="s">
        <v>2204</v>
      </c>
      <c r="Y154" s="42"/>
      <c r="Z154" s="41" t="s">
        <v>170</v>
      </c>
      <c r="AA154" s="41" t="s">
        <v>1149</v>
      </c>
      <c r="AB154" s="41" t="s">
        <v>2021</v>
      </c>
      <c r="AC154" s="41" t="s">
        <v>2175</v>
      </c>
    </row>
    <row r="155" spans="6:29" ht="29" hidden="1" x14ac:dyDescent="0.35">
      <c r="F155" s="40" t="s">
        <v>1586</v>
      </c>
      <c r="G155" s="40" t="s">
        <v>603</v>
      </c>
      <c r="H155" s="40" t="s">
        <v>604</v>
      </c>
      <c r="I155" s="41" t="s">
        <v>605</v>
      </c>
      <c r="J155" s="41" t="s">
        <v>117</v>
      </c>
      <c r="K155" s="41" t="s">
        <v>711</v>
      </c>
      <c r="L155" s="41" t="s">
        <v>104</v>
      </c>
      <c r="M155" s="40" t="s">
        <v>654</v>
      </c>
      <c r="P155" s="40" t="s">
        <v>604</v>
      </c>
      <c r="Q155" s="41" t="s">
        <v>607</v>
      </c>
      <c r="R155" s="41" t="s">
        <v>117</v>
      </c>
      <c r="S155" s="41" t="s">
        <v>712</v>
      </c>
      <c r="T155" s="64">
        <v>45920</v>
      </c>
      <c r="V155" s="41" t="s">
        <v>2203</v>
      </c>
      <c r="W155" s="41" t="s">
        <v>2204</v>
      </c>
      <c r="Y155" s="42"/>
      <c r="Z155" s="41" t="s">
        <v>170</v>
      </c>
      <c r="AA155" s="41" t="s">
        <v>1150</v>
      </c>
      <c r="AB155" s="41" t="s">
        <v>2022</v>
      </c>
      <c r="AC155" s="41" t="s">
        <v>2175</v>
      </c>
    </row>
    <row r="156" spans="6:29" ht="29" hidden="1" x14ac:dyDescent="0.35">
      <c r="F156" s="40" t="s">
        <v>1587</v>
      </c>
      <c r="G156" s="40" t="s">
        <v>603</v>
      </c>
      <c r="H156" s="40" t="s">
        <v>604</v>
      </c>
      <c r="I156" s="41" t="s">
        <v>605</v>
      </c>
      <c r="J156" s="41" t="s">
        <v>117</v>
      </c>
      <c r="K156" s="41" t="s">
        <v>711</v>
      </c>
      <c r="L156" s="41" t="s">
        <v>104</v>
      </c>
      <c r="M156" s="40" t="s">
        <v>715</v>
      </c>
      <c r="P156" s="40" t="s">
        <v>604</v>
      </c>
      <c r="Q156" s="41" t="s">
        <v>607</v>
      </c>
      <c r="R156" s="41" t="s">
        <v>117</v>
      </c>
      <c r="S156" s="41" t="s">
        <v>712</v>
      </c>
      <c r="T156" s="64">
        <v>45920</v>
      </c>
      <c r="V156" s="41" t="s">
        <v>2203</v>
      </c>
      <c r="W156" s="41" t="s">
        <v>2204</v>
      </c>
      <c r="Y156" s="42"/>
      <c r="Z156" s="41" t="s">
        <v>170</v>
      </c>
      <c r="AA156" s="41" t="s">
        <v>1151</v>
      </c>
      <c r="AB156" s="41" t="s">
        <v>2023</v>
      </c>
      <c r="AC156" s="41" t="s">
        <v>2175</v>
      </c>
    </row>
    <row r="157" spans="6:29" ht="29" hidden="1" x14ac:dyDescent="0.35">
      <c r="F157" s="40" t="s">
        <v>1588</v>
      </c>
      <c r="G157" s="40" t="s">
        <v>603</v>
      </c>
      <c r="H157" s="40" t="s">
        <v>604</v>
      </c>
      <c r="I157" s="41" t="s">
        <v>605</v>
      </c>
      <c r="J157" s="41" t="s">
        <v>117</v>
      </c>
      <c r="K157" s="41" t="s">
        <v>711</v>
      </c>
      <c r="L157" s="41" t="s">
        <v>104</v>
      </c>
      <c r="M157" s="40" t="s">
        <v>716</v>
      </c>
      <c r="P157" s="40" t="s">
        <v>604</v>
      </c>
      <c r="Q157" s="41" t="s">
        <v>607</v>
      </c>
      <c r="R157" s="41" t="s">
        <v>117</v>
      </c>
      <c r="S157" s="41" t="s">
        <v>712</v>
      </c>
      <c r="T157" s="64">
        <v>45920</v>
      </c>
      <c r="V157" s="41" t="s">
        <v>2203</v>
      </c>
      <c r="W157" s="41" t="s">
        <v>2204</v>
      </c>
      <c r="Y157" s="42"/>
      <c r="Z157" s="41" t="s">
        <v>170</v>
      </c>
      <c r="AA157" s="41" t="s">
        <v>1152</v>
      </c>
      <c r="AB157" s="41" t="s">
        <v>2024</v>
      </c>
      <c r="AC157" s="41" t="s">
        <v>2175</v>
      </c>
    </row>
    <row r="158" spans="6:29" ht="29" hidden="1" x14ac:dyDescent="0.35">
      <c r="F158" s="40" t="s">
        <v>1589</v>
      </c>
      <c r="G158" s="40" t="s">
        <v>603</v>
      </c>
      <c r="H158" s="40" t="s">
        <v>604</v>
      </c>
      <c r="I158" s="41" t="s">
        <v>605</v>
      </c>
      <c r="J158" s="41" t="s">
        <v>117</v>
      </c>
      <c r="K158" s="41" t="s">
        <v>711</v>
      </c>
      <c r="L158" s="41" t="s">
        <v>104</v>
      </c>
      <c r="M158" s="40" t="s">
        <v>628</v>
      </c>
      <c r="P158" s="40" t="s">
        <v>604</v>
      </c>
      <c r="Q158" s="41" t="s">
        <v>607</v>
      </c>
      <c r="R158" s="41" t="s">
        <v>117</v>
      </c>
      <c r="S158" s="41" t="s">
        <v>712</v>
      </c>
      <c r="T158" s="64">
        <v>45920</v>
      </c>
      <c r="V158" s="41" t="s">
        <v>2203</v>
      </c>
      <c r="W158" s="41" t="s">
        <v>2204</v>
      </c>
      <c r="Y158" s="42"/>
      <c r="Z158" s="41" t="s">
        <v>170</v>
      </c>
      <c r="AA158" s="41" t="s">
        <v>1153</v>
      </c>
      <c r="AB158" s="41" t="s">
        <v>2025</v>
      </c>
      <c r="AC158" s="41" t="s">
        <v>2175</v>
      </c>
    </row>
    <row r="159" spans="6:29" hidden="1" x14ac:dyDescent="0.35">
      <c r="F159" s="40" t="s">
        <v>1590</v>
      </c>
      <c r="G159" s="40" t="s">
        <v>603</v>
      </c>
      <c r="H159" s="40" t="s">
        <v>604</v>
      </c>
      <c r="I159" s="41" t="s">
        <v>605</v>
      </c>
      <c r="J159" s="41" t="s">
        <v>117</v>
      </c>
      <c r="K159" s="41" t="s">
        <v>717</v>
      </c>
      <c r="L159" s="41" t="s">
        <v>104</v>
      </c>
      <c r="M159" s="40" t="s">
        <v>713</v>
      </c>
      <c r="P159" s="40" t="s">
        <v>604</v>
      </c>
      <c r="Q159" s="41" t="s">
        <v>607</v>
      </c>
      <c r="R159" s="41" t="s">
        <v>117</v>
      </c>
      <c r="T159" s="64">
        <v>45920</v>
      </c>
      <c r="V159" s="41" t="s">
        <v>2203</v>
      </c>
      <c r="W159" s="41" t="s">
        <v>2204</v>
      </c>
      <c r="Y159" s="42"/>
      <c r="Z159" s="41" t="s">
        <v>170</v>
      </c>
      <c r="AA159" s="41" t="s">
        <v>1154</v>
      </c>
      <c r="AB159" s="41" t="s">
        <v>2026</v>
      </c>
      <c r="AC159" s="41" t="s">
        <v>2175</v>
      </c>
    </row>
    <row r="160" spans="6:29" hidden="1" x14ac:dyDescent="0.35">
      <c r="F160" s="40" t="s">
        <v>1591</v>
      </c>
      <c r="G160" s="40" t="s">
        <v>603</v>
      </c>
      <c r="H160" s="40" t="s">
        <v>604</v>
      </c>
      <c r="I160" s="41" t="s">
        <v>605</v>
      </c>
      <c r="J160" s="41" t="s">
        <v>117</v>
      </c>
      <c r="K160" s="41" t="s">
        <v>717</v>
      </c>
      <c r="L160" s="41" t="s">
        <v>104</v>
      </c>
      <c r="M160" s="40" t="s">
        <v>616</v>
      </c>
      <c r="P160" s="40" t="s">
        <v>604</v>
      </c>
      <c r="Q160" s="41" t="s">
        <v>607</v>
      </c>
      <c r="R160" s="41" t="s">
        <v>117</v>
      </c>
      <c r="T160" s="64">
        <v>45920</v>
      </c>
      <c r="V160" s="41" t="s">
        <v>2203</v>
      </c>
      <c r="W160" s="41" t="s">
        <v>2204</v>
      </c>
      <c r="Y160" s="42"/>
      <c r="Z160" s="41" t="s">
        <v>170</v>
      </c>
      <c r="AA160" s="41" t="s">
        <v>1155</v>
      </c>
      <c r="AB160" s="41" t="s">
        <v>2027</v>
      </c>
      <c r="AC160" s="41" t="s">
        <v>2175</v>
      </c>
    </row>
    <row r="161" spans="6:29" hidden="1" x14ac:dyDescent="0.35">
      <c r="F161" s="40" t="s">
        <v>1592</v>
      </c>
      <c r="G161" s="40" t="s">
        <v>603</v>
      </c>
      <c r="H161" s="40" t="s">
        <v>604</v>
      </c>
      <c r="I161" s="41" t="s">
        <v>605</v>
      </c>
      <c r="J161" s="41" t="s">
        <v>117</v>
      </c>
      <c r="K161" s="41" t="s">
        <v>717</v>
      </c>
      <c r="L161" s="41" t="s">
        <v>104</v>
      </c>
      <c r="M161" s="40" t="s">
        <v>654</v>
      </c>
      <c r="P161" s="40" t="s">
        <v>604</v>
      </c>
      <c r="Q161" s="41" t="s">
        <v>607</v>
      </c>
      <c r="R161" s="41" t="s">
        <v>117</v>
      </c>
      <c r="T161" s="64">
        <v>45920</v>
      </c>
      <c r="V161" s="41" t="s">
        <v>2203</v>
      </c>
      <c r="W161" s="41" t="s">
        <v>2204</v>
      </c>
      <c r="Y161" s="42"/>
      <c r="Z161" s="41" t="s">
        <v>170</v>
      </c>
      <c r="AA161" s="41" t="s">
        <v>1156</v>
      </c>
      <c r="AB161" s="41" t="s">
        <v>2028</v>
      </c>
      <c r="AC161" s="41" t="s">
        <v>2175</v>
      </c>
    </row>
    <row r="162" spans="6:29" ht="29" hidden="1" x14ac:dyDescent="0.35">
      <c r="F162" s="40" t="s">
        <v>1593</v>
      </c>
      <c r="G162" s="40" t="s">
        <v>603</v>
      </c>
      <c r="H162" s="40" t="s">
        <v>604</v>
      </c>
      <c r="I162" s="41" t="s">
        <v>605</v>
      </c>
      <c r="J162" s="41" t="s">
        <v>121</v>
      </c>
      <c r="K162" s="41" t="s">
        <v>720</v>
      </c>
      <c r="L162" s="41" t="s">
        <v>104</v>
      </c>
      <c r="M162" s="40" t="s">
        <v>718</v>
      </c>
      <c r="P162" s="40" t="s">
        <v>604</v>
      </c>
      <c r="Q162" s="41" t="s">
        <v>607</v>
      </c>
      <c r="R162" s="41" t="s">
        <v>121</v>
      </c>
      <c r="S162" s="41" t="s">
        <v>721</v>
      </c>
      <c r="T162" s="64">
        <v>45920</v>
      </c>
      <c r="V162" s="41" t="s">
        <v>2203</v>
      </c>
      <c r="W162" s="41" t="s">
        <v>2204</v>
      </c>
      <c r="Y162" s="42"/>
      <c r="Z162" s="41" t="s">
        <v>170</v>
      </c>
      <c r="AA162" s="41" t="s">
        <v>1157</v>
      </c>
      <c r="AB162" s="41" t="s">
        <v>2029</v>
      </c>
      <c r="AC162" s="41" t="s">
        <v>2175</v>
      </c>
    </row>
    <row r="163" spans="6:29" ht="29" hidden="1" x14ac:dyDescent="0.35">
      <c r="F163" s="40" t="s">
        <v>1594</v>
      </c>
      <c r="G163" s="40" t="s">
        <v>603</v>
      </c>
      <c r="H163" s="40" t="s">
        <v>604</v>
      </c>
      <c r="I163" s="41" t="s">
        <v>605</v>
      </c>
      <c r="J163" s="41" t="s">
        <v>121</v>
      </c>
      <c r="K163" s="41" t="s">
        <v>720</v>
      </c>
      <c r="L163" s="41" t="s">
        <v>104</v>
      </c>
      <c r="M163" s="40" t="s">
        <v>616</v>
      </c>
      <c r="P163" s="40" t="s">
        <v>604</v>
      </c>
      <c r="Q163" s="41" t="s">
        <v>607</v>
      </c>
      <c r="R163" s="41" t="s">
        <v>121</v>
      </c>
      <c r="S163" s="41" t="s">
        <v>721</v>
      </c>
      <c r="T163" s="64">
        <v>45920</v>
      </c>
      <c r="V163" s="41" t="s">
        <v>2203</v>
      </c>
      <c r="W163" s="41" t="s">
        <v>2204</v>
      </c>
      <c r="Y163" s="42"/>
      <c r="Z163" s="41" t="s">
        <v>170</v>
      </c>
      <c r="AA163" s="41" t="s">
        <v>1158</v>
      </c>
      <c r="AB163" s="41" t="s">
        <v>2030</v>
      </c>
      <c r="AC163" s="41" t="s">
        <v>2175</v>
      </c>
    </row>
    <row r="164" spans="6:29" ht="29" hidden="1" x14ac:dyDescent="0.35">
      <c r="F164" s="40" t="s">
        <v>1595</v>
      </c>
      <c r="G164" s="40" t="s">
        <v>603</v>
      </c>
      <c r="H164" s="40" t="s">
        <v>604</v>
      </c>
      <c r="I164" s="41" t="s">
        <v>605</v>
      </c>
      <c r="J164" s="41" t="s">
        <v>121</v>
      </c>
      <c r="K164" s="41" t="s">
        <v>720</v>
      </c>
      <c r="L164" s="41" t="s">
        <v>104</v>
      </c>
      <c r="M164" s="40" t="s">
        <v>722</v>
      </c>
      <c r="P164" s="40" t="s">
        <v>604</v>
      </c>
      <c r="Q164" s="41" t="s">
        <v>607</v>
      </c>
      <c r="R164" s="41" t="s">
        <v>121</v>
      </c>
      <c r="S164" s="41" t="s">
        <v>721</v>
      </c>
      <c r="T164" s="64">
        <v>45920</v>
      </c>
      <c r="V164" s="41" t="s">
        <v>2203</v>
      </c>
      <c r="W164" s="41" t="s">
        <v>2204</v>
      </c>
      <c r="Y164" s="42"/>
      <c r="Z164" s="41" t="s">
        <v>170</v>
      </c>
      <c r="AA164" s="41" t="s">
        <v>1159</v>
      </c>
      <c r="AB164" s="41" t="s">
        <v>2031</v>
      </c>
      <c r="AC164" s="41" t="s">
        <v>2175</v>
      </c>
    </row>
    <row r="165" spans="6:29" ht="29" hidden="1" x14ac:dyDescent="0.35">
      <c r="F165" s="40" t="s">
        <v>1596</v>
      </c>
      <c r="G165" s="40" t="s">
        <v>603</v>
      </c>
      <c r="H165" s="40" t="s">
        <v>604</v>
      </c>
      <c r="I165" s="41" t="s">
        <v>605</v>
      </c>
      <c r="J165" s="41" t="s">
        <v>121</v>
      </c>
      <c r="K165" s="41" t="s">
        <v>720</v>
      </c>
      <c r="L165" s="41" t="s">
        <v>104</v>
      </c>
      <c r="M165" s="40" t="s">
        <v>724</v>
      </c>
      <c r="P165" s="40" t="s">
        <v>604</v>
      </c>
      <c r="Q165" s="41" t="s">
        <v>607</v>
      </c>
      <c r="R165" s="41" t="s">
        <v>121</v>
      </c>
      <c r="S165" s="41" t="s">
        <v>721</v>
      </c>
      <c r="T165" s="64">
        <v>45920</v>
      </c>
      <c r="V165" s="41" t="s">
        <v>2203</v>
      </c>
      <c r="W165" s="41" t="s">
        <v>2204</v>
      </c>
      <c r="Y165" s="42"/>
      <c r="Z165" s="41" t="s">
        <v>170</v>
      </c>
      <c r="AA165" s="41" t="s">
        <v>1160</v>
      </c>
      <c r="AB165" s="41" t="s">
        <v>2032</v>
      </c>
      <c r="AC165" s="41" t="s">
        <v>2175</v>
      </c>
    </row>
    <row r="166" spans="6:29" ht="29" hidden="1" x14ac:dyDescent="0.35">
      <c r="F166" s="40" t="s">
        <v>1597</v>
      </c>
      <c r="G166" s="40" t="s">
        <v>603</v>
      </c>
      <c r="H166" s="40" t="s">
        <v>604</v>
      </c>
      <c r="I166" s="41" t="s">
        <v>605</v>
      </c>
      <c r="J166" s="41" t="s">
        <v>121</v>
      </c>
      <c r="K166" s="41" t="s">
        <v>720</v>
      </c>
      <c r="L166" s="41" t="s">
        <v>104</v>
      </c>
      <c r="M166" s="40" t="s">
        <v>725</v>
      </c>
      <c r="P166" s="40" t="s">
        <v>604</v>
      </c>
      <c r="Q166" s="41" t="s">
        <v>607</v>
      </c>
      <c r="R166" s="41" t="s">
        <v>121</v>
      </c>
      <c r="S166" s="41" t="s">
        <v>721</v>
      </c>
      <c r="T166" s="64">
        <v>45920</v>
      </c>
      <c r="V166" s="41" t="s">
        <v>2203</v>
      </c>
      <c r="W166" s="41" t="s">
        <v>2204</v>
      </c>
      <c r="Y166" s="42"/>
      <c r="Z166" s="41" t="s">
        <v>170</v>
      </c>
      <c r="AA166" s="41" t="s">
        <v>1161</v>
      </c>
      <c r="AB166" s="41" t="s">
        <v>2033</v>
      </c>
      <c r="AC166" s="41" t="s">
        <v>2175</v>
      </c>
    </row>
    <row r="167" spans="6:29" ht="29" hidden="1" x14ac:dyDescent="0.35">
      <c r="F167" s="40" t="s">
        <v>1598</v>
      </c>
      <c r="G167" s="40" t="s">
        <v>603</v>
      </c>
      <c r="H167" s="40" t="s">
        <v>604</v>
      </c>
      <c r="I167" s="41" t="s">
        <v>605</v>
      </c>
      <c r="J167" s="41" t="s">
        <v>121</v>
      </c>
      <c r="K167" s="41" t="s">
        <v>720</v>
      </c>
      <c r="L167" s="41" t="s">
        <v>104</v>
      </c>
      <c r="M167" s="40" t="s">
        <v>727</v>
      </c>
      <c r="P167" s="40" t="s">
        <v>604</v>
      </c>
      <c r="Q167" s="41" t="s">
        <v>607</v>
      </c>
      <c r="R167" s="41" t="s">
        <v>121</v>
      </c>
      <c r="S167" s="41" t="s">
        <v>721</v>
      </c>
      <c r="T167" s="64">
        <v>45920</v>
      </c>
      <c r="V167" s="41" t="s">
        <v>2203</v>
      </c>
      <c r="W167" s="41" t="s">
        <v>2204</v>
      </c>
      <c r="Y167" s="42"/>
      <c r="Z167" s="41" t="s">
        <v>170</v>
      </c>
      <c r="AA167" s="41" t="s">
        <v>1162</v>
      </c>
      <c r="AB167" s="41" t="s">
        <v>2034</v>
      </c>
      <c r="AC167" s="41" t="s">
        <v>2175</v>
      </c>
    </row>
    <row r="168" spans="6:29" ht="29" hidden="1" x14ac:dyDescent="0.35">
      <c r="F168" s="40" t="s">
        <v>1599</v>
      </c>
      <c r="G168" s="40" t="s">
        <v>603</v>
      </c>
      <c r="H168" s="40" t="s">
        <v>604</v>
      </c>
      <c r="I168" s="41" t="s">
        <v>605</v>
      </c>
      <c r="J168" s="41" t="s">
        <v>121</v>
      </c>
      <c r="K168" s="41" t="s">
        <v>720</v>
      </c>
      <c r="L168" s="41" t="s">
        <v>104</v>
      </c>
      <c r="M168" s="40" t="s">
        <v>729</v>
      </c>
      <c r="P168" s="40" t="s">
        <v>604</v>
      </c>
      <c r="Q168" s="41" t="s">
        <v>607</v>
      </c>
      <c r="R168" s="41" t="s">
        <v>121</v>
      </c>
      <c r="S168" s="41" t="s">
        <v>721</v>
      </c>
      <c r="T168" s="64">
        <v>45920</v>
      </c>
      <c r="V168" s="41" t="s">
        <v>2203</v>
      </c>
      <c r="W168" s="41" t="s">
        <v>2204</v>
      </c>
      <c r="Y168" s="42"/>
      <c r="Z168" s="41" t="s">
        <v>170</v>
      </c>
      <c r="AA168" s="41" t="s">
        <v>1163</v>
      </c>
      <c r="AB168" s="41" t="s">
        <v>2035</v>
      </c>
      <c r="AC168" s="41" t="s">
        <v>2175</v>
      </c>
    </row>
    <row r="169" spans="6:29" ht="29" hidden="1" x14ac:dyDescent="0.35">
      <c r="F169" s="40" t="s">
        <v>1600</v>
      </c>
      <c r="G169" s="40" t="s">
        <v>603</v>
      </c>
      <c r="H169" s="40" t="s">
        <v>604</v>
      </c>
      <c r="I169" s="41" t="s">
        <v>605</v>
      </c>
      <c r="J169" s="41" t="s">
        <v>121</v>
      </c>
      <c r="K169" s="41" t="s">
        <v>720</v>
      </c>
      <c r="L169" s="41" t="s">
        <v>104</v>
      </c>
      <c r="M169" s="40" t="s">
        <v>730</v>
      </c>
      <c r="P169" s="40" t="s">
        <v>604</v>
      </c>
      <c r="Q169" s="41" t="s">
        <v>607</v>
      </c>
      <c r="R169" s="41" t="s">
        <v>121</v>
      </c>
      <c r="S169" s="41" t="s">
        <v>721</v>
      </c>
      <c r="T169" s="64">
        <v>45920</v>
      </c>
      <c r="V169" s="41" t="s">
        <v>2203</v>
      </c>
      <c r="W169" s="41" t="s">
        <v>2204</v>
      </c>
      <c r="Y169" s="42"/>
      <c r="Z169" s="41" t="s">
        <v>170</v>
      </c>
      <c r="AA169" s="41" t="s">
        <v>1164</v>
      </c>
      <c r="AB169" s="41" t="s">
        <v>2036</v>
      </c>
      <c r="AC169" s="41" t="s">
        <v>2175</v>
      </c>
    </row>
    <row r="170" spans="6:29" ht="29" hidden="1" x14ac:dyDescent="0.35">
      <c r="F170" s="40" t="s">
        <v>1601</v>
      </c>
      <c r="G170" s="40" t="s">
        <v>603</v>
      </c>
      <c r="H170" s="40" t="s">
        <v>604</v>
      </c>
      <c r="I170" s="41" t="s">
        <v>605</v>
      </c>
      <c r="J170" s="41" t="s">
        <v>121</v>
      </c>
      <c r="K170" s="41" t="s">
        <v>720</v>
      </c>
      <c r="L170" s="41" t="s">
        <v>104</v>
      </c>
      <c r="M170" s="40" t="s">
        <v>666</v>
      </c>
      <c r="P170" s="40" t="s">
        <v>604</v>
      </c>
      <c r="Q170" s="41" t="s">
        <v>607</v>
      </c>
      <c r="R170" s="41" t="s">
        <v>121</v>
      </c>
      <c r="S170" s="41" t="s">
        <v>721</v>
      </c>
      <c r="T170" s="64">
        <v>45920</v>
      </c>
      <c r="V170" s="41" t="s">
        <v>2203</v>
      </c>
      <c r="W170" s="41" t="s">
        <v>2204</v>
      </c>
      <c r="Y170" s="42"/>
      <c r="Z170" s="41" t="s">
        <v>170</v>
      </c>
      <c r="AA170" s="41" t="s">
        <v>1165</v>
      </c>
      <c r="AB170" s="41" t="s">
        <v>2037</v>
      </c>
      <c r="AC170" s="41" t="s">
        <v>2175</v>
      </c>
    </row>
    <row r="171" spans="6:29" ht="29" hidden="1" x14ac:dyDescent="0.35">
      <c r="F171" s="40" t="s">
        <v>1602</v>
      </c>
      <c r="G171" s="40" t="s">
        <v>603</v>
      </c>
      <c r="H171" s="40" t="s">
        <v>604</v>
      </c>
      <c r="I171" s="41" t="s">
        <v>605</v>
      </c>
      <c r="J171" s="41" t="s">
        <v>121</v>
      </c>
      <c r="K171" s="41" t="s">
        <v>720</v>
      </c>
      <c r="L171" s="41" t="s">
        <v>104</v>
      </c>
      <c r="M171" s="40" t="s">
        <v>731</v>
      </c>
      <c r="P171" s="40" t="s">
        <v>604</v>
      </c>
      <c r="Q171" s="41" t="s">
        <v>607</v>
      </c>
      <c r="R171" s="41" t="s">
        <v>121</v>
      </c>
      <c r="S171" s="41" t="s">
        <v>721</v>
      </c>
      <c r="T171" s="64">
        <v>45920</v>
      </c>
      <c r="V171" s="41" t="s">
        <v>2203</v>
      </c>
      <c r="W171" s="41" t="s">
        <v>2204</v>
      </c>
      <c r="Y171" s="42"/>
      <c r="Z171" s="41" t="s">
        <v>170</v>
      </c>
      <c r="AA171" s="41" t="s">
        <v>1166</v>
      </c>
      <c r="AB171" s="41" t="s">
        <v>2038</v>
      </c>
      <c r="AC171" s="41" t="s">
        <v>2175</v>
      </c>
    </row>
    <row r="172" spans="6:29" ht="29" hidden="1" x14ac:dyDescent="0.35">
      <c r="F172" s="40" t="s">
        <v>1603</v>
      </c>
      <c r="G172" s="40" t="s">
        <v>603</v>
      </c>
      <c r="H172" s="40" t="s">
        <v>604</v>
      </c>
      <c r="I172" s="41" t="s">
        <v>605</v>
      </c>
      <c r="J172" s="41" t="s">
        <v>121</v>
      </c>
      <c r="K172" s="41" t="s">
        <v>720</v>
      </c>
      <c r="L172" s="41" t="s">
        <v>104</v>
      </c>
      <c r="M172" s="40" t="s">
        <v>732</v>
      </c>
      <c r="P172" s="40" t="s">
        <v>604</v>
      </c>
      <c r="Q172" s="41" t="s">
        <v>607</v>
      </c>
      <c r="R172" s="41" t="s">
        <v>121</v>
      </c>
      <c r="S172" s="41" t="s">
        <v>721</v>
      </c>
      <c r="T172" s="64">
        <v>45920</v>
      </c>
      <c r="V172" s="41" t="s">
        <v>2203</v>
      </c>
      <c r="W172" s="41" t="s">
        <v>2204</v>
      </c>
      <c r="Y172" s="42"/>
      <c r="Z172" s="41" t="s">
        <v>170</v>
      </c>
      <c r="AA172" s="41" t="s">
        <v>1167</v>
      </c>
      <c r="AB172" s="41" t="s">
        <v>2039</v>
      </c>
      <c r="AC172" s="41" t="s">
        <v>2175</v>
      </c>
    </row>
    <row r="173" spans="6:29" ht="29" hidden="1" x14ac:dyDescent="0.35">
      <c r="F173" s="40" t="s">
        <v>1604</v>
      </c>
      <c r="G173" s="40" t="s">
        <v>603</v>
      </c>
      <c r="H173" s="40" t="s">
        <v>604</v>
      </c>
      <c r="I173" s="41" t="s">
        <v>605</v>
      </c>
      <c r="J173" s="41" t="s">
        <v>121</v>
      </c>
      <c r="K173" s="41" t="s">
        <v>720</v>
      </c>
      <c r="L173" s="41" t="s">
        <v>104</v>
      </c>
      <c r="M173" s="40" t="s">
        <v>733</v>
      </c>
      <c r="P173" s="40" t="s">
        <v>604</v>
      </c>
      <c r="Q173" s="41" t="s">
        <v>607</v>
      </c>
      <c r="R173" s="41" t="s">
        <v>121</v>
      </c>
      <c r="S173" s="41" t="s">
        <v>721</v>
      </c>
      <c r="T173" s="64">
        <v>45920</v>
      </c>
      <c r="V173" s="41" t="s">
        <v>2203</v>
      </c>
      <c r="W173" s="41" t="s">
        <v>2204</v>
      </c>
      <c r="Y173" s="42"/>
      <c r="Z173" s="41" t="s">
        <v>170</v>
      </c>
      <c r="AA173" s="41" t="s">
        <v>1168</v>
      </c>
      <c r="AB173" s="41" t="s">
        <v>2040</v>
      </c>
      <c r="AC173" s="41" t="s">
        <v>2175</v>
      </c>
    </row>
    <row r="174" spans="6:29" ht="29" hidden="1" x14ac:dyDescent="0.35">
      <c r="F174" s="40" t="s">
        <v>1605</v>
      </c>
      <c r="G174" s="40" t="s">
        <v>603</v>
      </c>
      <c r="H174" s="40" t="s">
        <v>604</v>
      </c>
      <c r="I174" s="41" t="s">
        <v>605</v>
      </c>
      <c r="J174" s="41" t="s">
        <v>121</v>
      </c>
      <c r="K174" s="41" t="s">
        <v>720</v>
      </c>
      <c r="L174" s="41" t="s">
        <v>104</v>
      </c>
      <c r="M174" s="40" t="s">
        <v>734</v>
      </c>
      <c r="P174" s="40" t="s">
        <v>604</v>
      </c>
      <c r="Q174" s="41" t="s">
        <v>607</v>
      </c>
      <c r="R174" s="41" t="s">
        <v>121</v>
      </c>
      <c r="S174" s="41" t="s">
        <v>721</v>
      </c>
      <c r="T174" s="64">
        <v>45920</v>
      </c>
      <c r="V174" s="41" t="s">
        <v>2203</v>
      </c>
      <c r="W174" s="41" t="s">
        <v>2204</v>
      </c>
      <c r="Y174" s="42"/>
      <c r="Z174" s="41" t="s">
        <v>170</v>
      </c>
      <c r="AA174" s="41" t="s">
        <v>1169</v>
      </c>
      <c r="AB174" s="41" t="s">
        <v>2041</v>
      </c>
      <c r="AC174" s="41" t="s">
        <v>2175</v>
      </c>
    </row>
    <row r="175" spans="6:29" ht="29" hidden="1" x14ac:dyDescent="0.35">
      <c r="F175" s="40" t="s">
        <v>1606</v>
      </c>
      <c r="G175" s="40" t="s">
        <v>603</v>
      </c>
      <c r="H175" s="40" t="s">
        <v>604</v>
      </c>
      <c r="I175" s="41" t="s">
        <v>605</v>
      </c>
      <c r="J175" s="41" t="s">
        <v>121</v>
      </c>
      <c r="K175" s="41" t="s">
        <v>720</v>
      </c>
      <c r="L175" s="41" t="s">
        <v>104</v>
      </c>
      <c r="M175" s="40" t="s">
        <v>735</v>
      </c>
      <c r="P175" s="40" t="s">
        <v>604</v>
      </c>
      <c r="Q175" s="41" t="s">
        <v>607</v>
      </c>
      <c r="R175" s="41" t="s">
        <v>121</v>
      </c>
      <c r="S175" s="41" t="s">
        <v>721</v>
      </c>
      <c r="T175" s="64">
        <v>45920</v>
      </c>
      <c r="V175" s="41" t="s">
        <v>2203</v>
      </c>
      <c r="W175" s="41" t="s">
        <v>2204</v>
      </c>
      <c r="Y175" s="42"/>
      <c r="Z175" s="41" t="s">
        <v>170</v>
      </c>
      <c r="AA175" s="41" t="s">
        <v>1170</v>
      </c>
      <c r="AB175" s="41" t="s">
        <v>2042</v>
      </c>
      <c r="AC175" s="41" t="s">
        <v>2175</v>
      </c>
    </row>
    <row r="176" spans="6:29" ht="29" hidden="1" x14ac:dyDescent="0.35">
      <c r="F176" s="40" t="s">
        <v>1607</v>
      </c>
      <c r="G176" s="40" t="s">
        <v>603</v>
      </c>
      <c r="H176" s="40" t="s">
        <v>604</v>
      </c>
      <c r="I176" s="41" t="s">
        <v>607</v>
      </c>
      <c r="J176" s="41" t="s">
        <v>121</v>
      </c>
      <c r="K176" s="41" t="s">
        <v>721</v>
      </c>
      <c r="L176" s="41" t="s">
        <v>104</v>
      </c>
      <c r="M176" s="40" t="s">
        <v>690</v>
      </c>
      <c r="P176" s="40" t="s">
        <v>604</v>
      </c>
      <c r="Q176" s="41" t="s">
        <v>607</v>
      </c>
      <c r="R176" s="41" t="s">
        <v>121</v>
      </c>
      <c r="S176" s="41" t="s">
        <v>721</v>
      </c>
      <c r="T176" s="64">
        <v>45920</v>
      </c>
      <c r="V176" s="41" t="s">
        <v>2203</v>
      </c>
      <c r="W176" s="41" t="s">
        <v>2204</v>
      </c>
      <c r="Y176" s="42"/>
      <c r="Z176" s="41" t="s">
        <v>170</v>
      </c>
      <c r="AA176" s="41" t="s">
        <v>1171</v>
      </c>
      <c r="AB176" s="41" t="s">
        <v>2043</v>
      </c>
      <c r="AC176" s="41" t="s">
        <v>2175</v>
      </c>
    </row>
    <row r="177" spans="6:29" ht="29" hidden="1" x14ac:dyDescent="0.35">
      <c r="F177" s="40" t="s">
        <v>1608</v>
      </c>
      <c r="G177" s="40" t="s">
        <v>603</v>
      </c>
      <c r="H177" s="40" t="s">
        <v>604</v>
      </c>
      <c r="I177" s="41" t="s">
        <v>605</v>
      </c>
      <c r="J177" s="41" t="s">
        <v>121</v>
      </c>
      <c r="K177" s="41" t="s">
        <v>720</v>
      </c>
      <c r="L177" s="41" t="s">
        <v>104</v>
      </c>
      <c r="M177" s="40" t="s">
        <v>736</v>
      </c>
      <c r="P177" s="40" t="s">
        <v>604</v>
      </c>
      <c r="Q177" s="41" t="s">
        <v>607</v>
      </c>
      <c r="R177" s="41" t="s">
        <v>121</v>
      </c>
      <c r="S177" s="41" t="s">
        <v>721</v>
      </c>
      <c r="T177" s="64">
        <v>45920</v>
      </c>
      <c r="V177" s="41" t="s">
        <v>2203</v>
      </c>
      <c r="W177" s="41" t="s">
        <v>2204</v>
      </c>
      <c r="Y177" s="42"/>
      <c r="Z177" s="41" t="s">
        <v>170</v>
      </c>
      <c r="AA177" s="41" t="s">
        <v>1172</v>
      </c>
      <c r="AB177" s="41" t="s">
        <v>2044</v>
      </c>
      <c r="AC177" s="41" t="s">
        <v>2175</v>
      </c>
    </row>
    <row r="178" spans="6:29" ht="29" hidden="1" x14ac:dyDescent="0.35">
      <c r="F178" s="40" t="s">
        <v>1609</v>
      </c>
      <c r="G178" s="40" t="s">
        <v>603</v>
      </c>
      <c r="H178" s="40" t="s">
        <v>604</v>
      </c>
      <c r="I178" s="41" t="s">
        <v>605</v>
      </c>
      <c r="J178" s="41" t="s">
        <v>121</v>
      </c>
      <c r="K178" s="41" t="s">
        <v>720</v>
      </c>
      <c r="L178" s="41" t="s">
        <v>104</v>
      </c>
      <c r="M178" s="40" t="s">
        <v>737</v>
      </c>
      <c r="P178" s="40" t="s">
        <v>604</v>
      </c>
      <c r="Q178" s="41" t="s">
        <v>607</v>
      </c>
      <c r="R178" s="41" t="s">
        <v>121</v>
      </c>
      <c r="S178" s="41" t="s">
        <v>721</v>
      </c>
      <c r="T178" s="64">
        <v>45920</v>
      </c>
      <c r="V178" s="41" t="s">
        <v>2203</v>
      </c>
      <c r="W178" s="41" t="s">
        <v>2204</v>
      </c>
      <c r="Y178" s="42"/>
      <c r="Z178" s="41" t="s">
        <v>170</v>
      </c>
      <c r="AA178" s="41" t="s">
        <v>1173</v>
      </c>
      <c r="AB178" s="41" t="s">
        <v>2045</v>
      </c>
      <c r="AC178" s="41" t="s">
        <v>2175</v>
      </c>
    </row>
    <row r="179" spans="6:29" ht="29" hidden="1" x14ac:dyDescent="0.35">
      <c r="F179" s="40" t="s">
        <v>1610</v>
      </c>
      <c r="G179" s="40" t="s">
        <v>603</v>
      </c>
      <c r="H179" s="40" t="s">
        <v>604</v>
      </c>
      <c r="I179" s="41" t="s">
        <v>605</v>
      </c>
      <c r="J179" s="41" t="s">
        <v>121</v>
      </c>
      <c r="K179" s="41" t="s">
        <v>720</v>
      </c>
      <c r="L179" s="41" t="s">
        <v>104</v>
      </c>
      <c r="M179" s="40" t="s">
        <v>738</v>
      </c>
      <c r="P179" s="40" t="s">
        <v>604</v>
      </c>
      <c r="Q179" s="41" t="s">
        <v>607</v>
      </c>
      <c r="R179" s="41" t="s">
        <v>121</v>
      </c>
      <c r="S179" s="41" t="s">
        <v>721</v>
      </c>
      <c r="T179" s="64">
        <v>45920</v>
      </c>
      <c r="V179" s="41" t="s">
        <v>2203</v>
      </c>
      <c r="W179" s="41" t="s">
        <v>2204</v>
      </c>
      <c r="Y179" s="42"/>
      <c r="Z179" s="41" t="s">
        <v>170</v>
      </c>
      <c r="AA179" s="41" t="s">
        <v>1174</v>
      </c>
      <c r="AB179" s="41" t="s">
        <v>2046</v>
      </c>
      <c r="AC179" s="41" t="s">
        <v>2175</v>
      </c>
    </row>
    <row r="180" spans="6:29" ht="29" hidden="1" x14ac:dyDescent="0.35">
      <c r="F180" s="40" t="s">
        <v>1611</v>
      </c>
      <c r="G180" s="40" t="s">
        <v>603</v>
      </c>
      <c r="H180" s="40" t="s">
        <v>604</v>
      </c>
      <c r="I180" s="41" t="s">
        <v>605</v>
      </c>
      <c r="J180" s="41" t="s">
        <v>121</v>
      </c>
      <c r="K180" s="41" t="s">
        <v>720</v>
      </c>
      <c r="L180" s="41" t="s">
        <v>104</v>
      </c>
      <c r="M180" s="40" t="s">
        <v>739</v>
      </c>
      <c r="P180" s="40" t="s">
        <v>604</v>
      </c>
      <c r="Q180" s="41" t="s">
        <v>607</v>
      </c>
      <c r="R180" s="41" t="s">
        <v>121</v>
      </c>
      <c r="S180" s="41" t="s">
        <v>721</v>
      </c>
      <c r="T180" s="64">
        <v>45920</v>
      </c>
      <c r="V180" s="41" t="s">
        <v>2203</v>
      </c>
      <c r="W180" s="41" t="s">
        <v>2204</v>
      </c>
      <c r="Y180" s="42"/>
      <c r="Z180" s="41" t="s">
        <v>170</v>
      </c>
      <c r="AA180" s="41" t="s">
        <v>1175</v>
      </c>
      <c r="AB180" s="41" t="s">
        <v>2047</v>
      </c>
      <c r="AC180" s="41" t="s">
        <v>2175</v>
      </c>
    </row>
    <row r="181" spans="6:29" ht="29" hidden="1" x14ac:dyDescent="0.35">
      <c r="F181" s="40" t="s">
        <v>1612</v>
      </c>
      <c r="G181" s="40" t="s">
        <v>603</v>
      </c>
      <c r="H181" s="40" t="s">
        <v>604</v>
      </c>
      <c r="I181" s="41" t="s">
        <v>605</v>
      </c>
      <c r="J181" s="41" t="s">
        <v>121</v>
      </c>
      <c r="K181" s="41" t="s">
        <v>720</v>
      </c>
      <c r="L181" s="41" t="s">
        <v>104</v>
      </c>
      <c r="M181" s="40" t="s">
        <v>740</v>
      </c>
      <c r="P181" s="40" t="s">
        <v>604</v>
      </c>
      <c r="Q181" s="41" t="s">
        <v>607</v>
      </c>
      <c r="R181" s="41" t="s">
        <v>121</v>
      </c>
      <c r="S181" s="41" t="s">
        <v>721</v>
      </c>
      <c r="T181" s="64">
        <v>45920</v>
      </c>
      <c r="V181" s="41" t="s">
        <v>2203</v>
      </c>
      <c r="W181" s="41" t="s">
        <v>2204</v>
      </c>
      <c r="Y181" s="42"/>
      <c r="Z181" s="41" t="s">
        <v>170</v>
      </c>
      <c r="AA181" s="41" t="s">
        <v>1176</v>
      </c>
      <c r="AB181" s="41" t="s">
        <v>2048</v>
      </c>
      <c r="AC181" s="41" t="s">
        <v>2175</v>
      </c>
    </row>
    <row r="182" spans="6:29" ht="43.5" hidden="1" x14ac:dyDescent="0.35">
      <c r="F182" s="40" t="s">
        <v>1613</v>
      </c>
      <c r="G182" s="40" t="s">
        <v>603</v>
      </c>
      <c r="H182" s="40" t="s">
        <v>604</v>
      </c>
      <c r="I182" s="41" t="s">
        <v>605</v>
      </c>
      <c r="J182" s="41" t="s">
        <v>133</v>
      </c>
      <c r="K182" s="41" t="s">
        <v>742</v>
      </c>
      <c r="L182" s="41" t="s">
        <v>104</v>
      </c>
      <c r="M182" s="40" t="s">
        <v>741</v>
      </c>
      <c r="P182" s="40" t="s">
        <v>604</v>
      </c>
      <c r="Q182" s="41" t="s">
        <v>607</v>
      </c>
      <c r="R182" s="41" t="s">
        <v>133</v>
      </c>
      <c r="S182" s="41" t="s">
        <v>743</v>
      </c>
      <c r="T182" s="64">
        <v>45920</v>
      </c>
      <c r="V182" s="41" t="s">
        <v>2203</v>
      </c>
      <c r="W182" s="41" t="s">
        <v>2204</v>
      </c>
      <c r="Y182" s="42"/>
      <c r="Z182" s="41" t="s">
        <v>170</v>
      </c>
      <c r="AA182" s="41" t="s">
        <v>1177</v>
      </c>
      <c r="AB182" s="41" t="s">
        <v>2049</v>
      </c>
      <c r="AC182" s="41" t="s">
        <v>2175</v>
      </c>
    </row>
    <row r="183" spans="6:29" ht="43.5" hidden="1" x14ac:dyDescent="0.35">
      <c r="F183" s="40" t="s">
        <v>1614</v>
      </c>
      <c r="G183" s="40" t="s">
        <v>603</v>
      </c>
      <c r="H183" s="40" t="s">
        <v>604</v>
      </c>
      <c r="I183" s="41" t="s">
        <v>605</v>
      </c>
      <c r="J183" s="41" t="s">
        <v>133</v>
      </c>
      <c r="K183" s="41" t="s">
        <v>742</v>
      </c>
      <c r="L183" s="41" t="s">
        <v>104</v>
      </c>
      <c r="M183" s="40" t="s">
        <v>744</v>
      </c>
      <c r="P183" s="40" t="s">
        <v>604</v>
      </c>
      <c r="Q183" s="41" t="s">
        <v>607</v>
      </c>
      <c r="R183" s="41" t="s">
        <v>133</v>
      </c>
      <c r="S183" s="41" t="s">
        <v>743</v>
      </c>
      <c r="T183" s="64">
        <v>45920</v>
      </c>
      <c r="V183" s="41" t="s">
        <v>2203</v>
      </c>
      <c r="W183" s="41" t="s">
        <v>2204</v>
      </c>
      <c r="Y183" s="42"/>
      <c r="Z183" s="41" t="s">
        <v>170</v>
      </c>
      <c r="AA183" s="41" t="s">
        <v>1178</v>
      </c>
      <c r="AB183" s="41" t="s">
        <v>2050</v>
      </c>
      <c r="AC183" s="41" t="s">
        <v>2175</v>
      </c>
    </row>
    <row r="184" spans="6:29" ht="43.5" hidden="1" x14ac:dyDescent="0.35">
      <c r="F184" s="40" t="s">
        <v>1615</v>
      </c>
      <c r="G184" s="40" t="s">
        <v>603</v>
      </c>
      <c r="H184" s="40" t="s">
        <v>604</v>
      </c>
      <c r="I184" s="41" t="s">
        <v>605</v>
      </c>
      <c r="J184" s="41" t="s">
        <v>133</v>
      </c>
      <c r="K184" s="41" t="s">
        <v>742</v>
      </c>
      <c r="L184" s="41" t="s">
        <v>104</v>
      </c>
      <c r="M184" s="40" t="s">
        <v>746</v>
      </c>
      <c r="P184" s="40" t="s">
        <v>604</v>
      </c>
      <c r="Q184" s="41" t="s">
        <v>607</v>
      </c>
      <c r="R184" s="41" t="s">
        <v>133</v>
      </c>
      <c r="S184" s="41" t="s">
        <v>743</v>
      </c>
      <c r="T184" s="64">
        <v>45920</v>
      </c>
      <c r="V184" s="41" t="s">
        <v>2203</v>
      </c>
      <c r="W184" s="41" t="s">
        <v>2204</v>
      </c>
      <c r="Y184" s="42"/>
      <c r="Z184" s="41" t="s">
        <v>170</v>
      </c>
      <c r="AA184" s="41" t="s">
        <v>1179</v>
      </c>
      <c r="AB184" s="41" t="s">
        <v>2051</v>
      </c>
      <c r="AC184" s="41" t="s">
        <v>2175</v>
      </c>
    </row>
    <row r="185" spans="6:29" ht="43.5" hidden="1" x14ac:dyDescent="0.35">
      <c r="F185" s="40" t="s">
        <v>1616</v>
      </c>
      <c r="G185" s="40" t="s">
        <v>603</v>
      </c>
      <c r="H185" s="40" t="s">
        <v>604</v>
      </c>
      <c r="I185" s="41" t="s">
        <v>605</v>
      </c>
      <c r="J185" s="41" t="s">
        <v>133</v>
      </c>
      <c r="K185" s="41" t="s">
        <v>742</v>
      </c>
      <c r="L185" s="41" t="s">
        <v>104</v>
      </c>
      <c r="M185" s="40" t="s">
        <v>748</v>
      </c>
      <c r="P185" s="40" t="s">
        <v>604</v>
      </c>
      <c r="Q185" s="41" t="s">
        <v>607</v>
      </c>
      <c r="R185" s="41" t="s">
        <v>133</v>
      </c>
      <c r="S185" s="41" t="s">
        <v>743</v>
      </c>
      <c r="T185" s="64">
        <v>45920</v>
      </c>
      <c r="V185" s="41" t="s">
        <v>2203</v>
      </c>
      <c r="W185" s="41" t="s">
        <v>2204</v>
      </c>
      <c r="Y185" s="42"/>
      <c r="Z185" s="41" t="s">
        <v>170</v>
      </c>
      <c r="AA185" s="41" t="s">
        <v>1180</v>
      </c>
      <c r="AB185" s="41" t="s">
        <v>2052</v>
      </c>
      <c r="AC185" s="41" t="s">
        <v>2175</v>
      </c>
    </row>
    <row r="186" spans="6:29" ht="43.5" hidden="1" x14ac:dyDescent="0.35">
      <c r="F186" s="40" t="s">
        <v>1617</v>
      </c>
      <c r="G186" s="40" t="s">
        <v>603</v>
      </c>
      <c r="H186" s="40" t="s">
        <v>604</v>
      </c>
      <c r="I186" s="41" t="s">
        <v>605</v>
      </c>
      <c r="J186" s="41" t="s">
        <v>133</v>
      </c>
      <c r="K186" s="41" t="s">
        <v>742</v>
      </c>
      <c r="L186" s="41" t="s">
        <v>104</v>
      </c>
      <c r="M186" s="40" t="s">
        <v>750</v>
      </c>
      <c r="P186" s="40" t="s">
        <v>604</v>
      </c>
      <c r="Q186" s="41" t="s">
        <v>607</v>
      </c>
      <c r="R186" s="41" t="s">
        <v>133</v>
      </c>
      <c r="S186" s="41" t="s">
        <v>743</v>
      </c>
      <c r="T186" s="64">
        <v>45920</v>
      </c>
      <c r="V186" s="41" t="s">
        <v>2203</v>
      </c>
      <c r="W186" s="41" t="s">
        <v>2204</v>
      </c>
      <c r="Y186" s="42"/>
      <c r="Z186" s="41" t="s">
        <v>170</v>
      </c>
      <c r="AA186" s="41" t="s">
        <v>1181</v>
      </c>
      <c r="AB186" s="41" t="s">
        <v>2053</v>
      </c>
      <c r="AC186" s="41" t="s">
        <v>2175</v>
      </c>
    </row>
    <row r="187" spans="6:29" ht="43.5" hidden="1" x14ac:dyDescent="0.35">
      <c r="F187" s="40" t="s">
        <v>1618</v>
      </c>
      <c r="G187" s="40" t="s">
        <v>603</v>
      </c>
      <c r="H187" s="40" t="s">
        <v>604</v>
      </c>
      <c r="I187" s="41" t="s">
        <v>605</v>
      </c>
      <c r="J187" s="41" t="s">
        <v>133</v>
      </c>
      <c r="K187" s="41" t="s">
        <v>742</v>
      </c>
      <c r="L187" s="41" t="s">
        <v>104</v>
      </c>
      <c r="M187" s="40" t="s">
        <v>752</v>
      </c>
      <c r="P187" s="40" t="s">
        <v>604</v>
      </c>
      <c r="Q187" s="41" t="s">
        <v>607</v>
      </c>
      <c r="R187" s="41" t="s">
        <v>133</v>
      </c>
      <c r="S187" s="41" t="s">
        <v>743</v>
      </c>
      <c r="T187" s="64">
        <v>45920</v>
      </c>
      <c r="V187" s="41" t="s">
        <v>2203</v>
      </c>
      <c r="W187" s="41" t="s">
        <v>2204</v>
      </c>
      <c r="Y187" s="42"/>
      <c r="Z187" s="41" t="s">
        <v>170</v>
      </c>
      <c r="AA187" s="41" t="s">
        <v>1182</v>
      </c>
      <c r="AB187" s="41" t="s">
        <v>2054</v>
      </c>
      <c r="AC187" s="41" t="s">
        <v>2175</v>
      </c>
    </row>
    <row r="188" spans="6:29" ht="29" hidden="1" x14ac:dyDescent="0.35">
      <c r="F188" s="40" t="s">
        <v>1619</v>
      </c>
      <c r="G188" s="40" t="s">
        <v>603</v>
      </c>
      <c r="H188" s="40" t="s">
        <v>604</v>
      </c>
      <c r="I188" s="41" t="s">
        <v>605</v>
      </c>
      <c r="J188" s="41" t="s">
        <v>119</v>
      </c>
      <c r="K188" s="41" t="s">
        <v>755</v>
      </c>
      <c r="L188" s="41" t="s">
        <v>104</v>
      </c>
      <c r="M188" s="40" t="s">
        <v>753</v>
      </c>
      <c r="P188" s="40" t="s">
        <v>604</v>
      </c>
      <c r="Q188" s="41" t="s">
        <v>607</v>
      </c>
      <c r="R188" s="41" t="s">
        <v>119</v>
      </c>
      <c r="S188" s="41" t="s">
        <v>756</v>
      </c>
      <c r="T188" s="64">
        <v>45920</v>
      </c>
      <c r="V188" s="41" t="s">
        <v>2203</v>
      </c>
      <c r="W188" s="41" t="s">
        <v>2204</v>
      </c>
      <c r="Y188" s="42"/>
      <c r="Z188" s="41" t="s">
        <v>170</v>
      </c>
      <c r="AA188" s="41" t="s">
        <v>1183</v>
      </c>
      <c r="AB188" s="41" t="s">
        <v>2055</v>
      </c>
      <c r="AC188" s="41" t="s">
        <v>2175</v>
      </c>
    </row>
    <row r="189" spans="6:29" ht="29" hidden="1" x14ac:dyDescent="0.35">
      <c r="F189" s="40" t="s">
        <v>1620</v>
      </c>
      <c r="G189" s="40" t="s">
        <v>603</v>
      </c>
      <c r="H189" s="40" t="s">
        <v>604</v>
      </c>
      <c r="I189" s="41" t="s">
        <v>605</v>
      </c>
      <c r="J189" s="41" t="s">
        <v>119</v>
      </c>
      <c r="K189" s="41" t="s">
        <v>755</v>
      </c>
      <c r="L189" s="41" t="s">
        <v>104</v>
      </c>
      <c r="M189" s="40" t="s">
        <v>757</v>
      </c>
      <c r="P189" s="40" t="s">
        <v>604</v>
      </c>
      <c r="Q189" s="41" t="s">
        <v>607</v>
      </c>
      <c r="R189" s="41" t="s">
        <v>119</v>
      </c>
      <c r="S189" s="41" t="s">
        <v>756</v>
      </c>
      <c r="T189" s="64">
        <v>45920</v>
      </c>
      <c r="V189" s="41" t="s">
        <v>2203</v>
      </c>
      <c r="W189" s="41" t="s">
        <v>2204</v>
      </c>
      <c r="Y189" s="42"/>
      <c r="Z189" s="41" t="s">
        <v>170</v>
      </c>
      <c r="AA189" s="41" t="s">
        <v>1184</v>
      </c>
      <c r="AB189" s="41" t="s">
        <v>2056</v>
      </c>
      <c r="AC189" s="41" t="s">
        <v>2175</v>
      </c>
    </row>
    <row r="190" spans="6:29" ht="29" hidden="1" x14ac:dyDescent="0.35">
      <c r="F190" s="40" t="s">
        <v>1621</v>
      </c>
      <c r="G190" s="40" t="s">
        <v>603</v>
      </c>
      <c r="H190" s="40" t="s">
        <v>604</v>
      </c>
      <c r="I190" s="41" t="s">
        <v>605</v>
      </c>
      <c r="J190" s="41" t="s">
        <v>119</v>
      </c>
      <c r="K190" s="41" t="s">
        <v>755</v>
      </c>
      <c r="L190" s="41" t="s">
        <v>104</v>
      </c>
      <c r="M190" s="40" t="s">
        <v>616</v>
      </c>
      <c r="P190" s="40" t="s">
        <v>604</v>
      </c>
      <c r="Q190" s="41" t="s">
        <v>607</v>
      </c>
      <c r="R190" s="41" t="s">
        <v>119</v>
      </c>
      <c r="S190" s="41" t="s">
        <v>756</v>
      </c>
      <c r="T190" s="64">
        <v>45920</v>
      </c>
      <c r="V190" s="41" t="s">
        <v>2203</v>
      </c>
      <c r="W190" s="41" t="s">
        <v>2204</v>
      </c>
      <c r="Y190" s="42"/>
      <c r="Z190" s="41" t="s">
        <v>170</v>
      </c>
      <c r="AA190" s="41" t="s">
        <v>1185</v>
      </c>
      <c r="AB190" s="41" t="s">
        <v>2057</v>
      </c>
      <c r="AC190" s="41" t="s">
        <v>2175</v>
      </c>
    </row>
    <row r="191" spans="6:29" ht="29" hidden="1" x14ac:dyDescent="0.35">
      <c r="F191" s="40" t="s">
        <v>1622</v>
      </c>
      <c r="G191" s="40" t="s">
        <v>603</v>
      </c>
      <c r="H191" s="40" t="s">
        <v>604</v>
      </c>
      <c r="I191" s="41" t="s">
        <v>605</v>
      </c>
      <c r="J191" s="41" t="s">
        <v>119</v>
      </c>
      <c r="K191" s="41" t="s">
        <v>755</v>
      </c>
      <c r="L191" s="41" t="s">
        <v>104</v>
      </c>
      <c r="M191" s="40" t="s">
        <v>759</v>
      </c>
      <c r="P191" s="40" t="s">
        <v>604</v>
      </c>
      <c r="Q191" s="41" t="s">
        <v>607</v>
      </c>
      <c r="R191" s="41" t="s">
        <v>119</v>
      </c>
      <c r="S191" s="41" t="s">
        <v>756</v>
      </c>
      <c r="T191" s="64">
        <v>45920</v>
      </c>
      <c r="V191" s="41" t="s">
        <v>2203</v>
      </c>
      <c r="W191" s="41" t="s">
        <v>2204</v>
      </c>
      <c r="Y191" s="42"/>
      <c r="Z191" s="41" t="s">
        <v>170</v>
      </c>
      <c r="AA191" s="41" t="s">
        <v>1186</v>
      </c>
      <c r="AB191" s="41" t="s">
        <v>2058</v>
      </c>
      <c r="AC191" s="41" t="s">
        <v>2175</v>
      </c>
    </row>
    <row r="192" spans="6:29" ht="29" hidden="1" x14ac:dyDescent="0.35">
      <c r="F192" s="40" t="s">
        <v>1623</v>
      </c>
      <c r="G192" s="40" t="s">
        <v>603</v>
      </c>
      <c r="H192" s="40" t="s">
        <v>604</v>
      </c>
      <c r="I192" s="41" t="s">
        <v>605</v>
      </c>
      <c r="J192" s="41" t="s">
        <v>119</v>
      </c>
      <c r="K192" s="41" t="s">
        <v>755</v>
      </c>
      <c r="L192" s="41" t="s">
        <v>104</v>
      </c>
      <c r="M192" s="40" t="s">
        <v>760</v>
      </c>
      <c r="P192" s="40" t="s">
        <v>604</v>
      </c>
      <c r="Q192" s="41" t="s">
        <v>607</v>
      </c>
      <c r="R192" s="41" t="s">
        <v>119</v>
      </c>
      <c r="S192" s="41" t="s">
        <v>756</v>
      </c>
      <c r="T192" s="64">
        <v>45920</v>
      </c>
      <c r="V192" s="41" t="s">
        <v>2203</v>
      </c>
      <c r="W192" s="41" t="s">
        <v>2204</v>
      </c>
      <c r="Y192" s="42"/>
      <c r="Z192" s="41" t="s">
        <v>170</v>
      </c>
      <c r="AA192" s="41" t="s">
        <v>1187</v>
      </c>
      <c r="AB192" s="41" t="s">
        <v>2059</v>
      </c>
      <c r="AC192" s="41" t="s">
        <v>2175</v>
      </c>
    </row>
    <row r="193" spans="6:29" ht="29" hidden="1" x14ac:dyDescent="0.35">
      <c r="F193" s="40" t="s">
        <v>1624</v>
      </c>
      <c r="G193" s="40" t="s">
        <v>603</v>
      </c>
      <c r="H193" s="40" t="s">
        <v>604</v>
      </c>
      <c r="I193" s="41" t="s">
        <v>605</v>
      </c>
      <c r="J193" s="41" t="s">
        <v>119</v>
      </c>
      <c r="K193" s="41" t="s">
        <v>755</v>
      </c>
      <c r="L193" s="41" t="s">
        <v>104</v>
      </c>
      <c r="M193" s="40" t="s">
        <v>656</v>
      </c>
      <c r="P193" s="40" t="s">
        <v>604</v>
      </c>
      <c r="Q193" s="41" t="s">
        <v>607</v>
      </c>
      <c r="R193" s="41" t="s">
        <v>119</v>
      </c>
      <c r="S193" s="41" t="s">
        <v>756</v>
      </c>
      <c r="T193" s="64">
        <v>45920</v>
      </c>
      <c r="V193" s="41" t="s">
        <v>2203</v>
      </c>
      <c r="W193" s="41" t="s">
        <v>2204</v>
      </c>
      <c r="Y193" s="42"/>
      <c r="Z193" s="41" t="s">
        <v>170</v>
      </c>
      <c r="AA193" s="41" t="s">
        <v>1188</v>
      </c>
      <c r="AB193" s="41" t="s">
        <v>2060</v>
      </c>
      <c r="AC193" s="41" t="s">
        <v>2175</v>
      </c>
    </row>
    <row r="194" spans="6:29" ht="29" hidden="1" x14ac:dyDescent="0.35">
      <c r="F194" s="40" t="s">
        <v>1625</v>
      </c>
      <c r="G194" s="40" t="s">
        <v>603</v>
      </c>
      <c r="H194" s="40" t="s">
        <v>604</v>
      </c>
      <c r="I194" s="41" t="s">
        <v>605</v>
      </c>
      <c r="J194" s="41" t="s">
        <v>119</v>
      </c>
      <c r="K194" s="41" t="s">
        <v>755</v>
      </c>
      <c r="L194" s="41" t="s">
        <v>104</v>
      </c>
      <c r="M194" s="40" t="s">
        <v>678</v>
      </c>
      <c r="P194" s="40" t="s">
        <v>604</v>
      </c>
      <c r="Q194" s="41" t="s">
        <v>607</v>
      </c>
      <c r="R194" s="41" t="s">
        <v>119</v>
      </c>
      <c r="S194" s="41" t="s">
        <v>756</v>
      </c>
      <c r="T194" s="64">
        <v>45920</v>
      </c>
      <c r="V194" s="41" t="s">
        <v>2203</v>
      </c>
      <c r="W194" s="41" t="s">
        <v>2204</v>
      </c>
      <c r="Y194" s="42"/>
      <c r="Z194" s="41" t="s">
        <v>170</v>
      </c>
      <c r="AA194" s="41" t="s">
        <v>1189</v>
      </c>
      <c r="AB194" s="41" t="s">
        <v>2061</v>
      </c>
      <c r="AC194" s="41" t="s">
        <v>2175</v>
      </c>
    </row>
    <row r="195" spans="6:29" ht="29" hidden="1" x14ac:dyDescent="0.35">
      <c r="F195" s="40" t="s">
        <v>1626</v>
      </c>
      <c r="G195" s="40" t="s">
        <v>603</v>
      </c>
      <c r="H195" s="40" t="s">
        <v>604</v>
      </c>
      <c r="I195" s="41" t="s">
        <v>607</v>
      </c>
      <c r="J195" s="41" t="s">
        <v>121</v>
      </c>
      <c r="K195" s="41" t="s">
        <v>721</v>
      </c>
      <c r="L195" s="41" t="s">
        <v>104</v>
      </c>
      <c r="M195" s="40" t="s">
        <v>690</v>
      </c>
      <c r="P195" s="40" t="s">
        <v>604</v>
      </c>
      <c r="Q195" s="41" t="s">
        <v>607</v>
      </c>
      <c r="R195" s="41" t="s">
        <v>121</v>
      </c>
      <c r="S195" s="41" t="s">
        <v>721</v>
      </c>
      <c r="T195" s="64">
        <v>45920</v>
      </c>
      <c r="V195" s="41" t="s">
        <v>2203</v>
      </c>
      <c r="W195" s="41" t="s">
        <v>2204</v>
      </c>
      <c r="Y195" s="42"/>
      <c r="Z195" s="41" t="s">
        <v>170</v>
      </c>
      <c r="AA195" s="41" t="s">
        <v>1190</v>
      </c>
      <c r="AB195" s="41" t="s">
        <v>2062</v>
      </c>
      <c r="AC195" s="41" t="s">
        <v>2175</v>
      </c>
    </row>
    <row r="196" spans="6:29" hidden="1" x14ac:dyDescent="0.35">
      <c r="F196" s="40" t="s">
        <v>1627</v>
      </c>
      <c r="G196" s="40" t="s">
        <v>603</v>
      </c>
      <c r="H196" s="40" t="s">
        <v>604</v>
      </c>
      <c r="I196" s="41" t="s">
        <v>605</v>
      </c>
      <c r="J196" s="41" t="s">
        <v>119</v>
      </c>
      <c r="K196" s="41" t="s">
        <v>762</v>
      </c>
      <c r="L196" s="41" t="s">
        <v>104</v>
      </c>
      <c r="M196" s="40" t="s">
        <v>761</v>
      </c>
      <c r="P196" s="40" t="s">
        <v>604</v>
      </c>
      <c r="Q196" s="41" t="s">
        <v>607</v>
      </c>
      <c r="R196" s="41" t="s">
        <v>119</v>
      </c>
      <c r="S196" s="41" t="s">
        <v>763</v>
      </c>
      <c r="T196" s="64">
        <v>45920</v>
      </c>
      <c r="V196" s="41" t="s">
        <v>2203</v>
      </c>
      <c r="W196" s="41" t="s">
        <v>2204</v>
      </c>
      <c r="Y196" s="42"/>
      <c r="Z196" s="41" t="s">
        <v>170</v>
      </c>
      <c r="AA196" s="41" t="s">
        <v>1191</v>
      </c>
      <c r="AB196" s="41" t="s">
        <v>2063</v>
      </c>
      <c r="AC196" s="41" t="s">
        <v>2175</v>
      </c>
    </row>
    <row r="197" spans="6:29" hidden="1" x14ac:dyDescent="0.35">
      <c r="F197" s="40" t="s">
        <v>1628</v>
      </c>
      <c r="G197" s="40" t="s">
        <v>603</v>
      </c>
      <c r="H197" s="40" t="s">
        <v>604</v>
      </c>
      <c r="I197" s="41" t="s">
        <v>605</v>
      </c>
      <c r="J197" s="41" t="s">
        <v>119</v>
      </c>
      <c r="K197" s="41" t="s">
        <v>762</v>
      </c>
      <c r="L197" s="41" t="s">
        <v>104</v>
      </c>
      <c r="M197" s="40" t="s">
        <v>764</v>
      </c>
      <c r="P197" s="40" t="s">
        <v>604</v>
      </c>
      <c r="Q197" s="41" t="s">
        <v>607</v>
      </c>
      <c r="R197" s="41" t="s">
        <v>119</v>
      </c>
      <c r="S197" s="41" t="s">
        <v>763</v>
      </c>
      <c r="T197" s="64">
        <v>45920</v>
      </c>
      <c r="V197" s="41" t="s">
        <v>2203</v>
      </c>
      <c r="W197" s="41" t="s">
        <v>2204</v>
      </c>
      <c r="Y197" s="42"/>
      <c r="Z197" s="41" t="s">
        <v>170</v>
      </c>
      <c r="AA197" s="41" t="s">
        <v>1192</v>
      </c>
      <c r="AB197" s="41" t="s">
        <v>2064</v>
      </c>
      <c r="AC197" s="41" t="s">
        <v>2175</v>
      </c>
    </row>
    <row r="198" spans="6:29" hidden="1" x14ac:dyDescent="0.35">
      <c r="F198" s="40" t="s">
        <v>1629</v>
      </c>
      <c r="G198" s="40" t="s">
        <v>603</v>
      </c>
      <c r="H198" s="40" t="s">
        <v>604</v>
      </c>
      <c r="I198" s="41" t="s">
        <v>605</v>
      </c>
      <c r="J198" s="41" t="s">
        <v>119</v>
      </c>
      <c r="K198" s="41" t="s">
        <v>762</v>
      </c>
      <c r="L198" s="41" t="s">
        <v>104</v>
      </c>
      <c r="M198" s="40" t="s">
        <v>616</v>
      </c>
      <c r="P198" s="40" t="s">
        <v>604</v>
      </c>
      <c r="Q198" s="41" t="s">
        <v>607</v>
      </c>
      <c r="R198" s="41" t="s">
        <v>119</v>
      </c>
      <c r="S198" s="41" t="s">
        <v>763</v>
      </c>
      <c r="T198" s="64">
        <v>45920</v>
      </c>
      <c r="V198" s="41" t="s">
        <v>2203</v>
      </c>
      <c r="W198" s="41" t="s">
        <v>2204</v>
      </c>
      <c r="Y198" s="42"/>
      <c r="Z198" s="41" t="s">
        <v>170</v>
      </c>
      <c r="AA198" s="41" t="s">
        <v>1193</v>
      </c>
      <c r="AB198" s="41" t="s">
        <v>2065</v>
      </c>
      <c r="AC198" s="41" t="s">
        <v>2175</v>
      </c>
    </row>
    <row r="199" spans="6:29" hidden="1" x14ac:dyDescent="0.35">
      <c r="F199" s="40" t="s">
        <v>1630</v>
      </c>
      <c r="G199" s="40" t="s">
        <v>603</v>
      </c>
      <c r="H199" s="40" t="s">
        <v>604</v>
      </c>
      <c r="I199" s="41" t="s">
        <v>605</v>
      </c>
      <c r="J199" s="41" t="s">
        <v>119</v>
      </c>
      <c r="K199" s="41" t="s">
        <v>762</v>
      </c>
      <c r="L199" s="41" t="s">
        <v>104</v>
      </c>
      <c r="M199" s="40" t="s">
        <v>759</v>
      </c>
      <c r="P199" s="40" t="s">
        <v>604</v>
      </c>
      <c r="Q199" s="41" t="s">
        <v>607</v>
      </c>
      <c r="R199" s="41" t="s">
        <v>119</v>
      </c>
      <c r="S199" s="41" t="s">
        <v>763</v>
      </c>
      <c r="T199" s="64">
        <v>45920</v>
      </c>
      <c r="V199" s="41" t="s">
        <v>2203</v>
      </c>
      <c r="W199" s="41" t="s">
        <v>2204</v>
      </c>
      <c r="Y199" s="42"/>
      <c r="Z199" s="41" t="s">
        <v>170</v>
      </c>
      <c r="AA199" s="41" t="s">
        <v>1194</v>
      </c>
      <c r="AB199" s="41" t="s">
        <v>2066</v>
      </c>
      <c r="AC199" s="41" t="s">
        <v>2175</v>
      </c>
    </row>
    <row r="200" spans="6:29" ht="29" hidden="1" x14ac:dyDescent="0.35">
      <c r="F200" s="40" t="s">
        <v>1631</v>
      </c>
      <c r="G200" s="40" t="s">
        <v>603</v>
      </c>
      <c r="H200" s="40" t="s">
        <v>604</v>
      </c>
      <c r="I200" s="41" t="s">
        <v>605</v>
      </c>
      <c r="J200" s="41" t="s">
        <v>119</v>
      </c>
      <c r="K200" s="41" t="s">
        <v>765</v>
      </c>
      <c r="L200" s="41" t="s">
        <v>104</v>
      </c>
      <c r="M200" s="40" t="s">
        <v>753</v>
      </c>
      <c r="P200" s="40" t="s">
        <v>604</v>
      </c>
      <c r="Q200" s="41" t="s">
        <v>607</v>
      </c>
      <c r="R200" s="41" t="s">
        <v>119</v>
      </c>
      <c r="S200" s="41" t="s">
        <v>766</v>
      </c>
      <c r="T200" s="64">
        <v>45920</v>
      </c>
      <c r="V200" s="41" t="s">
        <v>2203</v>
      </c>
      <c r="W200" s="41" t="s">
        <v>2204</v>
      </c>
      <c r="Y200" s="42"/>
      <c r="Z200" s="41" t="s">
        <v>170</v>
      </c>
      <c r="AA200" s="41" t="s">
        <v>1195</v>
      </c>
      <c r="AB200" s="41" t="s">
        <v>2067</v>
      </c>
      <c r="AC200" s="41" t="s">
        <v>2175</v>
      </c>
    </row>
    <row r="201" spans="6:29" ht="29" hidden="1" x14ac:dyDescent="0.35">
      <c r="F201" s="40" t="s">
        <v>1632</v>
      </c>
      <c r="G201" s="40" t="s">
        <v>603</v>
      </c>
      <c r="H201" s="40" t="s">
        <v>604</v>
      </c>
      <c r="I201" s="41" t="s">
        <v>605</v>
      </c>
      <c r="J201" s="41" t="s">
        <v>119</v>
      </c>
      <c r="K201" s="41" t="s">
        <v>765</v>
      </c>
      <c r="L201" s="41" t="s">
        <v>104</v>
      </c>
      <c r="M201" s="40" t="s">
        <v>757</v>
      </c>
      <c r="P201" s="40" t="s">
        <v>604</v>
      </c>
      <c r="Q201" s="41" t="s">
        <v>607</v>
      </c>
      <c r="R201" s="41" t="s">
        <v>119</v>
      </c>
      <c r="S201" s="41" t="s">
        <v>766</v>
      </c>
      <c r="T201" s="64">
        <v>45920</v>
      </c>
      <c r="V201" s="41" t="s">
        <v>2203</v>
      </c>
      <c r="W201" s="41" t="s">
        <v>2204</v>
      </c>
      <c r="Y201" s="42"/>
      <c r="Z201" s="41" t="s">
        <v>170</v>
      </c>
      <c r="AA201" s="41" t="s">
        <v>1196</v>
      </c>
      <c r="AB201" s="41" t="s">
        <v>2068</v>
      </c>
      <c r="AC201" s="41" t="s">
        <v>2175</v>
      </c>
    </row>
    <row r="202" spans="6:29" ht="29" hidden="1" x14ac:dyDescent="0.35">
      <c r="F202" s="40" t="s">
        <v>1633</v>
      </c>
      <c r="G202" s="40" t="s">
        <v>603</v>
      </c>
      <c r="H202" s="40" t="s">
        <v>604</v>
      </c>
      <c r="I202" s="41" t="s">
        <v>605</v>
      </c>
      <c r="J202" s="41" t="s">
        <v>119</v>
      </c>
      <c r="K202" s="41" t="s">
        <v>765</v>
      </c>
      <c r="L202" s="41" t="s">
        <v>104</v>
      </c>
      <c r="M202" s="40" t="s">
        <v>616</v>
      </c>
      <c r="P202" s="40" t="s">
        <v>604</v>
      </c>
      <c r="Q202" s="41" t="s">
        <v>607</v>
      </c>
      <c r="R202" s="41" t="s">
        <v>119</v>
      </c>
      <c r="S202" s="41" t="s">
        <v>766</v>
      </c>
      <c r="T202" s="64">
        <v>45920</v>
      </c>
      <c r="V202" s="41" t="s">
        <v>2203</v>
      </c>
      <c r="W202" s="41" t="s">
        <v>2204</v>
      </c>
      <c r="Y202" s="42"/>
      <c r="Z202" s="41" t="s">
        <v>170</v>
      </c>
      <c r="AA202" s="41" t="s">
        <v>1197</v>
      </c>
      <c r="AB202" s="41" t="s">
        <v>2069</v>
      </c>
      <c r="AC202" s="41" t="s">
        <v>2175</v>
      </c>
    </row>
    <row r="203" spans="6:29" ht="29" hidden="1" x14ac:dyDescent="0.35">
      <c r="F203" s="40" t="s">
        <v>1634</v>
      </c>
      <c r="G203" s="40" t="s">
        <v>603</v>
      </c>
      <c r="H203" s="40" t="s">
        <v>604</v>
      </c>
      <c r="I203" s="41" t="s">
        <v>605</v>
      </c>
      <c r="J203" s="41" t="s">
        <v>119</v>
      </c>
      <c r="K203" s="41" t="s">
        <v>765</v>
      </c>
      <c r="L203" s="41" t="s">
        <v>104</v>
      </c>
      <c r="M203" s="40" t="s">
        <v>759</v>
      </c>
      <c r="P203" s="40" t="s">
        <v>604</v>
      </c>
      <c r="Q203" s="41" t="s">
        <v>607</v>
      </c>
      <c r="R203" s="41" t="s">
        <v>119</v>
      </c>
      <c r="S203" s="41" t="s">
        <v>766</v>
      </c>
      <c r="T203" s="64">
        <v>45920</v>
      </c>
      <c r="V203" s="41" t="s">
        <v>2203</v>
      </c>
      <c r="W203" s="41" t="s">
        <v>2204</v>
      </c>
      <c r="Y203" s="42"/>
      <c r="Z203" s="41" t="s">
        <v>170</v>
      </c>
      <c r="AA203" s="41" t="s">
        <v>1198</v>
      </c>
      <c r="AB203" s="41" t="s">
        <v>2070</v>
      </c>
      <c r="AC203" s="41" t="s">
        <v>2175</v>
      </c>
    </row>
    <row r="204" spans="6:29" ht="29" hidden="1" x14ac:dyDescent="0.35">
      <c r="F204" s="40" t="s">
        <v>1635</v>
      </c>
      <c r="G204" s="40" t="s">
        <v>603</v>
      </c>
      <c r="H204" s="40" t="s">
        <v>604</v>
      </c>
      <c r="I204" s="41" t="s">
        <v>605</v>
      </c>
      <c r="J204" s="41" t="s">
        <v>119</v>
      </c>
      <c r="K204" s="41" t="s">
        <v>765</v>
      </c>
      <c r="L204" s="41" t="s">
        <v>104</v>
      </c>
      <c r="M204" s="40" t="s">
        <v>760</v>
      </c>
      <c r="P204" s="40" t="s">
        <v>604</v>
      </c>
      <c r="Q204" s="41" t="s">
        <v>607</v>
      </c>
      <c r="R204" s="41" t="s">
        <v>119</v>
      </c>
      <c r="S204" s="41" t="s">
        <v>766</v>
      </c>
      <c r="T204" s="64">
        <v>45920</v>
      </c>
      <c r="V204" s="41" t="s">
        <v>2203</v>
      </c>
      <c r="W204" s="41" t="s">
        <v>2204</v>
      </c>
      <c r="Y204" s="42"/>
      <c r="Z204" s="41" t="s">
        <v>170</v>
      </c>
      <c r="AA204" s="41" t="s">
        <v>1199</v>
      </c>
      <c r="AB204" s="41" t="s">
        <v>2071</v>
      </c>
      <c r="AC204" s="41" t="s">
        <v>2175</v>
      </c>
    </row>
    <row r="205" spans="6:29" ht="29" hidden="1" x14ac:dyDescent="0.35">
      <c r="F205" s="40" t="s">
        <v>1636</v>
      </c>
      <c r="G205" s="40" t="s">
        <v>603</v>
      </c>
      <c r="H205" s="40" t="s">
        <v>604</v>
      </c>
      <c r="I205" s="41" t="s">
        <v>605</v>
      </c>
      <c r="J205" s="41" t="s">
        <v>119</v>
      </c>
      <c r="K205" s="41" t="s">
        <v>765</v>
      </c>
      <c r="L205" s="41" t="s">
        <v>104</v>
      </c>
      <c r="M205" s="40" t="s">
        <v>678</v>
      </c>
      <c r="P205" s="40" t="s">
        <v>604</v>
      </c>
      <c r="Q205" s="41" t="s">
        <v>607</v>
      </c>
      <c r="R205" s="41" t="s">
        <v>119</v>
      </c>
      <c r="S205" s="41" t="s">
        <v>766</v>
      </c>
      <c r="T205" s="64">
        <v>45920</v>
      </c>
      <c r="V205" s="41" t="s">
        <v>2203</v>
      </c>
      <c r="W205" s="41" t="s">
        <v>2204</v>
      </c>
      <c r="Y205" s="42"/>
      <c r="Z205" s="41" t="s">
        <v>170</v>
      </c>
      <c r="AA205" s="41" t="s">
        <v>1200</v>
      </c>
      <c r="AB205" s="41" t="s">
        <v>2072</v>
      </c>
      <c r="AC205" s="41" t="s">
        <v>2175</v>
      </c>
    </row>
    <row r="206" spans="6:29" ht="29" hidden="1" x14ac:dyDescent="0.35">
      <c r="F206" s="40" t="s">
        <v>1637</v>
      </c>
      <c r="G206" s="40" t="s">
        <v>603</v>
      </c>
      <c r="H206" s="40" t="s">
        <v>604</v>
      </c>
      <c r="I206" s="41" t="s">
        <v>605</v>
      </c>
      <c r="J206" s="41" t="s">
        <v>119</v>
      </c>
      <c r="K206" s="41" t="s">
        <v>765</v>
      </c>
      <c r="L206" s="41" t="s">
        <v>104</v>
      </c>
      <c r="M206" s="40" t="s">
        <v>767</v>
      </c>
      <c r="P206" s="40" t="s">
        <v>604</v>
      </c>
      <c r="Q206" s="41" t="s">
        <v>607</v>
      </c>
      <c r="R206" s="41" t="s">
        <v>119</v>
      </c>
      <c r="S206" s="41" t="s">
        <v>766</v>
      </c>
      <c r="T206" s="64">
        <v>45920</v>
      </c>
      <c r="V206" s="41" t="s">
        <v>2203</v>
      </c>
      <c r="W206" s="41" t="s">
        <v>2204</v>
      </c>
      <c r="Y206" s="42"/>
      <c r="Z206" s="41" t="s">
        <v>170</v>
      </c>
      <c r="AA206" s="41" t="s">
        <v>1201</v>
      </c>
      <c r="AB206" s="41" t="s">
        <v>2073</v>
      </c>
      <c r="AC206" s="41" t="s">
        <v>2175</v>
      </c>
    </row>
    <row r="207" spans="6:29" ht="29" hidden="1" x14ac:dyDescent="0.35">
      <c r="F207" s="40" t="s">
        <v>1638</v>
      </c>
      <c r="G207" s="40" t="s">
        <v>603</v>
      </c>
      <c r="H207" s="40" t="s">
        <v>604</v>
      </c>
      <c r="I207" s="41" t="s">
        <v>605</v>
      </c>
      <c r="J207" s="41" t="s">
        <v>119</v>
      </c>
      <c r="K207" s="41" t="s">
        <v>768</v>
      </c>
      <c r="L207" s="41" t="s">
        <v>104</v>
      </c>
      <c r="M207" s="40" t="s">
        <v>761</v>
      </c>
      <c r="P207" s="40" t="s">
        <v>604</v>
      </c>
      <c r="Q207" s="41" t="s">
        <v>607</v>
      </c>
      <c r="R207" s="41" t="s">
        <v>119</v>
      </c>
      <c r="S207" s="41" t="s">
        <v>769</v>
      </c>
      <c r="T207" s="64">
        <v>45920</v>
      </c>
      <c r="V207" s="41" t="s">
        <v>2203</v>
      </c>
      <c r="W207" s="41" t="s">
        <v>2204</v>
      </c>
      <c r="Y207" s="42"/>
      <c r="Z207" s="41" t="s">
        <v>170</v>
      </c>
      <c r="AA207" s="41" t="s">
        <v>1202</v>
      </c>
      <c r="AB207" s="41" t="s">
        <v>2074</v>
      </c>
      <c r="AC207" s="41" t="s">
        <v>2175</v>
      </c>
    </row>
    <row r="208" spans="6:29" ht="29" hidden="1" x14ac:dyDescent="0.35">
      <c r="F208" s="40" t="s">
        <v>1639</v>
      </c>
      <c r="G208" s="40" t="s">
        <v>603</v>
      </c>
      <c r="H208" s="40" t="s">
        <v>604</v>
      </c>
      <c r="I208" s="41" t="s">
        <v>605</v>
      </c>
      <c r="J208" s="41" t="s">
        <v>119</v>
      </c>
      <c r="K208" s="41" t="s">
        <v>768</v>
      </c>
      <c r="L208" s="41" t="s">
        <v>104</v>
      </c>
      <c r="M208" s="40" t="s">
        <v>764</v>
      </c>
      <c r="P208" s="40" t="s">
        <v>604</v>
      </c>
      <c r="Q208" s="41" t="s">
        <v>607</v>
      </c>
      <c r="R208" s="41" t="s">
        <v>119</v>
      </c>
      <c r="S208" s="41" t="s">
        <v>769</v>
      </c>
      <c r="T208" s="64">
        <v>45920</v>
      </c>
      <c r="V208" s="41" t="s">
        <v>2203</v>
      </c>
      <c r="W208" s="41" t="s">
        <v>2204</v>
      </c>
      <c r="Y208" s="42"/>
      <c r="Z208" s="41" t="s">
        <v>170</v>
      </c>
      <c r="AA208" s="41" t="s">
        <v>1203</v>
      </c>
      <c r="AB208" s="41" t="s">
        <v>2075</v>
      </c>
      <c r="AC208" s="41" t="s">
        <v>2175</v>
      </c>
    </row>
    <row r="209" spans="6:29" ht="29" hidden="1" x14ac:dyDescent="0.35">
      <c r="F209" s="40" t="s">
        <v>1640</v>
      </c>
      <c r="G209" s="40" t="s">
        <v>603</v>
      </c>
      <c r="H209" s="40" t="s">
        <v>604</v>
      </c>
      <c r="I209" s="41" t="s">
        <v>605</v>
      </c>
      <c r="J209" s="41" t="s">
        <v>119</v>
      </c>
      <c r="K209" s="41" t="s">
        <v>768</v>
      </c>
      <c r="L209" s="41" t="s">
        <v>104</v>
      </c>
      <c r="M209" s="40" t="s">
        <v>616</v>
      </c>
      <c r="P209" s="40" t="s">
        <v>604</v>
      </c>
      <c r="Q209" s="41" t="s">
        <v>607</v>
      </c>
      <c r="R209" s="41" t="s">
        <v>119</v>
      </c>
      <c r="S209" s="41" t="s">
        <v>769</v>
      </c>
      <c r="T209" s="64">
        <v>45920</v>
      </c>
      <c r="V209" s="41" t="s">
        <v>2203</v>
      </c>
      <c r="W209" s="41" t="s">
        <v>2204</v>
      </c>
      <c r="Y209" s="42"/>
      <c r="Z209" s="41" t="s">
        <v>170</v>
      </c>
      <c r="AA209" s="41" t="s">
        <v>1204</v>
      </c>
      <c r="AB209" s="41" t="s">
        <v>2076</v>
      </c>
      <c r="AC209" s="41" t="s">
        <v>2175</v>
      </c>
    </row>
    <row r="210" spans="6:29" ht="29" hidden="1" x14ac:dyDescent="0.35">
      <c r="F210" s="40" t="s">
        <v>1641</v>
      </c>
      <c r="G210" s="40" t="s">
        <v>603</v>
      </c>
      <c r="H210" s="40" t="s">
        <v>604</v>
      </c>
      <c r="I210" s="41" t="s">
        <v>605</v>
      </c>
      <c r="J210" s="41" t="s">
        <v>119</v>
      </c>
      <c r="K210" s="41" t="s">
        <v>768</v>
      </c>
      <c r="L210" s="41" t="s">
        <v>104</v>
      </c>
      <c r="M210" s="40" t="s">
        <v>759</v>
      </c>
      <c r="P210" s="40" t="s">
        <v>604</v>
      </c>
      <c r="Q210" s="41" t="s">
        <v>607</v>
      </c>
      <c r="R210" s="41" t="s">
        <v>119</v>
      </c>
      <c r="S210" s="41" t="s">
        <v>769</v>
      </c>
      <c r="T210" s="64">
        <v>45920</v>
      </c>
      <c r="V210" s="41" t="s">
        <v>2203</v>
      </c>
      <c r="W210" s="41" t="s">
        <v>2204</v>
      </c>
      <c r="Y210" s="42"/>
      <c r="Z210" s="41" t="s">
        <v>170</v>
      </c>
      <c r="AA210" s="41" t="s">
        <v>1205</v>
      </c>
      <c r="AB210" s="41" t="s">
        <v>2077</v>
      </c>
      <c r="AC210" s="41" t="s">
        <v>2175</v>
      </c>
    </row>
    <row r="211" spans="6:29" ht="29" hidden="1" x14ac:dyDescent="0.35">
      <c r="F211" s="40" t="s">
        <v>1642</v>
      </c>
      <c r="G211" s="40" t="s">
        <v>603</v>
      </c>
      <c r="H211" s="40" t="s">
        <v>604</v>
      </c>
      <c r="I211" s="41" t="s">
        <v>605</v>
      </c>
      <c r="J211" s="41" t="s">
        <v>119</v>
      </c>
      <c r="K211" s="41" t="s">
        <v>768</v>
      </c>
      <c r="L211" s="41" t="s">
        <v>104</v>
      </c>
      <c r="M211" s="40" t="s">
        <v>760</v>
      </c>
      <c r="P211" s="40" t="s">
        <v>604</v>
      </c>
      <c r="Q211" s="41" t="s">
        <v>607</v>
      </c>
      <c r="R211" s="41" t="s">
        <v>119</v>
      </c>
      <c r="S211" s="41" t="s">
        <v>769</v>
      </c>
      <c r="T211" s="64">
        <v>45920</v>
      </c>
      <c r="V211" s="41" t="s">
        <v>2203</v>
      </c>
      <c r="W211" s="41" t="s">
        <v>2204</v>
      </c>
      <c r="Y211" s="42"/>
      <c r="Z211" s="41" t="s">
        <v>170</v>
      </c>
      <c r="AA211" s="41" t="s">
        <v>1206</v>
      </c>
      <c r="AB211" s="41" t="s">
        <v>2078</v>
      </c>
      <c r="AC211" s="41" t="s">
        <v>2175</v>
      </c>
    </row>
    <row r="212" spans="6:29" ht="29" hidden="1" x14ac:dyDescent="0.35">
      <c r="F212" s="40" t="s">
        <v>1643</v>
      </c>
      <c r="G212" s="40" t="s">
        <v>603</v>
      </c>
      <c r="H212" s="40" t="s">
        <v>604</v>
      </c>
      <c r="I212" s="41" t="s">
        <v>605</v>
      </c>
      <c r="J212" s="41" t="s">
        <v>119</v>
      </c>
      <c r="K212" s="41" t="s">
        <v>768</v>
      </c>
      <c r="L212" s="41" t="s">
        <v>104</v>
      </c>
      <c r="M212" s="40" t="s">
        <v>656</v>
      </c>
      <c r="P212" s="40" t="s">
        <v>604</v>
      </c>
      <c r="Q212" s="41" t="s">
        <v>607</v>
      </c>
      <c r="R212" s="41" t="s">
        <v>119</v>
      </c>
      <c r="S212" s="41" t="s">
        <v>769</v>
      </c>
      <c r="T212" s="64">
        <v>45920</v>
      </c>
      <c r="V212" s="41" t="s">
        <v>2203</v>
      </c>
      <c r="W212" s="41" t="s">
        <v>2204</v>
      </c>
      <c r="Y212" s="42"/>
      <c r="Z212" s="41" t="s">
        <v>170</v>
      </c>
      <c r="AA212" s="41" t="s">
        <v>1207</v>
      </c>
      <c r="AB212" s="41" t="s">
        <v>2079</v>
      </c>
      <c r="AC212" s="41" t="s">
        <v>2175</v>
      </c>
    </row>
    <row r="213" spans="6:29" ht="29" hidden="1" x14ac:dyDescent="0.35">
      <c r="F213" s="40" t="s">
        <v>1644</v>
      </c>
      <c r="G213" s="40" t="s">
        <v>603</v>
      </c>
      <c r="H213" s="40" t="s">
        <v>604</v>
      </c>
      <c r="I213" s="41" t="s">
        <v>605</v>
      </c>
      <c r="J213" s="41" t="s">
        <v>119</v>
      </c>
      <c r="K213" s="41" t="s">
        <v>770</v>
      </c>
      <c r="L213" s="41" t="s">
        <v>104</v>
      </c>
      <c r="M213" s="40" t="s">
        <v>753</v>
      </c>
      <c r="P213" s="40" t="s">
        <v>604</v>
      </c>
      <c r="Q213" s="41" t="s">
        <v>607</v>
      </c>
      <c r="R213" s="41" t="s">
        <v>119</v>
      </c>
      <c r="S213" s="41" t="s">
        <v>771</v>
      </c>
      <c r="T213" s="64">
        <v>45920</v>
      </c>
      <c r="V213" s="41" t="s">
        <v>2203</v>
      </c>
      <c r="W213" s="41" t="s">
        <v>2204</v>
      </c>
      <c r="Y213" s="42"/>
      <c r="Z213" s="41" t="s">
        <v>170</v>
      </c>
      <c r="AA213" s="41" t="s">
        <v>1208</v>
      </c>
      <c r="AB213" s="41" t="s">
        <v>2080</v>
      </c>
      <c r="AC213" s="41" t="s">
        <v>2175</v>
      </c>
    </row>
    <row r="214" spans="6:29" ht="29" hidden="1" x14ac:dyDescent="0.35">
      <c r="F214" s="40" t="s">
        <v>1645</v>
      </c>
      <c r="G214" s="40" t="s">
        <v>603</v>
      </c>
      <c r="H214" s="40" t="s">
        <v>604</v>
      </c>
      <c r="I214" s="41" t="s">
        <v>605</v>
      </c>
      <c r="J214" s="41" t="s">
        <v>119</v>
      </c>
      <c r="K214" s="41" t="s">
        <v>770</v>
      </c>
      <c r="L214" s="41" t="s">
        <v>104</v>
      </c>
      <c r="M214" s="40" t="s">
        <v>757</v>
      </c>
      <c r="P214" s="40" t="s">
        <v>604</v>
      </c>
      <c r="Q214" s="41" t="s">
        <v>607</v>
      </c>
      <c r="R214" s="41" t="s">
        <v>119</v>
      </c>
      <c r="S214" s="41" t="s">
        <v>771</v>
      </c>
      <c r="T214" s="64">
        <v>45920</v>
      </c>
      <c r="V214" s="41" t="s">
        <v>2203</v>
      </c>
      <c r="W214" s="41" t="s">
        <v>2204</v>
      </c>
      <c r="Y214" s="42"/>
      <c r="Z214" s="41" t="s">
        <v>170</v>
      </c>
      <c r="AA214" s="41" t="s">
        <v>1209</v>
      </c>
      <c r="AB214" s="41" t="s">
        <v>2081</v>
      </c>
      <c r="AC214" s="41" t="s">
        <v>2175</v>
      </c>
    </row>
    <row r="215" spans="6:29" ht="29" hidden="1" x14ac:dyDescent="0.35">
      <c r="F215" s="40" t="s">
        <v>1646</v>
      </c>
      <c r="G215" s="40" t="s">
        <v>603</v>
      </c>
      <c r="H215" s="40" t="s">
        <v>604</v>
      </c>
      <c r="I215" s="41" t="s">
        <v>605</v>
      </c>
      <c r="J215" s="41" t="s">
        <v>119</v>
      </c>
      <c r="K215" s="41" t="s">
        <v>770</v>
      </c>
      <c r="L215" s="41" t="s">
        <v>104</v>
      </c>
      <c r="M215" s="40" t="s">
        <v>616</v>
      </c>
      <c r="P215" s="40" t="s">
        <v>604</v>
      </c>
      <c r="Q215" s="41" t="s">
        <v>607</v>
      </c>
      <c r="R215" s="41" t="s">
        <v>119</v>
      </c>
      <c r="S215" s="41" t="s">
        <v>771</v>
      </c>
      <c r="T215" s="64">
        <v>45920</v>
      </c>
      <c r="V215" s="41" t="s">
        <v>2203</v>
      </c>
      <c r="W215" s="41" t="s">
        <v>2204</v>
      </c>
      <c r="Y215" s="42"/>
      <c r="Z215" s="41" t="s">
        <v>170</v>
      </c>
      <c r="AA215" s="41" t="s">
        <v>1210</v>
      </c>
      <c r="AB215" s="41" t="s">
        <v>2082</v>
      </c>
      <c r="AC215" s="41" t="s">
        <v>2175</v>
      </c>
    </row>
    <row r="216" spans="6:29" ht="29" hidden="1" x14ac:dyDescent="0.35">
      <c r="F216" s="40" t="s">
        <v>1647</v>
      </c>
      <c r="G216" s="40" t="s">
        <v>603</v>
      </c>
      <c r="H216" s="40" t="s">
        <v>604</v>
      </c>
      <c r="I216" s="41" t="s">
        <v>605</v>
      </c>
      <c r="J216" s="41" t="s">
        <v>119</v>
      </c>
      <c r="K216" s="41" t="s">
        <v>770</v>
      </c>
      <c r="L216" s="41" t="s">
        <v>104</v>
      </c>
      <c r="M216" s="40" t="s">
        <v>759</v>
      </c>
      <c r="P216" s="40" t="s">
        <v>604</v>
      </c>
      <c r="Q216" s="41" t="s">
        <v>607</v>
      </c>
      <c r="R216" s="41" t="s">
        <v>119</v>
      </c>
      <c r="S216" s="41" t="s">
        <v>771</v>
      </c>
      <c r="T216" s="64">
        <v>45920</v>
      </c>
      <c r="V216" s="41" t="s">
        <v>2203</v>
      </c>
      <c r="W216" s="41" t="s">
        <v>2204</v>
      </c>
      <c r="Y216" s="42"/>
      <c r="Z216" s="41" t="s">
        <v>170</v>
      </c>
      <c r="AA216" s="41" t="s">
        <v>1211</v>
      </c>
      <c r="AB216" s="41" t="s">
        <v>2083</v>
      </c>
      <c r="AC216" s="41" t="s">
        <v>2175</v>
      </c>
    </row>
    <row r="217" spans="6:29" ht="29" hidden="1" x14ac:dyDescent="0.35">
      <c r="F217" s="40" t="s">
        <v>1648</v>
      </c>
      <c r="G217" s="40" t="s">
        <v>603</v>
      </c>
      <c r="H217" s="40" t="s">
        <v>604</v>
      </c>
      <c r="I217" s="41" t="s">
        <v>605</v>
      </c>
      <c r="J217" s="41" t="s">
        <v>119</v>
      </c>
      <c r="K217" s="41" t="s">
        <v>770</v>
      </c>
      <c r="L217" s="41" t="s">
        <v>104</v>
      </c>
      <c r="M217" s="40" t="s">
        <v>760</v>
      </c>
      <c r="P217" s="40" t="s">
        <v>604</v>
      </c>
      <c r="Q217" s="41" t="s">
        <v>607</v>
      </c>
      <c r="R217" s="41" t="s">
        <v>119</v>
      </c>
      <c r="S217" s="41" t="s">
        <v>771</v>
      </c>
      <c r="T217" s="64">
        <v>45920</v>
      </c>
      <c r="V217" s="41" t="s">
        <v>2203</v>
      </c>
      <c r="W217" s="41" t="s">
        <v>2204</v>
      </c>
      <c r="Y217" s="42"/>
      <c r="Z217" s="41" t="s">
        <v>170</v>
      </c>
      <c r="AA217" s="41" t="s">
        <v>1212</v>
      </c>
      <c r="AB217" s="41" t="s">
        <v>2084</v>
      </c>
      <c r="AC217" s="41" t="s">
        <v>2175</v>
      </c>
    </row>
    <row r="218" spans="6:29" ht="29" hidden="1" x14ac:dyDescent="0.35">
      <c r="F218" s="40" t="s">
        <v>1649</v>
      </c>
      <c r="G218" s="40" t="s">
        <v>603</v>
      </c>
      <c r="H218" s="40" t="s">
        <v>604</v>
      </c>
      <c r="I218" s="41" t="s">
        <v>605</v>
      </c>
      <c r="J218" s="41" t="s">
        <v>119</v>
      </c>
      <c r="K218" s="41" t="s">
        <v>770</v>
      </c>
      <c r="L218" s="41" t="s">
        <v>104</v>
      </c>
      <c r="M218" s="40" t="s">
        <v>767</v>
      </c>
      <c r="P218" s="40" t="s">
        <v>604</v>
      </c>
      <c r="Q218" s="41" t="s">
        <v>607</v>
      </c>
      <c r="R218" s="41" t="s">
        <v>119</v>
      </c>
      <c r="S218" s="41" t="s">
        <v>771</v>
      </c>
      <c r="T218" s="64">
        <v>45920</v>
      </c>
      <c r="V218" s="41" t="s">
        <v>2203</v>
      </c>
      <c r="W218" s="41" t="s">
        <v>2204</v>
      </c>
      <c r="Y218" s="42"/>
      <c r="Z218" s="41" t="s">
        <v>170</v>
      </c>
      <c r="AA218" s="41" t="s">
        <v>1213</v>
      </c>
      <c r="AB218" s="41" t="s">
        <v>2085</v>
      </c>
      <c r="AC218" s="41" t="s">
        <v>2175</v>
      </c>
    </row>
    <row r="219" spans="6:29" hidden="1" x14ac:dyDescent="0.35">
      <c r="F219" s="40" t="s">
        <v>1650</v>
      </c>
      <c r="G219" s="40" t="s">
        <v>603</v>
      </c>
      <c r="H219" s="40" t="s">
        <v>604</v>
      </c>
      <c r="I219" s="41" t="s">
        <v>605</v>
      </c>
      <c r="J219" s="41" t="s">
        <v>119</v>
      </c>
      <c r="K219" s="41" t="s">
        <v>772</v>
      </c>
      <c r="L219" s="41" t="s">
        <v>104</v>
      </c>
      <c r="M219" s="40" t="s">
        <v>761</v>
      </c>
      <c r="P219" s="40" t="s">
        <v>604</v>
      </c>
      <c r="Q219" s="41" t="s">
        <v>607</v>
      </c>
      <c r="R219" s="41" t="s">
        <v>119</v>
      </c>
      <c r="S219" s="41" t="s">
        <v>763</v>
      </c>
      <c r="T219" s="64">
        <v>45920</v>
      </c>
      <c r="V219" s="41" t="s">
        <v>2203</v>
      </c>
      <c r="W219" s="41" t="s">
        <v>2204</v>
      </c>
      <c r="Y219" s="42"/>
      <c r="Z219" s="41" t="s">
        <v>170</v>
      </c>
      <c r="AA219" s="41" t="s">
        <v>1214</v>
      </c>
      <c r="AB219" s="41" t="s">
        <v>2086</v>
      </c>
      <c r="AC219" s="41" t="s">
        <v>2175</v>
      </c>
    </row>
    <row r="220" spans="6:29" hidden="1" x14ac:dyDescent="0.35">
      <c r="F220" s="40" t="s">
        <v>1651</v>
      </c>
      <c r="G220" s="40" t="s">
        <v>603</v>
      </c>
      <c r="H220" s="40" t="s">
        <v>604</v>
      </c>
      <c r="I220" s="41" t="s">
        <v>605</v>
      </c>
      <c r="J220" s="41" t="s">
        <v>119</v>
      </c>
      <c r="K220" s="41" t="s">
        <v>773</v>
      </c>
      <c r="L220" s="41" t="s">
        <v>104</v>
      </c>
      <c r="M220" s="40" t="s">
        <v>764</v>
      </c>
      <c r="P220" s="40" t="s">
        <v>604</v>
      </c>
      <c r="Q220" s="41" t="s">
        <v>607</v>
      </c>
      <c r="R220" s="41" t="s">
        <v>119</v>
      </c>
      <c r="S220" s="41" t="s">
        <v>763</v>
      </c>
      <c r="T220" s="64">
        <v>45920</v>
      </c>
      <c r="V220" s="41" t="s">
        <v>2203</v>
      </c>
      <c r="W220" s="41" t="s">
        <v>2204</v>
      </c>
      <c r="Y220" s="42"/>
      <c r="Z220" s="41" t="s">
        <v>170</v>
      </c>
      <c r="AA220" s="41" t="s">
        <v>1215</v>
      </c>
      <c r="AB220" s="41" t="s">
        <v>2087</v>
      </c>
      <c r="AC220" s="41" t="s">
        <v>2175</v>
      </c>
    </row>
    <row r="221" spans="6:29" hidden="1" x14ac:dyDescent="0.35">
      <c r="F221" s="40" t="s">
        <v>1652</v>
      </c>
      <c r="G221" s="40" t="s">
        <v>603</v>
      </c>
      <c r="H221" s="40" t="s">
        <v>604</v>
      </c>
      <c r="I221" s="41" t="s">
        <v>605</v>
      </c>
      <c r="J221" s="41" t="s">
        <v>119</v>
      </c>
      <c r="K221" s="41" t="s">
        <v>773</v>
      </c>
      <c r="L221" s="41" t="s">
        <v>104</v>
      </c>
      <c r="M221" s="40" t="s">
        <v>616</v>
      </c>
      <c r="P221" s="40" t="s">
        <v>604</v>
      </c>
      <c r="Q221" s="41" t="s">
        <v>607</v>
      </c>
      <c r="R221" s="41" t="s">
        <v>119</v>
      </c>
      <c r="S221" s="41" t="s">
        <v>763</v>
      </c>
      <c r="T221" s="64">
        <v>45920</v>
      </c>
      <c r="V221" s="41" t="s">
        <v>2203</v>
      </c>
      <c r="W221" s="41" t="s">
        <v>2204</v>
      </c>
      <c r="Y221" s="42"/>
      <c r="Z221" s="41" t="s">
        <v>170</v>
      </c>
      <c r="AA221" s="41" t="s">
        <v>1216</v>
      </c>
      <c r="AB221" s="41" t="s">
        <v>2088</v>
      </c>
      <c r="AC221" s="41" t="s">
        <v>2175</v>
      </c>
    </row>
    <row r="222" spans="6:29" hidden="1" x14ac:dyDescent="0.35">
      <c r="F222" s="40" t="s">
        <v>1653</v>
      </c>
      <c r="G222" s="40" t="s">
        <v>603</v>
      </c>
      <c r="H222" s="40" t="s">
        <v>604</v>
      </c>
      <c r="I222" s="41" t="s">
        <v>605</v>
      </c>
      <c r="J222" s="41" t="s">
        <v>119</v>
      </c>
      <c r="K222" s="41" t="s">
        <v>773</v>
      </c>
      <c r="L222" s="41" t="s">
        <v>104</v>
      </c>
      <c r="M222" s="40" t="s">
        <v>759</v>
      </c>
      <c r="P222" s="40" t="s">
        <v>604</v>
      </c>
      <c r="Q222" s="41" t="s">
        <v>607</v>
      </c>
      <c r="R222" s="41" t="s">
        <v>119</v>
      </c>
      <c r="S222" s="41" t="s">
        <v>763</v>
      </c>
      <c r="T222" s="64">
        <v>45920</v>
      </c>
      <c r="V222" s="41" t="s">
        <v>2203</v>
      </c>
      <c r="W222" s="41" t="s">
        <v>2204</v>
      </c>
      <c r="Y222" s="42"/>
      <c r="Z222" s="41" t="s">
        <v>170</v>
      </c>
      <c r="AA222" s="41" t="s">
        <v>1217</v>
      </c>
      <c r="AB222" s="41" t="s">
        <v>2089</v>
      </c>
      <c r="AC222" s="41" t="s">
        <v>2175</v>
      </c>
    </row>
    <row r="223" spans="6:29" hidden="1" x14ac:dyDescent="0.35">
      <c r="F223" s="40" t="s">
        <v>1654</v>
      </c>
      <c r="G223" s="40" t="s">
        <v>603</v>
      </c>
      <c r="H223" s="40" t="s">
        <v>604</v>
      </c>
      <c r="I223" s="41" t="s">
        <v>605</v>
      </c>
      <c r="J223" s="41" t="s">
        <v>119</v>
      </c>
      <c r="K223" s="41" t="s">
        <v>773</v>
      </c>
      <c r="L223" s="41" t="s">
        <v>104</v>
      </c>
      <c r="M223" s="40" t="s">
        <v>760</v>
      </c>
      <c r="P223" s="40" t="s">
        <v>604</v>
      </c>
      <c r="Q223" s="41" t="s">
        <v>607</v>
      </c>
      <c r="R223" s="41" t="s">
        <v>119</v>
      </c>
      <c r="S223" s="41" t="s">
        <v>763</v>
      </c>
      <c r="T223" s="64">
        <v>45920</v>
      </c>
      <c r="V223" s="41" t="s">
        <v>2203</v>
      </c>
      <c r="W223" s="41" t="s">
        <v>2204</v>
      </c>
      <c r="Y223" s="42"/>
      <c r="Z223" s="41" t="s">
        <v>170</v>
      </c>
      <c r="AA223" s="41" t="s">
        <v>1218</v>
      </c>
      <c r="AB223" s="41" t="s">
        <v>2090</v>
      </c>
      <c r="AC223" s="41" t="s">
        <v>2175</v>
      </c>
    </row>
    <row r="224" spans="6:29" hidden="1" x14ac:dyDescent="0.35">
      <c r="F224" s="40" t="s">
        <v>1655</v>
      </c>
      <c r="G224" s="40" t="s">
        <v>603</v>
      </c>
      <c r="H224" s="40" t="s">
        <v>604</v>
      </c>
      <c r="I224" s="41" t="s">
        <v>605</v>
      </c>
      <c r="J224" s="41" t="s">
        <v>119</v>
      </c>
      <c r="K224" s="41" t="s">
        <v>773</v>
      </c>
      <c r="L224" s="41" t="s">
        <v>104</v>
      </c>
      <c r="M224" s="40" t="s">
        <v>774</v>
      </c>
      <c r="P224" s="40" t="s">
        <v>604</v>
      </c>
      <c r="Q224" s="41" t="s">
        <v>607</v>
      </c>
      <c r="R224" s="41" t="s">
        <v>119</v>
      </c>
      <c r="S224" s="41" t="s">
        <v>763</v>
      </c>
      <c r="T224" s="64">
        <v>45920</v>
      </c>
      <c r="V224" s="41" t="s">
        <v>2203</v>
      </c>
      <c r="W224" s="41" t="s">
        <v>2204</v>
      </c>
      <c r="Y224" s="42"/>
      <c r="Z224" s="41" t="s">
        <v>170</v>
      </c>
      <c r="AA224" s="41" t="s">
        <v>1219</v>
      </c>
      <c r="AB224" s="41" t="s">
        <v>2091</v>
      </c>
      <c r="AC224" s="41" t="s">
        <v>2175</v>
      </c>
    </row>
    <row r="225" spans="6:29" ht="29" hidden="1" x14ac:dyDescent="0.35">
      <c r="F225" s="40" t="s">
        <v>1656</v>
      </c>
      <c r="G225" s="40" t="s">
        <v>603</v>
      </c>
      <c r="H225" s="40" t="s">
        <v>604</v>
      </c>
      <c r="I225" s="41" t="s">
        <v>605</v>
      </c>
      <c r="J225" s="41" t="s">
        <v>119</v>
      </c>
      <c r="K225" s="41" t="s">
        <v>775</v>
      </c>
      <c r="L225" s="41" t="s">
        <v>104</v>
      </c>
      <c r="M225" s="40" t="s">
        <v>753</v>
      </c>
      <c r="P225" s="40" t="s">
        <v>604</v>
      </c>
      <c r="Q225" s="41" t="s">
        <v>607</v>
      </c>
      <c r="R225" s="41" t="s">
        <v>119</v>
      </c>
      <c r="S225" s="41" t="s">
        <v>776</v>
      </c>
      <c r="T225" s="64">
        <v>45920</v>
      </c>
      <c r="V225" s="41" t="s">
        <v>2203</v>
      </c>
      <c r="W225" s="41" t="s">
        <v>2204</v>
      </c>
      <c r="Y225" s="42"/>
      <c r="Z225" s="41" t="s">
        <v>170</v>
      </c>
      <c r="AA225" s="41" t="s">
        <v>1220</v>
      </c>
      <c r="AB225" s="41" t="s">
        <v>2092</v>
      </c>
      <c r="AC225" s="41" t="s">
        <v>2175</v>
      </c>
    </row>
    <row r="226" spans="6:29" ht="29" hidden="1" x14ac:dyDescent="0.35">
      <c r="F226" s="40" t="s">
        <v>1657</v>
      </c>
      <c r="G226" s="40" t="s">
        <v>603</v>
      </c>
      <c r="H226" s="40" t="s">
        <v>604</v>
      </c>
      <c r="I226" s="41" t="s">
        <v>605</v>
      </c>
      <c r="J226" s="41" t="s">
        <v>119</v>
      </c>
      <c r="K226" s="41" t="s">
        <v>775</v>
      </c>
      <c r="L226" s="41" t="s">
        <v>104</v>
      </c>
      <c r="M226" s="40" t="s">
        <v>757</v>
      </c>
      <c r="P226" s="40" t="s">
        <v>604</v>
      </c>
      <c r="Q226" s="41" t="s">
        <v>607</v>
      </c>
      <c r="R226" s="41" t="s">
        <v>119</v>
      </c>
      <c r="S226" s="41" t="s">
        <v>776</v>
      </c>
      <c r="T226" s="64">
        <v>45920</v>
      </c>
      <c r="V226" s="41" t="s">
        <v>2203</v>
      </c>
      <c r="W226" s="41" t="s">
        <v>2204</v>
      </c>
      <c r="Y226" s="42"/>
      <c r="Z226" s="41" t="s">
        <v>170</v>
      </c>
      <c r="AA226" s="41" t="s">
        <v>1221</v>
      </c>
      <c r="AB226" s="41" t="s">
        <v>2093</v>
      </c>
      <c r="AC226" s="41" t="s">
        <v>2175</v>
      </c>
    </row>
    <row r="227" spans="6:29" ht="29" hidden="1" x14ac:dyDescent="0.35">
      <c r="F227" s="40" t="s">
        <v>1658</v>
      </c>
      <c r="G227" s="40" t="s">
        <v>603</v>
      </c>
      <c r="H227" s="40" t="s">
        <v>604</v>
      </c>
      <c r="I227" s="41" t="s">
        <v>605</v>
      </c>
      <c r="J227" s="41" t="s">
        <v>119</v>
      </c>
      <c r="K227" s="41" t="s">
        <v>775</v>
      </c>
      <c r="L227" s="41" t="s">
        <v>104</v>
      </c>
      <c r="M227" s="40" t="s">
        <v>616</v>
      </c>
      <c r="P227" s="40" t="s">
        <v>604</v>
      </c>
      <c r="Q227" s="41" t="s">
        <v>607</v>
      </c>
      <c r="R227" s="41" t="s">
        <v>119</v>
      </c>
      <c r="S227" s="41" t="s">
        <v>776</v>
      </c>
      <c r="T227" s="64">
        <v>45920</v>
      </c>
      <c r="V227" s="41" t="s">
        <v>2203</v>
      </c>
      <c r="W227" s="41" t="s">
        <v>2204</v>
      </c>
      <c r="Y227" s="42"/>
      <c r="Z227" s="41" t="s">
        <v>170</v>
      </c>
      <c r="AA227" s="41" t="s">
        <v>1222</v>
      </c>
      <c r="AB227" s="41" t="s">
        <v>2094</v>
      </c>
      <c r="AC227" s="41" t="s">
        <v>2175</v>
      </c>
    </row>
    <row r="228" spans="6:29" ht="29" hidden="1" x14ac:dyDescent="0.35">
      <c r="F228" s="40" t="s">
        <v>1659</v>
      </c>
      <c r="G228" s="40" t="s">
        <v>603</v>
      </c>
      <c r="H228" s="40" t="s">
        <v>604</v>
      </c>
      <c r="I228" s="41" t="s">
        <v>605</v>
      </c>
      <c r="J228" s="41" t="s">
        <v>119</v>
      </c>
      <c r="K228" s="41" t="s">
        <v>775</v>
      </c>
      <c r="L228" s="41" t="s">
        <v>104</v>
      </c>
      <c r="M228" s="40" t="s">
        <v>759</v>
      </c>
      <c r="P228" s="40" t="s">
        <v>604</v>
      </c>
      <c r="Q228" s="41" t="s">
        <v>607</v>
      </c>
      <c r="R228" s="41" t="s">
        <v>119</v>
      </c>
      <c r="S228" s="41" t="s">
        <v>776</v>
      </c>
      <c r="T228" s="64">
        <v>45920</v>
      </c>
      <c r="V228" s="41" t="s">
        <v>2203</v>
      </c>
      <c r="W228" s="41" t="s">
        <v>2204</v>
      </c>
      <c r="Y228" s="42"/>
      <c r="Z228" s="41" t="s">
        <v>170</v>
      </c>
      <c r="AA228" s="41" t="s">
        <v>1223</v>
      </c>
      <c r="AB228" s="41" t="s">
        <v>2095</v>
      </c>
      <c r="AC228" s="41" t="s">
        <v>2175</v>
      </c>
    </row>
    <row r="229" spans="6:29" ht="29" hidden="1" x14ac:dyDescent="0.35">
      <c r="F229" s="40" t="s">
        <v>1660</v>
      </c>
      <c r="G229" s="40" t="s">
        <v>603</v>
      </c>
      <c r="H229" s="40" t="s">
        <v>604</v>
      </c>
      <c r="I229" s="41" t="s">
        <v>605</v>
      </c>
      <c r="J229" s="41" t="s">
        <v>119</v>
      </c>
      <c r="K229" s="41" t="s">
        <v>775</v>
      </c>
      <c r="L229" s="41" t="s">
        <v>104</v>
      </c>
      <c r="M229" s="40" t="s">
        <v>760</v>
      </c>
      <c r="P229" s="40" t="s">
        <v>604</v>
      </c>
      <c r="Q229" s="41" t="s">
        <v>607</v>
      </c>
      <c r="R229" s="41" t="s">
        <v>119</v>
      </c>
      <c r="S229" s="41" t="s">
        <v>776</v>
      </c>
      <c r="T229" s="64">
        <v>45920</v>
      </c>
      <c r="V229" s="41" t="s">
        <v>2203</v>
      </c>
      <c r="W229" s="41" t="s">
        <v>2204</v>
      </c>
      <c r="Y229" s="42"/>
      <c r="Z229" s="41" t="s">
        <v>170</v>
      </c>
      <c r="AA229" s="41" t="s">
        <v>1224</v>
      </c>
      <c r="AB229" s="41" t="s">
        <v>2096</v>
      </c>
      <c r="AC229" s="41" t="s">
        <v>2175</v>
      </c>
    </row>
    <row r="230" spans="6:29" ht="29" hidden="1" x14ac:dyDescent="0.35">
      <c r="F230" s="40" t="s">
        <v>1661</v>
      </c>
      <c r="G230" s="40" t="s">
        <v>603</v>
      </c>
      <c r="H230" s="40" t="s">
        <v>604</v>
      </c>
      <c r="I230" s="41" t="s">
        <v>605</v>
      </c>
      <c r="J230" s="41" t="s">
        <v>119</v>
      </c>
      <c r="K230" s="41" t="s">
        <v>775</v>
      </c>
      <c r="L230" s="41" t="s">
        <v>104</v>
      </c>
      <c r="M230" s="40" t="s">
        <v>656</v>
      </c>
      <c r="P230" s="40" t="s">
        <v>604</v>
      </c>
      <c r="Q230" s="41" t="s">
        <v>607</v>
      </c>
      <c r="R230" s="41" t="s">
        <v>119</v>
      </c>
      <c r="S230" s="41" t="s">
        <v>776</v>
      </c>
      <c r="T230" s="64">
        <v>45920</v>
      </c>
      <c r="V230" s="41" t="s">
        <v>2203</v>
      </c>
      <c r="W230" s="41" t="s">
        <v>2204</v>
      </c>
      <c r="Y230" s="42"/>
      <c r="Z230" s="41" t="s">
        <v>170</v>
      </c>
      <c r="AA230" s="41" t="s">
        <v>1225</v>
      </c>
      <c r="AB230" s="41" t="s">
        <v>2097</v>
      </c>
      <c r="AC230" s="41" t="s">
        <v>2175</v>
      </c>
    </row>
    <row r="231" spans="6:29" ht="29" hidden="1" x14ac:dyDescent="0.35">
      <c r="F231" s="40" t="s">
        <v>1662</v>
      </c>
      <c r="G231" s="40" t="s">
        <v>603</v>
      </c>
      <c r="H231" s="40" t="s">
        <v>604</v>
      </c>
      <c r="I231" s="41" t="s">
        <v>605</v>
      </c>
      <c r="J231" s="41" t="s">
        <v>119</v>
      </c>
      <c r="K231" s="41" t="s">
        <v>775</v>
      </c>
      <c r="L231" s="41" t="s">
        <v>104</v>
      </c>
      <c r="M231" s="40" t="s">
        <v>678</v>
      </c>
      <c r="P231" s="40" t="s">
        <v>604</v>
      </c>
      <c r="Q231" s="41" t="s">
        <v>607</v>
      </c>
      <c r="R231" s="41" t="s">
        <v>119</v>
      </c>
      <c r="S231" s="41" t="s">
        <v>776</v>
      </c>
      <c r="T231" s="64">
        <v>45920</v>
      </c>
      <c r="V231" s="41" t="s">
        <v>2203</v>
      </c>
      <c r="W231" s="41" t="s">
        <v>2204</v>
      </c>
      <c r="Y231" s="42"/>
      <c r="Z231" s="41" t="s">
        <v>170</v>
      </c>
      <c r="AA231" s="41" t="s">
        <v>1226</v>
      </c>
      <c r="AB231" s="41" t="s">
        <v>2098</v>
      </c>
      <c r="AC231" s="41" t="s">
        <v>2175</v>
      </c>
    </row>
    <row r="232" spans="6:29" ht="29" hidden="1" x14ac:dyDescent="0.35">
      <c r="F232" s="40" t="s">
        <v>1663</v>
      </c>
      <c r="G232" s="40" t="s">
        <v>603</v>
      </c>
      <c r="H232" s="40" t="s">
        <v>604</v>
      </c>
      <c r="I232" s="41" t="s">
        <v>607</v>
      </c>
      <c r="J232" s="41" t="s">
        <v>121</v>
      </c>
      <c r="K232" s="41" t="s">
        <v>721</v>
      </c>
      <c r="L232" s="41" t="s">
        <v>104</v>
      </c>
      <c r="M232" s="40" t="s">
        <v>690</v>
      </c>
      <c r="P232" s="40" t="s">
        <v>604</v>
      </c>
      <c r="Q232" s="41" t="s">
        <v>607</v>
      </c>
      <c r="R232" s="41" t="s">
        <v>121</v>
      </c>
      <c r="S232" s="41" t="s">
        <v>721</v>
      </c>
      <c r="T232" s="64">
        <v>45920</v>
      </c>
      <c r="V232" s="41" t="s">
        <v>2203</v>
      </c>
      <c r="W232" s="41" t="s">
        <v>2204</v>
      </c>
      <c r="Y232" s="42"/>
      <c r="Z232" s="41" t="s">
        <v>170</v>
      </c>
      <c r="AA232" s="41" t="s">
        <v>1227</v>
      </c>
      <c r="AB232" s="41" t="s">
        <v>2099</v>
      </c>
      <c r="AC232" s="41" t="s">
        <v>2175</v>
      </c>
    </row>
    <row r="233" spans="6:29" ht="29" hidden="1" x14ac:dyDescent="0.35">
      <c r="F233" s="40" t="s">
        <v>1664</v>
      </c>
      <c r="G233" s="40" t="s">
        <v>603</v>
      </c>
      <c r="H233" s="40" t="s">
        <v>604</v>
      </c>
      <c r="I233" s="41" t="s">
        <v>605</v>
      </c>
      <c r="J233" s="41" t="s">
        <v>119</v>
      </c>
      <c r="K233" s="41" t="s">
        <v>777</v>
      </c>
      <c r="L233" s="41" t="s">
        <v>104</v>
      </c>
      <c r="M233" s="40" t="s">
        <v>761</v>
      </c>
      <c r="P233" s="40" t="s">
        <v>604</v>
      </c>
      <c r="Q233" s="41" t="s">
        <v>607</v>
      </c>
      <c r="R233" s="41" t="s">
        <v>119</v>
      </c>
      <c r="S233" s="41" t="s">
        <v>778</v>
      </c>
      <c r="T233" s="64">
        <v>45920</v>
      </c>
      <c r="V233" s="41" t="s">
        <v>2203</v>
      </c>
      <c r="W233" s="41" t="s">
        <v>2204</v>
      </c>
      <c r="Y233" s="42"/>
      <c r="Z233" s="41" t="s">
        <v>170</v>
      </c>
      <c r="AA233" s="41" t="s">
        <v>1228</v>
      </c>
      <c r="AB233" s="41" t="s">
        <v>2100</v>
      </c>
      <c r="AC233" s="41" t="s">
        <v>2175</v>
      </c>
    </row>
    <row r="234" spans="6:29" ht="29" hidden="1" x14ac:dyDescent="0.35">
      <c r="F234" s="40" t="s">
        <v>1665</v>
      </c>
      <c r="G234" s="40" t="s">
        <v>603</v>
      </c>
      <c r="H234" s="40" t="s">
        <v>604</v>
      </c>
      <c r="I234" s="41" t="s">
        <v>605</v>
      </c>
      <c r="J234" s="41" t="s">
        <v>119</v>
      </c>
      <c r="K234" s="41" t="s">
        <v>777</v>
      </c>
      <c r="L234" s="41" t="s">
        <v>104</v>
      </c>
      <c r="M234" s="40" t="s">
        <v>764</v>
      </c>
      <c r="P234" s="40" t="s">
        <v>604</v>
      </c>
      <c r="Q234" s="41" t="s">
        <v>607</v>
      </c>
      <c r="R234" s="41" t="s">
        <v>119</v>
      </c>
      <c r="S234" s="41" t="s">
        <v>778</v>
      </c>
      <c r="T234" s="64">
        <v>45920</v>
      </c>
      <c r="V234" s="41" t="s">
        <v>2203</v>
      </c>
      <c r="W234" s="41" t="s">
        <v>2204</v>
      </c>
      <c r="Y234" s="42"/>
      <c r="Z234" s="41" t="s">
        <v>170</v>
      </c>
      <c r="AA234" s="41" t="s">
        <v>1229</v>
      </c>
      <c r="AB234" s="41" t="s">
        <v>2101</v>
      </c>
      <c r="AC234" s="41" t="s">
        <v>2175</v>
      </c>
    </row>
    <row r="235" spans="6:29" ht="29" hidden="1" x14ac:dyDescent="0.35">
      <c r="F235" s="40" t="s">
        <v>1666</v>
      </c>
      <c r="G235" s="40" t="s">
        <v>603</v>
      </c>
      <c r="H235" s="40" t="s">
        <v>604</v>
      </c>
      <c r="I235" s="41" t="s">
        <v>605</v>
      </c>
      <c r="J235" s="41" t="s">
        <v>119</v>
      </c>
      <c r="K235" s="41" t="s">
        <v>777</v>
      </c>
      <c r="L235" s="41" t="s">
        <v>104</v>
      </c>
      <c r="M235" s="40" t="s">
        <v>616</v>
      </c>
      <c r="P235" s="40" t="s">
        <v>604</v>
      </c>
      <c r="Q235" s="41" t="s">
        <v>607</v>
      </c>
      <c r="R235" s="41" t="s">
        <v>119</v>
      </c>
      <c r="S235" s="41" t="s">
        <v>778</v>
      </c>
      <c r="T235" s="64">
        <v>45920</v>
      </c>
      <c r="V235" s="41" t="s">
        <v>2203</v>
      </c>
      <c r="W235" s="41" t="s">
        <v>2204</v>
      </c>
      <c r="Y235" s="42"/>
      <c r="Z235" s="41" t="s">
        <v>170</v>
      </c>
      <c r="AA235" s="41" t="s">
        <v>1230</v>
      </c>
      <c r="AB235" s="41" t="s">
        <v>2102</v>
      </c>
      <c r="AC235" s="41" t="s">
        <v>2175</v>
      </c>
    </row>
    <row r="236" spans="6:29" ht="29" hidden="1" x14ac:dyDescent="0.35">
      <c r="F236" s="40" t="s">
        <v>1667</v>
      </c>
      <c r="G236" s="40" t="s">
        <v>603</v>
      </c>
      <c r="H236" s="40" t="s">
        <v>604</v>
      </c>
      <c r="I236" s="41" t="s">
        <v>605</v>
      </c>
      <c r="J236" s="41" t="s">
        <v>119</v>
      </c>
      <c r="K236" s="41" t="s">
        <v>777</v>
      </c>
      <c r="L236" s="41" t="s">
        <v>104</v>
      </c>
      <c r="M236" s="40" t="s">
        <v>759</v>
      </c>
      <c r="P236" s="40" t="s">
        <v>604</v>
      </c>
      <c r="Q236" s="41" t="s">
        <v>607</v>
      </c>
      <c r="R236" s="41" t="s">
        <v>119</v>
      </c>
      <c r="S236" s="41" t="s">
        <v>778</v>
      </c>
      <c r="T236" s="64">
        <v>45920</v>
      </c>
      <c r="V236" s="41" t="s">
        <v>2203</v>
      </c>
      <c r="W236" s="41" t="s">
        <v>2204</v>
      </c>
      <c r="Y236" s="42"/>
      <c r="Z236" s="41" t="s">
        <v>170</v>
      </c>
      <c r="AA236" s="41" t="s">
        <v>1231</v>
      </c>
      <c r="AB236" s="41" t="s">
        <v>2103</v>
      </c>
      <c r="AC236" s="41" t="s">
        <v>2175</v>
      </c>
    </row>
    <row r="237" spans="6:29" ht="29" hidden="1" x14ac:dyDescent="0.35">
      <c r="F237" s="40" t="s">
        <v>1668</v>
      </c>
      <c r="G237" s="40" t="s">
        <v>603</v>
      </c>
      <c r="H237" s="40" t="s">
        <v>604</v>
      </c>
      <c r="I237" s="41" t="s">
        <v>605</v>
      </c>
      <c r="J237" s="41" t="s">
        <v>119</v>
      </c>
      <c r="K237" s="41" t="s">
        <v>777</v>
      </c>
      <c r="L237" s="41" t="s">
        <v>104</v>
      </c>
      <c r="M237" s="40" t="s">
        <v>760</v>
      </c>
      <c r="P237" s="40" t="s">
        <v>604</v>
      </c>
      <c r="Q237" s="41" t="s">
        <v>607</v>
      </c>
      <c r="R237" s="41" t="s">
        <v>119</v>
      </c>
      <c r="S237" s="41" t="s">
        <v>778</v>
      </c>
      <c r="T237" s="64">
        <v>45920</v>
      </c>
      <c r="V237" s="41" t="s">
        <v>2203</v>
      </c>
      <c r="W237" s="41" t="s">
        <v>2204</v>
      </c>
      <c r="Y237" s="42"/>
      <c r="Z237" s="41" t="s">
        <v>170</v>
      </c>
      <c r="AA237" s="41" t="s">
        <v>1232</v>
      </c>
      <c r="AB237" s="41" t="s">
        <v>2104</v>
      </c>
      <c r="AC237" s="41" t="s">
        <v>2175</v>
      </c>
    </row>
    <row r="238" spans="6:29" ht="29" hidden="1" x14ac:dyDescent="0.35">
      <c r="F238" s="40" t="s">
        <v>1669</v>
      </c>
      <c r="G238" s="40" t="s">
        <v>603</v>
      </c>
      <c r="H238" s="40" t="s">
        <v>604</v>
      </c>
      <c r="I238" s="41" t="s">
        <v>605</v>
      </c>
      <c r="J238" s="41" t="s">
        <v>119</v>
      </c>
      <c r="K238" s="41" t="s">
        <v>777</v>
      </c>
      <c r="L238" s="41" t="s">
        <v>104</v>
      </c>
      <c r="M238" s="40" t="s">
        <v>779</v>
      </c>
      <c r="P238" s="40" t="s">
        <v>604</v>
      </c>
      <c r="Q238" s="41" t="s">
        <v>607</v>
      </c>
      <c r="R238" s="41" t="s">
        <v>119</v>
      </c>
      <c r="S238" s="41" t="s">
        <v>778</v>
      </c>
      <c r="T238" s="64">
        <v>45920</v>
      </c>
      <c r="V238" s="41" t="s">
        <v>2203</v>
      </c>
      <c r="W238" s="41" t="s">
        <v>2204</v>
      </c>
      <c r="Y238" s="42"/>
      <c r="Z238" s="41" t="s">
        <v>170</v>
      </c>
      <c r="AA238" s="41" t="s">
        <v>1233</v>
      </c>
      <c r="AB238" s="41" t="s">
        <v>2105</v>
      </c>
      <c r="AC238" s="41" t="s">
        <v>2175</v>
      </c>
    </row>
    <row r="239" spans="6:29" ht="29" hidden="1" x14ac:dyDescent="0.35">
      <c r="F239" s="40" t="s">
        <v>1670</v>
      </c>
      <c r="G239" s="40" t="s">
        <v>603</v>
      </c>
      <c r="H239" s="40" t="s">
        <v>604</v>
      </c>
      <c r="I239" s="41" t="s">
        <v>605</v>
      </c>
      <c r="J239" s="41" t="s">
        <v>119</v>
      </c>
      <c r="K239" s="41" t="s">
        <v>780</v>
      </c>
      <c r="L239" s="41" t="s">
        <v>104</v>
      </c>
      <c r="M239" s="40" t="s">
        <v>753</v>
      </c>
      <c r="P239" s="40" t="s">
        <v>604</v>
      </c>
      <c r="Q239" s="41" t="s">
        <v>607</v>
      </c>
      <c r="R239" s="41" t="s">
        <v>119</v>
      </c>
      <c r="S239" s="41" t="s">
        <v>781</v>
      </c>
      <c r="T239" s="64">
        <v>45920</v>
      </c>
      <c r="V239" s="41" t="s">
        <v>2203</v>
      </c>
      <c r="W239" s="41" t="s">
        <v>2204</v>
      </c>
      <c r="Y239" s="42"/>
      <c r="Z239" s="41" t="s">
        <v>170</v>
      </c>
      <c r="AA239" s="41" t="s">
        <v>1234</v>
      </c>
      <c r="AB239" s="41" t="s">
        <v>2106</v>
      </c>
      <c r="AC239" s="41" t="s">
        <v>2175</v>
      </c>
    </row>
    <row r="240" spans="6:29" ht="29" hidden="1" x14ac:dyDescent="0.35">
      <c r="F240" s="40" t="s">
        <v>1671</v>
      </c>
      <c r="G240" s="40" t="s">
        <v>603</v>
      </c>
      <c r="H240" s="40" t="s">
        <v>604</v>
      </c>
      <c r="I240" s="41" t="s">
        <v>605</v>
      </c>
      <c r="J240" s="41" t="s">
        <v>119</v>
      </c>
      <c r="K240" s="41" t="s">
        <v>780</v>
      </c>
      <c r="L240" s="41" t="s">
        <v>104</v>
      </c>
      <c r="M240" s="40" t="s">
        <v>757</v>
      </c>
      <c r="P240" s="40" t="s">
        <v>604</v>
      </c>
      <c r="Q240" s="41" t="s">
        <v>607</v>
      </c>
      <c r="R240" s="41" t="s">
        <v>119</v>
      </c>
      <c r="S240" s="41" t="s">
        <v>781</v>
      </c>
      <c r="T240" s="64">
        <v>45920</v>
      </c>
      <c r="V240" s="41" t="s">
        <v>2203</v>
      </c>
      <c r="W240" s="41" t="s">
        <v>2204</v>
      </c>
      <c r="Y240" s="42"/>
      <c r="Z240" s="41" t="s">
        <v>170</v>
      </c>
      <c r="AA240" s="41" t="s">
        <v>1235</v>
      </c>
      <c r="AB240" s="41" t="s">
        <v>2107</v>
      </c>
      <c r="AC240" s="41" t="s">
        <v>2175</v>
      </c>
    </row>
    <row r="241" spans="6:29" ht="29" hidden="1" x14ac:dyDescent="0.35">
      <c r="F241" s="40" t="s">
        <v>1672</v>
      </c>
      <c r="G241" s="40" t="s">
        <v>603</v>
      </c>
      <c r="H241" s="40" t="s">
        <v>604</v>
      </c>
      <c r="I241" s="41" t="s">
        <v>605</v>
      </c>
      <c r="J241" s="41" t="s">
        <v>119</v>
      </c>
      <c r="K241" s="41" t="s">
        <v>780</v>
      </c>
      <c r="L241" s="41" t="s">
        <v>104</v>
      </c>
      <c r="M241" s="40" t="s">
        <v>616</v>
      </c>
      <c r="P241" s="40" t="s">
        <v>604</v>
      </c>
      <c r="Q241" s="41" t="s">
        <v>607</v>
      </c>
      <c r="R241" s="41" t="s">
        <v>119</v>
      </c>
      <c r="S241" s="41" t="s">
        <v>781</v>
      </c>
      <c r="T241" s="64">
        <v>45920</v>
      </c>
      <c r="V241" s="41" t="s">
        <v>2203</v>
      </c>
      <c r="W241" s="41" t="s">
        <v>2204</v>
      </c>
      <c r="Y241" s="42"/>
      <c r="Z241" s="41" t="s">
        <v>170</v>
      </c>
      <c r="AA241" s="41" t="s">
        <v>1236</v>
      </c>
      <c r="AB241" s="41" t="s">
        <v>2108</v>
      </c>
      <c r="AC241" s="41" t="s">
        <v>2175</v>
      </c>
    </row>
    <row r="242" spans="6:29" ht="29" hidden="1" x14ac:dyDescent="0.35">
      <c r="F242" s="40" t="s">
        <v>1673</v>
      </c>
      <c r="G242" s="40" t="s">
        <v>603</v>
      </c>
      <c r="H242" s="40" t="s">
        <v>604</v>
      </c>
      <c r="I242" s="41" t="s">
        <v>605</v>
      </c>
      <c r="J242" s="41" t="s">
        <v>119</v>
      </c>
      <c r="K242" s="41" t="s">
        <v>780</v>
      </c>
      <c r="L242" s="41" t="s">
        <v>104</v>
      </c>
      <c r="M242" s="40" t="s">
        <v>759</v>
      </c>
      <c r="P242" s="40" t="s">
        <v>604</v>
      </c>
      <c r="Q242" s="41" t="s">
        <v>607</v>
      </c>
      <c r="R242" s="41" t="s">
        <v>119</v>
      </c>
      <c r="S242" s="41" t="s">
        <v>781</v>
      </c>
      <c r="T242" s="64">
        <v>45920</v>
      </c>
      <c r="V242" s="41" t="s">
        <v>2203</v>
      </c>
      <c r="W242" s="41" t="s">
        <v>2204</v>
      </c>
      <c r="Y242" s="42"/>
      <c r="Z242" s="41" t="s">
        <v>170</v>
      </c>
      <c r="AA242" s="41" t="s">
        <v>1237</v>
      </c>
      <c r="AB242" s="41" t="s">
        <v>2109</v>
      </c>
      <c r="AC242" s="41" t="s">
        <v>2175</v>
      </c>
    </row>
    <row r="243" spans="6:29" ht="29" hidden="1" x14ac:dyDescent="0.35">
      <c r="F243" s="40" t="s">
        <v>1674</v>
      </c>
      <c r="G243" s="40" t="s">
        <v>603</v>
      </c>
      <c r="H243" s="40" t="s">
        <v>604</v>
      </c>
      <c r="I243" s="41" t="s">
        <v>605</v>
      </c>
      <c r="J243" s="41" t="s">
        <v>119</v>
      </c>
      <c r="K243" s="41" t="s">
        <v>780</v>
      </c>
      <c r="L243" s="41" t="s">
        <v>104</v>
      </c>
      <c r="M243" s="40" t="s">
        <v>760</v>
      </c>
      <c r="P243" s="40" t="s">
        <v>604</v>
      </c>
      <c r="Q243" s="41" t="s">
        <v>607</v>
      </c>
      <c r="R243" s="41" t="s">
        <v>119</v>
      </c>
      <c r="S243" s="41" t="s">
        <v>781</v>
      </c>
      <c r="T243" s="64">
        <v>45920</v>
      </c>
      <c r="V243" s="41" t="s">
        <v>2203</v>
      </c>
      <c r="W243" s="41" t="s">
        <v>2204</v>
      </c>
      <c r="Y243" s="42"/>
      <c r="Z243" s="41" t="s">
        <v>170</v>
      </c>
      <c r="AA243" s="41" t="s">
        <v>1238</v>
      </c>
      <c r="AB243" s="41" t="s">
        <v>2110</v>
      </c>
      <c r="AC243" s="41" t="s">
        <v>2175</v>
      </c>
    </row>
    <row r="244" spans="6:29" ht="29" hidden="1" x14ac:dyDescent="0.35">
      <c r="F244" s="40" t="s">
        <v>1675</v>
      </c>
      <c r="G244" s="40" t="s">
        <v>603</v>
      </c>
      <c r="H244" s="40" t="s">
        <v>604</v>
      </c>
      <c r="I244" s="41" t="s">
        <v>605</v>
      </c>
      <c r="J244" s="41" t="s">
        <v>119</v>
      </c>
      <c r="K244" s="41" t="s">
        <v>782</v>
      </c>
      <c r="L244" s="41" t="s">
        <v>104</v>
      </c>
      <c r="M244" s="40" t="s">
        <v>761</v>
      </c>
      <c r="P244" s="40" t="s">
        <v>604</v>
      </c>
      <c r="Q244" s="41" t="s">
        <v>607</v>
      </c>
      <c r="R244" s="41" t="s">
        <v>119</v>
      </c>
      <c r="S244" s="41" t="s">
        <v>783</v>
      </c>
      <c r="T244" s="64">
        <v>45920</v>
      </c>
      <c r="V244" s="41" t="s">
        <v>2203</v>
      </c>
      <c r="W244" s="41" t="s">
        <v>2204</v>
      </c>
      <c r="Y244" s="42"/>
      <c r="Z244" s="41" t="s">
        <v>170</v>
      </c>
      <c r="AA244" s="41" t="s">
        <v>1239</v>
      </c>
      <c r="AB244" s="41" t="s">
        <v>2111</v>
      </c>
      <c r="AC244" s="41" t="s">
        <v>2175</v>
      </c>
    </row>
    <row r="245" spans="6:29" ht="29" hidden="1" x14ac:dyDescent="0.35">
      <c r="F245" s="40" t="s">
        <v>1676</v>
      </c>
      <c r="G245" s="40" t="s">
        <v>603</v>
      </c>
      <c r="H245" s="40" t="s">
        <v>604</v>
      </c>
      <c r="I245" s="41" t="s">
        <v>605</v>
      </c>
      <c r="J245" s="41" t="s">
        <v>119</v>
      </c>
      <c r="K245" s="41" t="s">
        <v>782</v>
      </c>
      <c r="L245" s="41" t="s">
        <v>104</v>
      </c>
      <c r="M245" s="40" t="s">
        <v>764</v>
      </c>
      <c r="P245" s="40" t="s">
        <v>604</v>
      </c>
      <c r="Q245" s="41" t="s">
        <v>607</v>
      </c>
      <c r="R245" s="41" t="s">
        <v>119</v>
      </c>
      <c r="S245" s="41" t="s">
        <v>783</v>
      </c>
      <c r="T245" s="64">
        <v>45920</v>
      </c>
      <c r="V245" s="41" t="s">
        <v>2203</v>
      </c>
      <c r="W245" s="41" t="s">
        <v>2204</v>
      </c>
      <c r="Y245" s="42"/>
      <c r="Z245" s="41" t="s">
        <v>170</v>
      </c>
      <c r="AA245" s="41" t="s">
        <v>1240</v>
      </c>
      <c r="AB245" s="41" t="s">
        <v>2112</v>
      </c>
      <c r="AC245" s="41" t="s">
        <v>2175</v>
      </c>
    </row>
    <row r="246" spans="6:29" ht="29" hidden="1" x14ac:dyDescent="0.35">
      <c r="F246" s="40" t="s">
        <v>1677</v>
      </c>
      <c r="G246" s="40" t="s">
        <v>603</v>
      </c>
      <c r="H246" s="40" t="s">
        <v>604</v>
      </c>
      <c r="I246" s="41" t="s">
        <v>605</v>
      </c>
      <c r="J246" s="41" t="s">
        <v>119</v>
      </c>
      <c r="K246" s="41" t="s">
        <v>782</v>
      </c>
      <c r="L246" s="41" t="s">
        <v>104</v>
      </c>
      <c r="M246" s="40" t="s">
        <v>616</v>
      </c>
      <c r="P246" s="40" t="s">
        <v>604</v>
      </c>
      <c r="Q246" s="41" t="s">
        <v>607</v>
      </c>
      <c r="R246" s="41" t="s">
        <v>119</v>
      </c>
      <c r="S246" s="41" t="s">
        <v>783</v>
      </c>
      <c r="T246" s="64">
        <v>45920</v>
      </c>
      <c r="V246" s="41" t="s">
        <v>2203</v>
      </c>
      <c r="W246" s="41" t="s">
        <v>2204</v>
      </c>
      <c r="Y246" s="42"/>
      <c r="Z246" s="41" t="s">
        <v>170</v>
      </c>
      <c r="AA246" s="41" t="s">
        <v>1241</v>
      </c>
      <c r="AB246" s="41" t="s">
        <v>2113</v>
      </c>
      <c r="AC246" s="41" t="s">
        <v>2175</v>
      </c>
    </row>
    <row r="247" spans="6:29" ht="29" hidden="1" x14ac:dyDescent="0.35">
      <c r="F247" s="40" t="s">
        <v>1678</v>
      </c>
      <c r="G247" s="40" t="s">
        <v>603</v>
      </c>
      <c r="H247" s="40" t="s">
        <v>604</v>
      </c>
      <c r="I247" s="41" t="s">
        <v>605</v>
      </c>
      <c r="J247" s="41" t="s">
        <v>119</v>
      </c>
      <c r="K247" s="41" t="s">
        <v>782</v>
      </c>
      <c r="L247" s="41" t="s">
        <v>104</v>
      </c>
      <c r="M247" s="40" t="s">
        <v>759</v>
      </c>
      <c r="P247" s="40" t="s">
        <v>604</v>
      </c>
      <c r="Q247" s="41" t="s">
        <v>607</v>
      </c>
      <c r="R247" s="41" t="s">
        <v>119</v>
      </c>
      <c r="S247" s="41" t="s">
        <v>783</v>
      </c>
      <c r="T247" s="64">
        <v>45920</v>
      </c>
      <c r="V247" s="41" t="s">
        <v>2203</v>
      </c>
      <c r="W247" s="41" t="s">
        <v>2204</v>
      </c>
      <c r="Y247" s="42"/>
      <c r="Z247" s="41" t="s">
        <v>170</v>
      </c>
      <c r="AA247" s="41" t="s">
        <v>1242</v>
      </c>
      <c r="AB247" s="41" t="s">
        <v>2114</v>
      </c>
      <c r="AC247" s="41" t="s">
        <v>2175</v>
      </c>
    </row>
    <row r="248" spans="6:29" ht="29" hidden="1" x14ac:dyDescent="0.35">
      <c r="F248" s="40" t="s">
        <v>1679</v>
      </c>
      <c r="G248" s="40" t="s">
        <v>603</v>
      </c>
      <c r="H248" s="40" t="s">
        <v>604</v>
      </c>
      <c r="I248" s="41" t="s">
        <v>605</v>
      </c>
      <c r="J248" s="41" t="s">
        <v>119</v>
      </c>
      <c r="K248" s="41" t="s">
        <v>782</v>
      </c>
      <c r="L248" s="41" t="s">
        <v>104</v>
      </c>
      <c r="M248" s="40" t="s">
        <v>760</v>
      </c>
      <c r="P248" s="40" t="s">
        <v>604</v>
      </c>
      <c r="Q248" s="41" t="s">
        <v>607</v>
      </c>
      <c r="R248" s="41" t="s">
        <v>119</v>
      </c>
      <c r="S248" s="41" t="s">
        <v>783</v>
      </c>
      <c r="T248" s="64">
        <v>45920</v>
      </c>
      <c r="V248" s="41" t="s">
        <v>2203</v>
      </c>
      <c r="W248" s="41" t="s">
        <v>2204</v>
      </c>
      <c r="Y248" s="42"/>
      <c r="Z248" s="41" t="s">
        <v>170</v>
      </c>
      <c r="AA248" s="41" t="s">
        <v>1243</v>
      </c>
      <c r="AB248" s="41" t="s">
        <v>2115</v>
      </c>
      <c r="AC248" s="41" t="s">
        <v>2175</v>
      </c>
    </row>
    <row r="249" spans="6:29" ht="29" hidden="1" x14ac:dyDescent="0.35">
      <c r="F249" s="40" t="s">
        <v>1680</v>
      </c>
      <c r="G249" s="40" t="s">
        <v>603</v>
      </c>
      <c r="H249" s="40" t="s">
        <v>604</v>
      </c>
      <c r="I249" s="41" t="s">
        <v>605</v>
      </c>
      <c r="J249" s="41" t="s">
        <v>119</v>
      </c>
      <c r="K249" s="41" t="s">
        <v>784</v>
      </c>
      <c r="L249" s="41" t="s">
        <v>104</v>
      </c>
      <c r="M249" s="40" t="s">
        <v>753</v>
      </c>
      <c r="P249" s="40" t="s">
        <v>604</v>
      </c>
      <c r="Q249" s="41" t="s">
        <v>607</v>
      </c>
      <c r="R249" s="41" t="s">
        <v>119</v>
      </c>
      <c r="S249" s="41" t="s">
        <v>785</v>
      </c>
      <c r="T249" s="64">
        <v>45920</v>
      </c>
      <c r="V249" s="41" t="s">
        <v>2203</v>
      </c>
      <c r="W249" s="41" t="s">
        <v>2204</v>
      </c>
      <c r="Y249" s="42"/>
      <c r="Z249" s="41" t="s">
        <v>170</v>
      </c>
      <c r="AA249" s="41" t="s">
        <v>1244</v>
      </c>
      <c r="AB249" s="41" t="s">
        <v>2116</v>
      </c>
      <c r="AC249" s="41" t="s">
        <v>2175</v>
      </c>
    </row>
    <row r="250" spans="6:29" ht="29" hidden="1" x14ac:dyDescent="0.35">
      <c r="F250" s="40" t="s">
        <v>1681</v>
      </c>
      <c r="G250" s="40" t="s">
        <v>603</v>
      </c>
      <c r="H250" s="40" t="s">
        <v>604</v>
      </c>
      <c r="I250" s="41" t="s">
        <v>605</v>
      </c>
      <c r="J250" s="41" t="s">
        <v>119</v>
      </c>
      <c r="K250" s="41" t="s">
        <v>784</v>
      </c>
      <c r="L250" s="41" t="s">
        <v>104</v>
      </c>
      <c r="M250" s="40" t="s">
        <v>757</v>
      </c>
      <c r="P250" s="40" t="s">
        <v>604</v>
      </c>
      <c r="Q250" s="41" t="s">
        <v>607</v>
      </c>
      <c r="R250" s="41" t="s">
        <v>119</v>
      </c>
      <c r="S250" s="41" t="s">
        <v>785</v>
      </c>
      <c r="T250" s="64">
        <v>45920</v>
      </c>
      <c r="V250" s="41" t="s">
        <v>2203</v>
      </c>
      <c r="W250" s="41" t="s">
        <v>2204</v>
      </c>
      <c r="Y250" s="42"/>
      <c r="Z250" s="41" t="s">
        <v>170</v>
      </c>
      <c r="AA250" s="41" t="s">
        <v>1245</v>
      </c>
      <c r="AB250" s="41" t="s">
        <v>2117</v>
      </c>
      <c r="AC250" s="41" t="s">
        <v>2175</v>
      </c>
    </row>
    <row r="251" spans="6:29" ht="29" hidden="1" x14ac:dyDescent="0.35">
      <c r="F251" s="40" t="s">
        <v>1682</v>
      </c>
      <c r="G251" s="40" t="s">
        <v>603</v>
      </c>
      <c r="H251" s="40" t="s">
        <v>604</v>
      </c>
      <c r="I251" s="41" t="s">
        <v>605</v>
      </c>
      <c r="J251" s="41" t="s">
        <v>119</v>
      </c>
      <c r="K251" s="41" t="s">
        <v>784</v>
      </c>
      <c r="L251" s="41" t="s">
        <v>104</v>
      </c>
      <c r="M251" s="40" t="s">
        <v>616</v>
      </c>
      <c r="P251" s="40" t="s">
        <v>604</v>
      </c>
      <c r="Q251" s="41" t="s">
        <v>607</v>
      </c>
      <c r="R251" s="41" t="s">
        <v>119</v>
      </c>
      <c r="S251" s="41" t="s">
        <v>785</v>
      </c>
      <c r="T251" s="64">
        <v>45920</v>
      </c>
      <c r="V251" s="41" t="s">
        <v>2203</v>
      </c>
      <c r="W251" s="41" t="s">
        <v>2204</v>
      </c>
      <c r="Y251" s="42"/>
      <c r="Z251" s="41" t="s">
        <v>170</v>
      </c>
      <c r="AA251" s="41" t="s">
        <v>1246</v>
      </c>
      <c r="AB251" s="41" t="s">
        <v>2118</v>
      </c>
      <c r="AC251" s="41" t="s">
        <v>2175</v>
      </c>
    </row>
    <row r="252" spans="6:29" ht="29" hidden="1" x14ac:dyDescent="0.35">
      <c r="F252" s="40" t="s">
        <v>1683</v>
      </c>
      <c r="G252" s="40" t="s">
        <v>603</v>
      </c>
      <c r="H252" s="40" t="s">
        <v>604</v>
      </c>
      <c r="I252" s="41" t="s">
        <v>605</v>
      </c>
      <c r="J252" s="41" t="s">
        <v>119</v>
      </c>
      <c r="K252" s="41" t="s">
        <v>784</v>
      </c>
      <c r="L252" s="41" t="s">
        <v>104</v>
      </c>
      <c r="M252" s="40" t="s">
        <v>759</v>
      </c>
      <c r="P252" s="40" t="s">
        <v>604</v>
      </c>
      <c r="Q252" s="41" t="s">
        <v>607</v>
      </c>
      <c r="R252" s="41" t="s">
        <v>119</v>
      </c>
      <c r="S252" s="41" t="s">
        <v>785</v>
      </c>
      <c r="T252" s="64">
        <v>45920</v>
      </c>
      <c r="V252" s="41" t="s">
        <v>2203</v>
      </c>
      <c r="W252" s="41" t="s">
        <v>2204</v>
      </c>
      <c r="Y252" s="42"/>
      <c r="Z252" s="41" t="s">
        <v>170</v>
      </c>
      <c r="AA252" s="41" t="s">
        <v>1247</v>
      </c>
      <c r="AB252" s="41" t="s">
        <v>2119</v>
      </c>
      <c r="AC252" s="41" t="s">
        <v>2175</v>
      </c>
    </row>
    <row r="253" spans="6:29" ht="29" hidden="1" x14ac:dyDescent="0.35">
      <c r="F253" s="40" t="s">
        <v>1684</v>
      </c>
      <c r="G253" s="40" t="s">
        <v>603</v>
      </c>
      <c r="H253" s="40" t="s">
        <v>604</v>
      </c>
      <c r="I253" s="41" t="s">
        <v>605</v>
      </c>
      <c r="J253" s="41" t="s">
        <v>119</v>
      </c>
      <c r="K253" s="41" t="s">
        <v>784</v>
      </c>
      <c r="L253" s="41" t="s">
        <v>104</v>
      </c>
      <c r="M253" s="40" t="s">
        <v>760</v>
      </c>
      <c r="P253" s="40" t="s">
        <v>604</v>
      </c>
      <c r="Q253" s="41" t="s">
        <v>607</v>
      </c>
      <c r="R253" s="41" t="s">
        <v>119</v>
      </c>
      <c r="S253" s="41" t="s">
        <v>785</v>
      </c>
      <c r="T253" s="64">
        <v>45920</v>
      </c>
      <c r="V253" s="41" t="s">
        <v>2203</v>
      </c>
      <c r="W253" s="41" t="s">
        <v>2204</v>
      </c>
      <c r="Y253" s="42"/>
      <c r="Z253" s="41" t="s">
        <v>170</v>
      </c>
      <c r="AA253" s="41" t="s">
        <v>1248</v>
      </c>
      <c r="AB253" s="41" t="s">
        <v>2120</v>
      </c>
      <c r="AC253" s="41" t="s">
        <v>2175</v>
      </c>
    </row>
    <row r="254" spans="6:29" ht="29" hidden="1" x14ac:dyDescent="0.35">
      <c r="F254" s="40" t="s">
        <v>1685</v>
      </c>
      <c r="G254" s="40" t="s">
        <v>603</v>
      </c>
      <c r="H254" s="40" t="s">
        <v>604</v>
      </c>
      <c r="I254" s="41" t="s">
        <v>605</v>
      </c>
      <c r="J254" s="41" t="s">
        <v>119</v>
      </c>
      <c r="K254" s="41" t="s">
        <v>784</v>
      </c>
      <c r="L254" s="41" t="s">
        <v>104</v>
      </c>
      <c r="M254" s="40" t="s">
        <v>786</v>
      </c>
      <c r="P254" s="40" t="s">
        <v>604</v>
      </c>
      <c r="Q254" s="41" t="s">
        <v>607</v>
      </c>
      <c r="R254" s="41" t="s">
        <v>119</v>
      </c>
      <c r="S254" s="41" t="s">
        <v>785</v>
      </c>
      <c r="T254" s="64">
        <v>45920</v>
      </c>
      <c r="V254" s="41" t="s">
        <v>2203</v>
      </c>
      <c r="W254" s="41" t="s">
        <v>2204</v>
      </c>
      <c r="Y254" s="42"/>
      <c r="Z254" s="41" t="s">
        <v>170</v>
      </c>
      <c r="AA254" s="41" t="s">
        <v>1249</v>
      </c>
      <c r="AB254" s="41" t="s">
        <v>2121</v>
      </c>
      <c r="AC254" s="41" t="s">
        <v>2175</v>
      </c>
    </row>
    <row r="255" spans="6:29" ht="29" hidden="1" x14ac:dyDescent="0.35">
      <c r="F255" s="40" t="s">
        <v>1686</v>
      </c>
      <c r="G255" s="40" t="s">
        <v>603</v>
      </c>
      <c r="H255" s="40" t="s">
        <v>604</v>
      </c>
      <c r="I255" s="41" t="s">
        <v>605</v>
      </c>
      <c r="J255" s="41" t="s">
        <v>119</v>
      </c>
      <c r="K255" s="41" t="s">
        <v>784</v>
      </c>
      <c r="L255" s="41" t="s">
        <v>104</v>
      </c>
      <c r="M255" s="40" t="s">
        <v>656</v>
      </c>
      <c r="P255" s="40" t="s">
        <v>604</v>
      </c>
      <c r="Q255" s="41" t="s">
        <v>607</v>
      </c>
      <c r="R255" s="41" t="s">
        <v>119</v>
      </c>
      <c r="S255" s="41" t="s">
        <v>785</v>
      </c>
      <c r="T255" s="64">
        <v>45920</v>
      </c>
      <c r="V255" s="41" t="s">
        <v>2203</v>
      </c>
      <c r="W255" s="41" t="s">
        <v>2204</v>
      </c>
      <c r="Y255" s="42"/>
      <c r="Z255" s="41" t="s">
        <v>170</v>
      </c>
      <c r="AA255" s="41" t="s">
        <v>1250</v>
      </c>
      <c r="AB255" s="41" t="s">
        <v>2122</v>
      </c>
      <c r="AC255" s="41" t="s">
        <v>2175</v>
      </c>
    </row>
    <row r="256" spans="6:29" ht="29" hidden="1" x14ac:dyDescent="0.35">
      <c r="F256" s="40" t="s">
        <v>1687</v>
      </c>
      <c r="G256" s="40" t="s">
        <v>603</v>
      </c>
      <c r="H256" s="40" t="s">
        <v>604</v>
      </c>
      <c r="I256" s="41" t="s">
        <v>605</v>
      </c>
      <c r="J256" s="41" t="s">
        <v>119</v>
      </c>
      <c r="K256" s="41" t="s">
        <v>787</v>
      </c>
      <c r="L256" s="41" t="s">
        <v>104</v>
      </c>
      <c r="M256" s="40" t="s">
        <v>761</v>
      </c>
      <c r="P256" s="40" t="s">
        <v>604</v>
      </c>
      <c r="Q256" s="41" t="s">
        <v>607</v>
      </c>
      <c r="R256" s="41" t="s">
        <v>119</v>
      </c>
      <c r="S256" s="41" t="s">
        <v>788</v>
      </c>
      <c r="T256" s="64">
        <v>45920</v>
      </c>
      <c r="V256" s="41" t="s">
        <v>2203</v>
      </c>
      <c r="W256" s="41" t="s">
        <v>2204</v>
      </c>
      <c r="Y256" s="42"/>
      <c r="Z256" s="41" t="s">
        <v>170</v>
      </c>
      <c r="AA256" s="41" t="s">
        <v>1251</v>
      </c>
      <c r="AB256" s="41" t="s">
        <v>2123</v>
      </c>
      <c r="AC256" s="41" t="s">
        <v>2175</v>
      </c>
    </row>
    <row r="257" spans="6:29" ht="29" hidden="1" x14ac:dyDescent="0.35">
      <c r="F257" s="40" t="s">
        <v>1688</v>
      </c>
      <c r="G257" s="40" t="s">
        <v>603</v>
      </c>
      <c r="H257" s="40" t="s">
        <v>604</v>
      </c>
      <c r="I257" s="41" t="s">
        <v>605</v>
      </c>
      <c r="J257" s="41" t="s">
        <v>119</v>
      </c>
      <c r="K257" s="41" t="s">
        <v>787</v>
      </c>
      <c r="L257" s="41" t="s">
        <v>104</v>
      </c>
      <c r="M257" s="40" t="s">
        <v>764</v>
      </c>
      <c r="P257" s="40" t="s">
        <v>604</v>
      </c>
      <c r="Q257" s="41" t="s">
        <v>607</v>
      </c>
      <c r="R257" s="41" t="s">
        <v>119</v>
      </c>
      <c r="S257" s="41" t="s">
        <v>788</v>
      </c>
      <c r="T257" s="64">
        <v>45920</v>
      </c>
      <c r="V257" s="41" t="s">
        <v>2203</v>
      </c>
      <c r="W257" s="41" t="s">
        <v>2204</v>
      </c>
      <c r="Y257" s="42"/>
      <c r="Z257" s="41" t="s">
        <v>170</v>
      </c>
      <c r="AA257" s="41" t="s">
        <v>1252</v>
      </c>
      <c r="AB257" s="41" t="s">
        <v>2124</v>
      </c>
      <c r="AC257" s="41" t="s">
        <v>2175</v>
      </c>
    </row>
    <row r="258" spans="6:29" ht="29" hidden="1" x14ac:dyDescent="0.35">
      <c r="F258" s="40" t="s">
        <v>1689</v>
      </c>
      <c r="G258" s="40" t="s">
        <v>603</v>
      </c>
      <c r="H258" s="40" t="s">
        <v>604</v>
      </c>
      <c r="I258" s="41" t="s">
        <v>605</v>
      </c>
      <c r="J258" s="41" t="s">
        <v>119</v>
      </c>
      <c r="K258" s="41" t="s">
        <v>787</v>
      </c>
      <c r="L258" s="41" t="s">
        <v>104</v>
      </c>
      <c r="M258" s="40" t="s">
        <v>616</v>
      </c>
      <c r="P258" s="40" t="s">
        <v>604</v>
      </c>
      <c r="Q258" s="41" t="s">
        <v>607</v>
      </c>
      <c r="R258" s="41" t="s">
        <v>119</v>
      </c>
      <c r="S258" s="41" t="s">
        <v>788</v>
      </c>
      <c r="T258" s="64">
        <v>45920</v>
      </c>
      <c r="V258" s="41" t="s">
        <v>2203</v>
      </c>
      <c r="W258" s="41" t="s">
        <v>2204</v>
      </c>
      <c r="Y258" s="42"/>
      <c r="Z258" s="41" t="s">
        <v>170</v>
      </c>
      <c r="AA258" s="41" t="s">
        <v>1253</v>
      </c>
      <c r="AB258" s="41" t="s">
        <v>2125</v>
      </c>
      <c r="AC258" s="41" t="s">
        <v>2175</v>
      </c>
    </row>
    <row r="259" spans="6:29" ht="29" hidden="1" x14ac:dyDescent="0.35">
      <c r="F259" s="40" t="s">
        <v>1690</v>
      </c>
      <c r="G259" s="40" t="s">
        <v>603</v>
      </c>
      <c r="H259" s="40" t="s">
        <v>604</v>
      </c>
      <c r="I259" s="41" t="s">
        <v>605</v>
      </c>
      <c r="J259" s="41" t="s">
        <v>119</v>
      </c>
      <c r="K259" s="41" t="s">
        <v>787</v>
      </c>
      <c r="L259" s="41" t="s">
        <v>104</v>
      </c>
      <c r="M259" s="40" t="s">
        <v>759</v>
      </c>
      <c r="P259" s="40" t="s">
        <v>604</v>
      </c>
      <c r="Q259" s="41" t="s">
        <v>607</v>
      </c>
      <c r="R259" s="41" t="s">
        <v>119</v>
      </c>
      <c r="S259" s="41" t="s">
        <v>788</v>
      </c>
      <c r="T259" s="64">
        <v>45920</v>
      </c>
      <c r="V259" s="41" t="s">
        <v>2203</v>
      </c>
      <c r="W259" s="41" t="s">
        <v>2204</v>
      </c>
      <c r="Y259" s="42"/>
      <c r="Z259" s="41" t="s">
        <v>170</v>
      </c>
      <c r="AA259" s="41" t="s">
        <v>1254</v>
      </c>
      <c r="AB259" s="41" t="s">
        <v>2126</v>
      </c>
      <c r="AC259" s="41" t="s">
        <v>2175</v>
      </c>
    </row>
    <row r="260" spans="6:29" ht="29" hidden="1" x14ac:dyDescent="0.35">
      <c r="F260" s="40" t="s">
        <v>1691</v>
      </c>
      <c r="G260" s="40" t="s">
        <v>603</v>
      </c>
      <c r="H260" s="40" t="s">
        <v>604</v>
      </c>
      <c r="I260" s="41" t="s">
        <v>605</v>
      </c>
      <c r="J260" s="41" t="s">
        <v>119</v>
      </c>
      <c r="K260" s="41" t="s">
        <v>787</v>
      </c>
      <c r="L260" s="41" t="s">
        <v>104</v>
      </c>
      <c r="M260" s="40" t="s">
        <v>760</v>
      </c>
      <c r="P260" s="40" t="s">
        <v>604</v>
      </c>
      <c r="Q260" s="41" t="s">
        <v>607</v>
      </c>
      <c r="R260" s="41" t="s">
        <v>119</v>
      </c>
      <c r="S260" s="41" t="s">
        <v>788</v>
      </c>
      <c r="T260" s="64">
        <v>45920</v>
      </c>
      <c r="V260" s="41" t="s">
        <v>2203</v>
      </c>
      <c r="W260" s="41" t="s">
        <v>2204</v>
      </c>
      <c r="Y260" s="42"/>
      <c r="Z260" s="41" t="s">
        <v>170</v>
      </c>
      <c r="AA260" s="41" t="s">
        <v>1255</v>
      </c>
      <c r="AB260" s="41" t="s">
        <v>2127</v>
      </c>
      <c r="AC260" s="41" t="s">
        <v>2175</v>
      </c>
    </row>
    <row r="261" spans="6:29" ht="29" hidden="1" x14ac:dyDescent="0.35">
      <c r="F261" s="40" t="s">
        <v>1692</v>
      </c>
      <c r="G261" s="40" t="s">
        <v>603</v>
      </c>
      <c r="H261" s="40" t="s">
        <v>604</v>
      </c>
      <c r="I261" s="41" t="s">
        <v>605</v>
      </c>
      <c r="J261" s="41" t="s">
        <v>119</v>
      </c>
      <c r="K261" s="41" t="s">
        <v>789</v>
      </c>
      <c r="L261" s="41" t="s">
        <v>104</v>
      </c>
      <c r="M261" s="40" t="s">
        <v>753</v>
      </c>
      <c r="P261" s="40" t="s">
        <v>604</v>
      </c>
      <c r="Q261" s="41" t="s">
        <v>607</v>
      </c>
      <c r="R261" s="41" t="s">
        <v>119</v>
      </c>
      <c r="S261" s="41" t="s">
        <v>790</v>
      </c>
      <c r="T261" s="64">
        <v>45920</v>
      </c>
      <c r="V261" s="41" t="s">
        <v>2203</v>
      </c>
      <c r="W261" s="41" t="s">
        <v>2204</v>
      </c>
      <c r="Y261" s="42"/>
      <c r="Z261" s="41" t="s">
        <v>170</v>
      </c>
      <c r="AA261" s="41" t="s">
        <v>1256</v>
      </c>
      <c r="AB261" s="41" t="s">
        <v>2128</v>
      </c>
      <c r="AC261" s="41" t="s">
        <v>2175</v>
      </c>
    </row>
    <row r="262" spans="6:29" ht="29" hidden="1" x14ac:dyDescent="0.35">
      <c r="F262" s="40" t="s">
        <v>1693</v>
      </c>
      <c r="G262" s="40" t="s">
        <v>603</v>
      </c>
      <c r="H262" s="40" t="s">
        <v>604</v>
      </c>
      <c r="I262" s="41" t="s">
        <v>605</v>
      </c>
      <c r="J262" s="41" t="s">
        <v>119</v>
      </c>
      <c r="K262" s="41" t="s">
        <v>789</v>
      </c>
      <c r="L262" s="41" t="s">
        <v>104</v>
      </c>
      <c r="M262" s="40" t="s">
        <v>757</v>
      </c>
      <c r="P262" s="40" t="s">
        <v>604</v>
      </c>
      <c r="Q262" s="41" t="s">
        <v>607</v>
      </c>
      <c r="R262" s="41" t="s">
        <v>119</v>
      </c>
      <c r="S262" s="41" t="s">
        <v>790</v>
      </c>
      <c r="T262" s="64">
        <v>45920</v>
      </c>
      <c r="V262" s="41" t="s">
        <v>2203</v>
      </c>
      <c r="W262" s="41" t="s">
        <v>2204</v>
      </c>
      <c r="Y262" s="42"/>
      <c r="Z262" s="41" t="s">
        <v>170</v>
      </c>
      <c r="AA262" s="41" t="s">
        <v>1257</v>
      </c>
      <c r="AB262" s="41" t="s">
        <v>2129</v>
      </c>
      <c r="AC262" s="41" t="s">
        <v>2175</v>
      </c>
    </row>
    <row r="263" spans="6:29" ht="29" hidden="1" x14ac:dyDescent="0.35">
      <c r="F263" s="40" t="s">
        <v>1694</v>
      </c>
      <c r="G263" s="40" t="s">
        <v>603</v>
      </c>
      <c r="H263" s="40" t="s">
        <v>604</v>
      </c>
      <c r="I263" s="41" t="s">
        <v>605</v>
      </c>
      <c r="J263" s="41" t="s">
        <v>119</v>
      </c>
      <c r="K263" s="41" t="s">
        <v>789</v>
      </c>
      <c r="L263" s="41" t="s">
        <v>104</v>
      </c>
      <c r="M263" s="40" t="s">
        <v>616</v>
      </c>
      <c r="P263" s="40" t="s">
        <v>604</v>
      </c>
      <c r="Q263" s="41" t="s">
        <v>607</v>
      </c>
      <c r="R263" s="41" t="s">
        <v>119</v>
      </c>
      <c r="S263" s="41" t="s">
        <v>790</v>
      </c>
      <c r="T263" s="64">
        <v>45920</v>
      </c>
      <c r="V263" s="41" t="s">
        <v>2203</v>
      </c>
      <c r="W263" s="41" t="s">
        <v>2204</v>
      </c>
      <c r="Y263" s="42"/>
      <c r="Z263" s="41" t="s">
        <v>170</v>
      </c>
      <c r="AA263" s="41" t="s">
        <v>1258</v>
      </c>
      <c r="AB263" s="41" t="s">
        <v>2130</v>
      </c>
      <c r="AC263" s="41" t="s">
        <v>2175</v>
      </c>
    </row>
    <row r="264" spans="6:29" ht="29" hidden="1" x14ac:dyDescent="0.35">
      <c r="F264" s="40" t="s">
        <v>1695</v>
      </c>
      <c r="G264" s="40" t="s">
        <v>603</v>
      </c>
      <c r="H264" s="40" t="s">
        <v>604</v>
      </c>
      <c r="I264" s="41" t="s">
        <v>605</v>
      </c>
      <c r="J264" s="41" t="s">
        <v>119</v>
      </c>
      <c r="K264" s="41" t="s">
        <v>789</v>
      </c>
      <c r="L264" s="41" t="s">
        <v>104</v>
      </c>
      <c r="M264" s="40" t="s">
        <v>759</v>
      </c>
      <c r="P264" s="40" t="s">
        <v>604</v>
      </c>
      <c r="Q264" s="41" t="s">
        <v>607</v>
      </c>
      <c r="R264" s="41" t="s">
        <v>119</v>
      </c>
      <c r="S264" s="41" t="s">
        <v>790</v>
      </c>
      <c r="T264" s="64">
        <v>45920</v>
      </c>
      <c r="V264" s="41" t="s">
        <v>2203</v>
      </c>
      <c r="W264" s="41" t="s">
        <v>2204</v>
      </c>
      <c r="Y264" s="42"/>
      <c r="Z264" s="41" t="s">
        <v>170</v>
      </c>
      <c r="AA264" s="41" t="s">
        <v>1259</v>
      </c>
      <c r="AB264" s="41" t="s">
        <v>2131</v>
      </c>
      <c r="AC264" s="41" t="s">
        <v>2175</v>
      </c>
    </row>
    <row r="265" spans="6:29" ht="29" hidden="1" x14ac:dyDescent="0.35">
      <c r="F265" s="40" t="s">
        <v>1696</v>
      </c>
      <c r="G265" s="40" t="s">
        <v>603</v>
      </c>
      <c r="H265" s="40" t="s">
        <v>604</v>
      </c>
      <c r="I265" s="41" t="s">
        <v>607</v>
      </c>
      <c r="J265" s="41" t="s">
        <v>121</v>
      </c>
      <c r="K265" s="41" t="s">
        <v>721</v>
      </c>
      <c r="L265" s="41" t="s">
        <v>104</v>
      </c>
      <c r="M265" s="40" t="s">
        <v>690</v>
      </c>
      <c r="P265" s="40" t="s">
        <v>604</v>
      </c>
      <c r="Q265" s="41" t="s">
        <v>607</v>
      </c>
      <c r="R265" s="41" t="s">
        <v>121</v>
      </c>
      <c r="S265" s="41" t="s">
        <v>721</v>
      </c>
      <c r="T265" s="64">
        <v>45920</v>
      </c>
      <c r="V265" s="41" t="s">
        <v>2203</v>
      </c>
      <c r="W265" s="41" t="s">
        <v>2204</v>
      </c>
      <c r="Y265" s="42"/>
      <c r="Z265" s="41" t="s">
        <v>170</v>
      </c>
      <c r="AA265" s="41" t="s">
        <v>1260</v>
      </c>
      <c r="AB265" s="41" t="s">
        <v>2132</v>
      </c>
      <c r="AC265" s="41" t="s">
        <v>2175</v>
      </c>
    </row>
    <row r="266" spans="6:29" ht="29" hidden="1" x14ac:dyDescent="0.35">
      <c r="F266" s="40" t="s">
        <v>1697</v>
      </c>
      <c r="G266" s="40" t="s">
        <v>603</v>
      </c>
      <c r="H266" s="40" t="s">
        <v>604</v>
      </c>
      <c r="I266" s="41" t="s">
        <v>605</v>
      </c>
      <c r="J266" s="41" t="s">
        <v>119</v>
      </c>
      <c r="K266" s="41" t="s">
        <v>791</v>
      </c>
      <c r="L266" s="41" t="s">
        <v>104</v>
      </c>
      <c r="M266" s="40" t="s">
        <v>761</v>
      </c>
      <c r="P266" s="40" t="s">
        <v>604</v>
      </c>
      <c r="Q266" s="41" t="s">
        <v>607</v>
      </c>
      <c r="R266" s="41" t="s">
        <v>119</v>
      </c>
      <c r="S266" s="41" t="s">
        <v>792</v>
      </c>
      <c r="T266" s="64">
        <v>45920</v>
      </c>
      <c r="V266" s="41" t="s">
        <v>2203</v>
      </c>
      <c r="W266" s="41" t="s">
        <v>2204</v>
      </c>
      <c r="Y266" s="42"/>
      <c r="Z266" s="41" t="s">
        <v>170</v>
      </c>
      <c r="AA266" s="41" t="s">
        <v>1261</v>
      </c>
      <c r="AB266" s="41" t="s">
        <v>2133</v>
      </c>
      <c r="AC266" s="41" t="s">
        <v>2175</v>
      </c>
    </row>
    <row r="267" spans="6:29" ht="29" hidden="1" x14ac:dyDescent="0.35">
      <c r="F267" s="40" t="s">
        <v>1698</v>
      </c>
      <c r="G267" s="40" t="s">
        <v>603</v>
      </c>
      <c r="H267" s="40" t="s">
        <v>604</v>
      </c>
      <c r="I267" s="41" t="s">
        <v>605</v>
      </c>
      <c r="J267" s="41" t="s">
        <v>119</v>
      </c>
      <c r="K267" s="41" t="s">
        <v>791</v>
      </c>
      <c r="L267" s="41" t="s">
        <v>104</v>
      </c>
      <c r="M267" s="40" t="s">
        <v>764</v>
      </c>
      <c r="P267" s="40" t="s">
        <v>604</v>
      </c>
      <c r="Q267" s="41" t="s">
        <v>607</v>
      </c>
      <c r="R267" s="41" t="s">
        <v>119</v>
      </c>
      <c r="S267" s="41" t="s">
        <v>792</v>
      </c>
      <c r="T267" s="64">
        <v>45920</v>
      </c>
      <c r="V267" s="41" t="s">
        <v>2203</v>
      </c>
      <c r="W267" s="41" t="s">
        <v>2204</v>
      </c>
      <c r="Y267" s="42"/>
      <c r="Z267" s="41" t="s">
        <v>170</v>
      </c>
      <c r="AA267" s="41" t="s">
        <v>1262</v>
      </c>
      <c r="AB267" s="41" t="s">
        <v>2134</v>
      </c>
      <c r="AC267" s="41" t="s">
        <v>2175</v>
      </c>
    </row>
    <row r="268" spans="6:29" ht="29" hidden="1" x14ac:dyDescent="0.35">
      <c r="F268" s="40" t="s">
        <v>1699</v>
      </c>
      <c r="G268" s="40" t="s">
        <v>603</v>
      </c>
      <c r="H268" s="40" t="s">
        <v>604</v>
      </c>
      <c r="I268" s="41" t="s">
        <v>605</v>
      </c>
      <c r="J268" s="41" t="s">
        <v>119</v>
      </c>
      <c r="K268" s="41" t="s">
        <v>791</v>
      </c>
      <c r="L268" s="41" t="s">
        <v>104</v>
      </c>
      <c r="M268" s="40" t="s">
        <v>616</v>
      </c>
      <c r="P268" s="40" t="s">
        <v>604</v>
      </c>
      <c r="Q268" s="41" t="s">
        <v>607</v>
      </c>
      <c r="R268" s="41" t="s">
        <v>119</v>
      </c>
      <c r="S268" s="41" t="s">
        <v>792</v>
      </c>
      <c r="T268" s="64">
        <v>45920</v>
      </c>
      <c r="V268" s="41" t="s">
        <v>2203</v>
      </c>
      <c r="W268" s="41" t="s">
        <v>2204</v>
      </c>
      <c r="Y268" s="42"/>
      <c r="Z268" s="41" t="s">
        <v>170</v>
      </c>
      <c r="AA268" s="41" t="s">
        <v>1263</v>
      </c>
      <c r="AB268" s="41" t="s">
        <v>2135</v>
      </c>
      <c r="AC268" s="41" t="s">
        <v>2175</v>
      </c>
    </row>
    <row r="269" spans="6:29" ht="29" hidden="1" x14ac:dyDescent="0.35">
      <c r="F269" s="40" t="s">
        <v>1700</v>
      </c>
      <c r="G269" s="40" t="s">
        <v>603</v>
      </c>
      <c r="H269" s="40" t="s">
        <v>604</v>
      </c>
      <c r="I269" s="41" t="s">
        <v>605</v>
      </c>
      <c r="J269" s="41" t="s">
        <v>119</v>
      </c>
      <c r="K269" s="41" t="s">
        <v>791</v>
      </c>
      <c r="L269" s="41" t="s">
        <v>104</v>
      </c>
      <c r="M269" s="40" t="s">
        <v>759</v>
      </c>
      <c r="P269" s="40" t="s">
        <v>604</v>
      </c>
      <c r="Q269" s="41" t="s">
        <v>607</v>
      </c>
      <c r="R269" s="41" t="s">
        <v>119</v>
      </c>
      <c r="S269" s="41" t="s">
        <v>792</v>
      </c>
      <c r="T269" s="64">
        <v>45920</v>
      </c>
      <c r="V269" s="41" t="s">
        <v>2203</v>
      </c>
      <c r="W269" s="41" t="s">
        <v>2204</v>
      </c>
      <c r="Y269" s="42"/>
      <c r="Z269" s="41" t="s">
        <v>170</v>
      </c>
      <c r="AA269" s="41" t="s">
        <v>1264</v>
      </c>
      <c r="AB269" s="41" t="s">
        <v>2136</v>
      </c>
      <c r="AC269" s="41" t="s">
        <v>2175</v>
      </c>
    </row>
    <row r="270" spans="6:29" ht="29" hidden="1" x14ac:dyDescent="0.35">
      <c r="F270" s="40" t="s">
        <v>1701</v>
      </c>
      <c r="G270" s="40" t="s">
        <v>603</v>
      </c>
      <c r="H270" s="40" t="s">
        <v>604</v>
      </c>
      <c r="I270" s="41" t="s">
        <v>605</v>
      </c>
      <c r="J270" s="41" t="s">
        <v>119</v>
      </c>
      <c r="K270" s="41" t="s">
        <v>791</v>
      </c>
      <c r="L270" s="41" t="s">
        <v>104</v>
      </c>
      <c r="M270" s="40" t="s">
        <v>760</v>
      </c>
      <c r="P270" s="40" t="s">
        <v>604</v>
      </c>
      <c r="Q270" s="41" t="s">
        <v>607</v>
      </c>
      <c r="R270" s="41" t="s">
        <v>119</v>
      </c>
      <c r="S270" s="41" t="s">
        <v>792</v>
      </c>
      <c r="T270" s="64">
        <v>45920</v>
      </c>
      <c r="V270" s="41" t="s">
        <v>2203</v>
      </c>
      <c r="W270" s="41" t="s">
        <v>2204</v>
      </c>
      <c r="Y270" s="42"/>
      <c r="Z270" s="41" t="s">
        <v>170</v>
      </c>
      <c r="AA270" s="41" t="s">
        <v>1265</v>
      </c>
      <c r="AB270" s="41" t="s">
        <v>2137</v>
      </c>
      <c r="AC270" s="41" t="s">
        <v>2175</v>
      </c>
    </row>
    <row r="271" spans="6:29" ht="29" hidden="1" x14ac:dyDescent="0.35">
      <c r="F271" s="40" t="s">
        <v>1702</v>
      </c>
      <c r="G271" s="40" t="s">
        <v>603</v>
      </c>
      <c r="H271" s="40" t="s">
        <v>604</v>
      </c>
      <c r="I271" s="41" t="s">
        <v>607</v>
      </c>
      <c r="J271" s="41" t="s">
        <v>121</v>
      </c>
      <c r="K271" s="41" t="s">
        <v>721</v>
      </c>
      <c r="L271" s="41" t="s">
        <v>104</v>
      </c>
      <c r="M271" s="40" t="s">
        <v>690</v>
      </c>
      <c r="P271" s="40" t="s">
        <v>604</v>
      </c>
      <c r="Q271" s="41" t="s">
        <v>607</v>
      </c>
      <c r="R271" s="41" t="s">
        <v>121</v>
      </c>
      <c r="S271" s="41" t="s">
        <v>721</v>
      </c>
      <c r="T271" s="64">
        <v>45920</v>
      </c>
      <c r="V271" s="41" t="s">
        <v>2203</v>
      </c>
      <c r="W271" s="41" t="s">
        <v>2204</v>
      </c>
      <c r="Y271" s="42"/>
      <c r="Z271" s="41" t="s">
        <v>170</v>
      </c>
      <c r="AA271" s="41" t="s">
        <v>1266</v>
      </c>
      <c r="AB271" s="41" t="s">
        <v>2138</v>
      </c>
      <c r="AC271" s="41" t="s">
        <v>2175</v>
      </c>
    </row>
    <row r="272" spans="6:29" ht="29" hidden="1" x14ac:dyDescent="0.35">
      <c r="F272" s="40" t="s">
        <v>1703</v>
      </c>
      <c r="G272" s="40" t="s">
        <v>603</v>
      </c>
      <c r="H272" s="40" t="s">
        <v>604</v>
      </c>
      <c r="I272" s="41" t="s">
        <v>605</v>
      </c>
      <c r="J272" s="41" t="s">
        <v>119</v>
      </c>
      <c r="K272" s="41" t="s">
        <v>791</v>
      </c>
      <c r="L272" s="41" t="s">
        <v>104</v>
      </c>
      <c r="M272" s="40" t="s">
        <v>678</v>
      </c>
      <c r="P272" s="40" t="s">
        <v>604</v>
      </c>
      <c r="Q272" s="41" t="s">
        <v>607</v>
      </c>
      <c r="R272" s="41" t="s">
        <v>119</v>
      </c>
      <c r="S272" s="41" t="s">
        <v>792</v>
      </c>
      <c r="T272" s="64">
        <v>45920</v>
      </c>
      <c r="V272" s="41" t="s">
        <v>2203</v>
      </c>
      <c r="W272" s="41" t="s">
        <v>2204</v>
      </c>
      <c r="Y272" s="42"/>
      <c r="Z272" s="41" t="s">
        <v>170</v>
      </c>
      <c r="AA272" s="41" t="s">
        <v>1267</v>
      </c>
      <c r="AB272" s="41" t="s">
        <v>2139</v>
      </c>
      <c r="AC272" s="41" t="s">
        <v>2175</v>
      </c>
    </row>
    <row r="273" spans="6:29" ht="29" hidden="1" x14ac:dyDescent="0.35">
      <c r="F273" s="40" t="s">
        <v>1704</v>
      </c>
      <c r="G273" s="40" t="s">
        <v>603</v>
      </c>
      <c r="H273" s="40" t="s">
        <v>604</v>
      </c>
      <c r="I273" s="41" t="s">
        <v>605</v>
      </c>
      <c r="J273" s="41" t="s">
        <v>119</v>
      </c>
      <c r="K273" s="41" t="s">
        <v>793</v>
      </c>
      <c r="L273" s="41" t="s">
        <v>104</v>
      </c>
      <c r="M273" s="40" t="s">
        <v>753</v>
      </c>
      <c r="P273" s="40" t="s">
        <v>604</v>
      </c>
      <c r="Q273" s="41" t="s">
        <v>607</v>
      </c>
      <c r="R273" s="41" t="s">
        <v>119</v>
      </c>
      <c r="S273" s="41" t="s">
        <v>794</v>
      </c>
      <c r="T273" s="64">
        <v>45920</v>
      </c>
      <c r="V273" s="41" t="s">
        <v>2203</v>
      </c>
      <c r="W273" s="41" t="s">
        <v>2204</v>
      </c>
      <c r="Y273" s="42"/>
      <c r="Z273" s="41" t="s">
        <v>170</v>
      </c>
      <c r="AA273" s="41" t="s">
        <v>1268</v>
      </c>
      <c r="AB273" s="41" t="s">
        <v>2140</v>
      </c>
      <c r="AC273" s="41" t="s">
        <v>2175</v>
      </c>
    </row>
    <row r="274" spans="6:29" ht="29" hidden="1" x14ac:dyDescent="0.35">
      <c r="F274" s="40" t="s">
        <v>1705</v>
      </c>
      <c r="G274" s="40" t="s">
        <v>603</v>
      </c>
      <c r="H274" s="40" t="s">
        <v>604</v>
      </c>
      <c r="I274" s="41" t="s">
        <v>605</v>
      </c>
      <c r="J274" s="41" t="s">
        <v>119</v>
      </c>
      <c r="K274" s="41" t="s">
        <v>793</v>
      </c>
      <c r="L274" s="41" t="s">
        <v>104</v>
      </c>
      <c r="M274" s="40" t="s">
        <v>757</v>
      </c>
      <c r="P274" s="40" t="s">
        <v>604</v>
      </c>
      <c r="Q274" s="41" t="s">
        <v>607</v>
      </c>
      <c r="R274" s="41" t="s">
        <v>119</v>
      </c>
      <c r="S274" s="41" t="s">
        <v>794</v>
      </c>
      <c r="T274" s="64">
        <v>45920</v>
      </c>
      <c r="V274" s="41" t="s">
        <v>2203</v>
      </c>
      <c r="W274" s="41" t="s">
        <v>2204</v>
      </c>
      <c r="Y274" s="42"/>
      <c r="Z274" s="41" t="s">
        <v>170</v>
      </c>
      <c r="AA274" s="41" t="s">
        <v>1269</v>
      </c>
      <c r="AB274" s="41" t="s">
        <v>2141</v>
      </c>
      <c r="AC274" s="41" t="s">
        <v>2175</v>
      </c>
    </row>
    <row r="275" spans="6:29" ht="29" hidden="1" x14ac:dyDescent="0.35">
      <c r="F275" s="40" t="s">
        <v>1706</v>
      </c>
      <c r="G275" s="40" t="s">
        <v>603</v>
      </c>
      <c r="H275" s="40" t="s">
        <v>604</v>
      </c>
      <c r="I275" s="41" t="s">
        <v>605</v>
      </c>
      <c r="J275" s="41" t="s">
        <v>119</v>
      </c>
      <c r="K275" s="41" t="s">
        <v>793</v>
      </c>
      <c r="L275" s="41" t="s">
        <v>104</v>
      </c>
      <c r="M275" s="40" t="s">
        <v>616</v>
      </c>
      <c r="P275" s="40" t="s">
        <v>604</v>
      </c>
      <c r="Q275" s="41" t="s">
        <v>607</v>
      </c>
      <c r="R275" s="41" t="s">
        <v>119</v>
      </c>
      <c r="S275" s="41" t="s">
        <v>794</v>
      </c>
      <c r="T275" s="64">
        <v>45920</v>
      </c>
      <c r="V275" s="41" t="s">
        <v>2203</v>
      </c>
      <c r="W275" s="41" t="s">
        <v>2204</v>
      </c>
      <c r="Y275" s="42"/>
      <c r="Z275" s="41" t="s">
        <v>170</v>
      </c>
      <c r="AA275" s="41" t="s">
        <v>1270</v>
      </c>
      <c r="AB275" s="41" t="s">
        <v>2142</v>
      </c>
      <c r="AC275" s="41" t="s">
        <v>2175</v>
      </c>
    </row>
    <row r="276" spans="6:29" ht="29" hidden="1" x14ac:dyDescent="0.35">
      <c r="F276" s="40" t="s">
        <v>1707</v>
      </c>
      <c r="G276" s="40" t="s">
        <v>603</v>
      </c>
      <c r="H276" s="40" t="s">
        <v>604</v>
      </c>
      <c r="I276" s="41" t="s">
        <v>605</v>
      </c>
      <c r="J276" s="41" t="s">
        <v>119</v>
      </c>
      <c r="K276" s="41" t="s">
        <v>793</v>
      </c>
      <c r="L276" s="41" t="s">
        <v>104</v>
      </c>
      <c r="M276" s="40" t="s">
        <v>759</v>
      </c>
      <c r="P276" s="40" t="s">
        <v>604</v>
      </c>
      <c r="Q276" s="41" t="s">
        <v>607</v>
      </c>
      <c r="R276" s="41" t="s">
        <v>119</v>
      </c>
      <c r="S276" s="41" t="s">
        <v>794</v>
      </c>
      <c r="T276" s="64">
        <v>45920</v>
      </c>
      <c r="V276" s="41" t="s">
        <v>2203</v>
      </c>
      <c r="W276" s="41" t="s">
        <v>2204</v>
      </c>
      <c r="Y276" s="42"/>
      <c r="Z276" s="41" t="s">
        <v>170</v>
      </c>
      <c r="AA276" s="41" t="s">
        <v>1271</v>
      </c>
      <c r="AB276" s="41" t="s">
        <v>2143</v>
      </c>
      <c r="AC276" s="41" t="s">
        <v>2175</v>
      </c>
    </row>
    <row r="277" spans="6:29" ht="29" hidden="1" x14ac:dyDescent="0.35">
      <c r="F277" s="40" t="s">
        <v>1708</v>
      </c>
      <c r="G277" s="40" t="s">
        <v>603</v>
      </c>
      <c r="H277" s="40" t="s">
        <v>604</v>
      </c>
      <c r="I277" s="41" t="s">
        <v>605</v>
      </c>
      <c r="J277" s="41" t="s">
        <v>119</v>
      </c>
      <c r="K277" s="41" t="s">
        <v>793</v>
      </c>
      <c r="L277" s="41" t="s">
        <v>104</v>
      </c>
      <c r="M277" s="40" t="s">
        <v>654</v>
      </c>
      <c r="P277" s="40" t="s">
        <v>604</v>
      </c>
      <c r="Q277" s="41" t="s">
        <v>607</v>
      </c>
      <c r="R277" s="41" t="s">
        <v>119</v>
      </c>
      <c r="S277" s="41" t="s">
        <v>794</v>
      </c>
      <c r="T277" s="64">
        <v>45920</v>
      </c>
      <c r="V277" s="41" t="s">
        <v>2203</v>
      </c>
      <c r="W277" s="41" t="s">
        <v>2204</v>
      </c>
      <c r="Y277" s="42"/>
      <c r="Z277" s="41" t="s">
        <v>170</v>
      </c>
      <c r="AA277" s="41" t="s">
        <v>1272</v>
      </c>
      <c r="AB277" s="41" t="s">
        <v>2144</v>
      </c>
      <c r="AC277" s="41" t="s">
        <v>2175</v>
      </c>
    </row>
    <row r="278" spans="6:29" ht="29" hidden="1" x14ac:dyDescent="0.35">
      <c r="F278" s="40" t="s">
        <v>1709</v>
      </c>
      <c r="G278" s="40" t="s">
        <v>603</v>
      </c>
      <c r="H278" s="40" t="s">
        <v>604</v>
      </c>
      <c r="I278" s="41" t="s">
        <v>605</v>
      </c>
      <c r="J278" s="41" t="s">
        <v>119</v>
      </c>
      <c r="K278" s="41" t="s">
        <v>793</v>
      </c>
      <c r="L278" s="41" t="s">
        <v>104</v>
      </c>
      <c r="M278" s="40" t="s">
        <v>732</v>
      </c>
      <c r="P278" s="40" t="s">
        <v>604</v>
      </c>
      <c r="Q278" s="41" t="s">
        <v>607</v>
      </c>
      <c r="R278" s="41" t="s">
        <v>119</v>
      </c>
      <c r="S278" s="41" t="s">
        <v>794</v>
      </c>
      <c r="T278" s="64">
        <v>45920</v>
      </c>
      <c r="V278" s="41" t="s">
        <v>2203</v>
      </c>
      <c r="W278" s="41" t="s">
        <v>2204</v>
      </c>
      <c r="Y278" s="42"/>
      <c r="Z278" s="41" t="s">
        <v>170</v>
      </c>
      <c r="AA278" s="41" t="s">
        <v>1273</v>
      </c>
      <c r="AB278" s="41" t="s">
        <v>2145</v>
      </c>
      <c r="AC278" s="41" t="s">
        <v>2175</v>
      </c>
    </row>
    <row r="279" spans="6:29" ht="29" hidden="1" x14ac:dyDescent="0.35">
      <c r="F279" s="40" t="s">
        <v>1710</v>
      </c>
      <c r="G279" s="40" t="s">
        <v>603</v>
      </c>
      <c r="H279" s="40" t="s">
        <v>604</v>
      </c>
      <c r="I279" s="41" t="s">
        <v>605</v>
      </c>
      <c r="J279" s="41" t="s">
        <v>119</v>
      </c>
      <c r="K279" s="41" t="s">
        <v>793</v>
      </c>
      <c r="L279" s="41" t="s">
        <v>104</v>
      </c>
      <c r="M279" s="40" t="s">
        <v>795</v>
      </c>
      <c r="P279" s="40" t="s">
        <v>604</v>
      </c>
      <c r="Q279" s="41" t="s">
        <v>607</v>
      </c>
      <c r="R279" s="41" t="s">
        <v>119</v>
      </c>
      <c r="S279" s="41" t="s">
        <v>794</v>
      </c>
      <c r="T279" s="64">
        <v>45920</v>
      </c>
      <c r="V279" s="41" t="s">
        <v>2203</v>
      </c>
      <c r="W279" s="41" t="s">
        <v>2204</v>
      </c>
      <c r="Y279" s="42"/>
      <c r="Z279" s="41" t="s">
        <v>170</v>
      </c>
      <c r="AA279" s="41" t="s">
        <v>1274</v>
      </c>
      <c r="AB279" s="41" t="s">
        <v>2146</v>
      </c>
      <c r="AC279" s="41" t="s">
        <v>2175</v>
      </c>
    </row>
    <row r="280" spans="6:29" ht="29" hidden="1" x14ac:dyDescent="0.35">
      <c r="F280" s="40" t="s">
        <v>1711</v>
      </c>
      <c r="G280" s="40" t="s">
        <v>603</v>
      </c>
      <c r="H280" s="40" t="s">
        <v>604</v>
      </c>
      <c r="I280" s="41" t="s">
        <v>605</v>
      </c>
      <c r="J280" s="41" t="s">
        <v>119</v>
      </c>
      <c r="K280" s="41" t="s">
        <v>793</v>
      </c>
      <c r="L280" s="41" t="s">
        <v>104</v>
      </c>
      <c r="M280" s="40" t="s">
        <v>678</v>
      </c>
      <c r="P280" s="40" t="s">
        <v>604</v>
      </c>
      <c r="Q280" s="41" t="s">
        <v>607</v>
      </c>
      <c r="R280" s="41" t="s">
        <v>119</v>
      </c>
      <c r="S280" s="41" t="s">
        <v>794</v>
      </c>
      <c r="T280" s="64">
        <v>45920</v>
      </c>
      <c r="V280" s="41" t="s">
        <v>2203</v>
      </c>
      <c r="W280" s="41" t="s">
        <v>2204</v>
      </c>
      <c r="Y280" s="42"/>
      <c r="Z280" s="41" t="s">
        <v>170</v>
      </c>
      <c r="AA280" s="41" t="s">
        <v>1275</v>
      </c>
      <c r="AB280" s="41" t="s">
        <v>2147</v>
      </c>
      <c r="AC280" s="41" t="s">
        <v>2175</v>
      </c>
    </row>
    <row r="281" spans="6:29" ht="29" hidden="1" x14ac:dyDescent="0.35">
      <c r="F281" s="40" t="s">
        <v>1712</v>
      </c>
      <c r="G281" s="40" t="s">
        <v>603</v>
      </c>
      <c r="H281" s="40" t="s">
        <v>604</v>
      </c>
      <c r="I281" s="41" t="s">
        <v>607</v>
      </c>
      <c r="J281" s="41" t="s">
        <v>121</v>
      </c>
      <c r="K281" s="41" t="s">
        <v>721</v>
      </c>
      <c r="L281" s="41" t="s">
        <v>104</v>
      </c>
      <c r="M281" s="40" t="s">
        <v>690</v>
      </c>
      <c r="P281" s="40" t="s">
        <v>604</v>
      </c>
      <c r="Q281" s="41" t="s">
        <v>607</v>
      </c>
      <c r="R281" s="41" t="s">
        <v>121</v>
      </c>
      <c r="S281" s="41" t="s">
        <v>721</v>
      </c>
      <c r="T281" s="64">
        <v>45920</v>
      </c>
      <c r="V281" s="41" t="s">
        <v>2203</v>
      </c>
      <c r="W281" s="41" t="s">
        <v>2204</v>
      </c>
      <c r="Y281" s="42"/>
      <c r="Z281" s="41" t="s">
        <v>170</v>
      </c>
      <c r="AA281" s="41" t="s">
        <v>1276</v>
      </c>
      <c r="AB281" s="41" t="s">
        <v>2148</v>
      </c>
      <c r="AC281" s="41" t="s">
        <v>2175</v>
      </c>
    </row>
    <row r="282" spans="6:29" ht="29" hidden="1" x14ac:dyDescent="0.35">
      <c r="F282" s="40" t="s">
        <v>1713</v>
      </c>
      <c r="G282" s="40" t="s">
        <v>603</v>
      </c>
      <c r="H282" s="40" t="s">
        <v>604</v>
      </c>
      <c r="I282" s="41" t="s">
        <v>605</v>
      </c>
      <c r="J282" s="41" t="s">
        <v>119</v>
      </c>
      <c r="K282" s="41" t="s">
        <v>793</v>
      </c>
      <c r="L282" s="41" t="s">
        <v>104</v>
      </c>
      <c r="M282" s="40" t="s">
        <v>761</v>
      </c>
      <c r="P282" s="40" t="s">
        <v>604</v>
      </c>
      <c r="Q282" s="41" t="s">
        <v>607</v>
      </c>
      <c r="R282" s="41" t="s">
        <v>119</v>
      </c>
      <c r="S282" s="41" t="s">
        <v>794</v>
      </c>
      <c r="T282" s="64">
        <v>45920</v>
      </c>
      <c r="V282" s="41" t="s">
        <v>2203</v>
      </c>
      <c r="W282" s="41" t="s">
        <v>2204</v>
      </c>
      <c r="Y282" s="42"/>
      <c r="Z282" s="41" t="s">
        <v>170</v>
      </c>
      <c r="AA282" s="41" t="s">
        <v>1277</v>
      </c>
      <c r="AB282" s="41" t="s">
        <v>2149</v>
      </c>
      <c r="AC282" s="41" t="s">
        <v>2175</v>
      </c>
    </row>
    <row r="283" spans="6:29" hidden="1" x14ac:dyDescent="0.35">
      <c r="F283" s="40" t="s">
        <v>1714</v>
      </c>
      <c r="G283" s="40" t="s">
        <v>603</v>
      </c>
      <c r="H283" s="40" t="s">
        <v>604</v>
      </c>
      <c r="I283" s="41" t="s">
        <v>605</v>
      </c>
      <c r="J283" s="41" t="s">
        <v>119</v>
      </c>
      <c r="K283" s="41" t="s">
        <v>796</v>
      </c>
      <c r="L283" s="41" t="s">
        <v>104</v>
      </c>
      <c r="M283" s="40" t="s">
        <v>764</v>
      </c>
      <c r="P283" s="40" t="s">
        <v>604</v>
      </c>
      <c r="Q283" s="41" t="s">
        <v>607</v>
      </c>
      <c r="R283" s="41" t="s">
        <v>119</v>
      </c>
      <c r="T283" s="64">
        <v>45920</v>
      </c>
      <c r="V283" s="41" t="s">
        <v>2203</v>
      </c>
      <c r="W283" s="41" t="s">
        <v>2204</v>
      </c>
      <c r="Y283" s="42"/>
      <c r="Z283" s="41" t="s">
        <v>170</v>
      </c>
      <c r="AA283" s="41" t="s">
        <v>1278</v>
      </c>
      <c r="AB283" s="41" t="s">
        <v>2150</v>
      </c>
      <c r="AC283" s="41" t="s">
        <v>2175</v>
      </c>
    </row>
    <row r="284" spans="6:29" hidden="1" x14ac:dyDescent="0.35">
      <c r="F284" s="40" t="s">
        <v>1715</v>
      </c>
      <c r="G284" s="40" t="s">
        <v>603</v>
      </c>
      <c r="H284" s="40" t="s">
        <v>604</v>
      </c>
      <c r="I284" s="41" t="s">
        <v>605</v>
      </c>
      <c r="J284" s="41" t="s">
        <v>119</v>
      </c>
      <c r="K284" s="41" t="s">
        <v>796</v>
      </c>
      <c r="L284" s="41" t="s">
        <v>104</v>
      </c>
      <c r="M284" s="40" t="s">
        <v>616</v>
      </c>
      <c r="P284" s="40" t="s">
        <v>604</v>
      </c>
      <c r="Q284" s="41" t="s">
        <v>607</v>
      </c>
      <c r="R284" s="41" t="s">
        <v>119</v>
      </c>
      <c r="T284" s="64">
        <v>45920</v>
      </c>
      <c r="V284" s="41" t="s">
        <v>2203</v>
      </c>
      <c r="W284" s="41" t="s">
        <v>2204</v>
      </c>
      <c r="Y284" s="42"/>
      <c r="Z284" s="41" t="s">
        <v>170</v>
      </c>
      <c r="AA284" s="41" t="s">
        <v>1279</v>
      </c>
      <c r="AB284" s="41" t="s">
        <v>2151</v>
      </c>
      <c r="AC284" s="41" t="s">
        <v>2175</v>
      </c>
    </row>
    <row r="285" spans="6:29" hidden="1" x14ac:dyDescent="0.35">
      <c r="F285" s="40" t="s">
        <v>1716</v>
      </c>
      <c r="G285" s="40" t="s">
        <v>603</v>
      </c>
      <c r="H285" s="40" t="s">
        <v>604</v>
      </c>
      <c r="I285" s="41" t="s">
        <v>605</v>
      </c>
      <c r="J285" s="41" t="s">
        <v>119</v>
      </c>
      <c r="K285" s="41" t="s">
        <v>796</v>
      </c>
      <c r="L285" s="41" t="s">
        <v>104</v>
      </c>
      <c r="M285" s="40" t="s">
        <v>759</v>
      </c>
      <c r="P285" s="40" t="s">
        <v>604</v>
      </c>
      <c r="Q285" s="41" t="s">
        <v>607</v>
      </c>
      <c r="R285" s="41" t="s">
        <v>119</v>
      </c>
      <c r="T285" s="64">
        <v>45920</v>
      </c>
      <c r="V285" s="41" t="s">
        <v>2203</v>
      </c>
      <c r="W285" s="41" t="s">
        <v>2204</v>
      </c>
      <c r="Y285" s="42"/>
      <c r="Z285" s="41" t="s">
        <v>170</v>
      </c>
      <c r="AA285" s="41" t="s">
        <v>1280</v>
      </c>
      <c r="AB285" s="41" t="s">
        <v>2152</v>
      </c>
      <c r="AC285" s="41" t="s">
        <v>2175</v>
      </c>
    </row>
    <row r="286" spans="6:29" hidden="1" x14ac:dyDescent="0.35">
      <c r="F286" s="40" t="s">
        <v>1717</v>
      </c>
      <c r="G286" s="40" t="s">
        <v>603</v>
      </c>
      <c r="H286" s="40" t="s">
        <v>604</v>
      </c>
      <c r="I286" s="41" t="s">
        <v>605</v>
      </c>
      <c r="J286" s="41" t="s">
        <v>119</v>
      </c>
      <c r="K286" s="41" t="s">
        <v>796</v>
      </c>
      <c r="L286" s="41" t="s">
        <v>104</v>
      </c>
      <c r="M286" s="40" t="s">
        <v>760</v>
      </c>
      <c r="P286" s="40" t="s">
        <v>604</v>
      </c>
      <c r="Q286" s="41" t="s">
        <v>607</v>
      </c>
      <c r="R286" s="41" t="s">
        <v>119</v>
      </c>
      <c r="T286" s="64">
        <v>45920</v>
      </c>
      <c r="V286" s="41" t="s">
        <v>2203</v>
      </c>
      <c r="W286" s="41" t="s">
        <v>2204</v>
      </c>
      <c r="Y286" s="42"/>
      <c r="Z286" s="41" t="s">
        <v>170</v>
      </c>
      <c r="AA286" s="41" t="s">
        <v>1281</v>
      </c>
      <c r="AB286" s="41" t="s">
        <v>2153</v>
      </c>
      <c r="AC286" s="41" t="s">
        <v>2175</v>
      </c>
    </row>
    <row r="287" spans="6:29" hidden="1" x14ac:dyDescent="0.35">
      <c r="F287" s="40" t="s">
        <v>1718</v>
      </c>
      <c r="G287" s="40" t="s">
        <v>603</v>
      </c>
      <c r="H287" s="40" t="s">
        <v>604</v>
      </c>
      <c r="I287" s="41" t="s">
        <v>605</v>
      </c>
      <c r="J287" s="41" t="s">
        <v>119</v>
      </c>
      <c r="K287" s="41" t="s">
        <v>796</v>
      </c>
      <c r="L287" s="41" t="s">
        <v>104</v>
      </c>
      <c r="M287" s="40" t="s">
        <v>656</v>
      </c>
      <c r="P287" s="40" t="s">
        <v>604</v>
      </c>
      <c r="Q287" s="41" t="s">
        <v>607</v>
      </c>
      <c r="R287" s="41" t="s">
        <v>119</v>
      </c>
      <c r="T287" s="64">
        <v>45920</v>
      </c>
      <c r="V287" s="41" t="s">
        <v>2203</v>
      </c>
      <c r="W287" s="41" t="s">
        <v>2204</v>
      </c>
      <c r="Y287" s="42"/>
      <c r="Z287" s="41" t="s">
        <v>170</v>
      </c>
      <c r="AA287" s="41" t="s">
        <v>1282</v>
      </c>
      <c r="AB287" s="41" t="s">
        <v>2154</v>
      </c>
      <c r="AC287" s="41" t="s">
        <v>2175</v>
      </c>
    </row>
    <row r="288" spans="6:29" ht="29" hidden="1" x14ac:dyDescent="0.35">
      <c r="F288" s="40" t="s">
        <v>1719</v>
      </c>
      <c r="G288" s="40" t="s">
        <v>603</v>
      </c>
      <c r="H288" s="40" t="s">
        <v>604</v>
      </c>
      <c r="I288" s="41" t="s">
        <v>605</v>
      </c>
      <c r="J288" s="41" t="s">
        <v>119</v>
      </c>
      <c r="K288" s="41" t="s">
        <v>796</v>
      </c>
      <c r="L288" s="41" t="s">
        <v>104</v>
      </c>
      <c r="M288" s="40" t="s">
        <v>797</v>
      </c>
      <c r="P288" s="40" t="s">
        <v>604</v>
      </c>
      <c r="Q288" s="41" t="s">
        <v>607</v>
      </c>
      <c r="R288" s="41" t="s">
        <v>119</v>
      </c>
      <c r="S288" s="41" t="s">
        <v>798</v>
      </c>
      <c r="T288" s="64">
        <v>45920</v>
      </c>
      <c r="V288" s="41" t="s">
        <v>2203</v>
      </c>
      <c r="W288" s="41" t="s">
        <v>2204</v>
      </c>
      <c r="Y288" s="42"/>
      <c r="Z288" s="41" t="s">
        <v>170</v>
      </c>
      <c r="AA288" s="41" t="s">
        <v>1283</v>
      </c>
      <c r="AB288" s="41" t="s">
        <v>2155</v>
      </c>
      <c r="AC288" s="41" t="s">
        <v>2175</v>
      </c>
    </row>
    <row r="289" spans="6:29" hidden="1" x14ac:dyDescent="0.35">
      <c r="F289" s="40" t="s">
        <v>1720</v>
      </c>
      <c r="G289" s="40" t="s">
        <v>603</v>
      </c>
      <c r="H289" s="40" t="s">
        <v>604</v>
      </c>
      <c r="I289" s="41" t="s">
        <v>605</v>
      </c>
      <c r="J289" s="41" t="s">
        <v>119</v>
      </c>
      <c r="K289" s="41" t="s">
        <v>800</v>
      </c>
      <c r="L289" s="41" t="s">
        <v>104</v>
      </c>
      <c r="M289" s="40" t="s">
        <v>799</v>
      </c>
      <c r="P289" s="40" t="s">
        <v>604</v>
      </c>
      <c r="Q289" s="41" t="s">
        <v>607</v>
      </c>
      <c r="R289" s="41" t="s">
        <v>119</v>
      </c>
      <c r="S289" s="41" t="s">
        <v>800</v>
      </c>
      <c r="T289" s="64">
        <v>45920</v>
      </c>
      <c r="V289" s="41" t="s">
        <v>2203</v>
      </c>
      <c r="W289" s="41" t="s">
        <v>2204</v>
      </c>
      <c r="Y289" s="42"/>
      <c r="Z289" s="41" t="s">
        <v>170</v>
      </c>
      <c r="AA289" s="41" t="s">
        <v>1284</v>
      </c>
      <c r="AB289" s="41" t="s">
        <v>2156</v>
      </c>
      <c r="AC289" s="41" t="s">
        <v>2175</v>
      </c>
    </row>
    <row r="290" spans="6:29" ht="29" hidden="1" x14ac:dyDescent="0.35">
      <c r="F290" s="40" t="s">
        <v>1721</v>
      </c>
      <c r="G290" s="40" t="s">
        <v>603</v>
      </c>
      <c r="H290" s="40" t="s">
        <v>604</v>
      </c>
      <c r="I290" s="41" t="s">
        <v>605</v>
      </c>
      <c r="J290" s="41" t="s">
        <v>102</v>
      </c>
      <c r="K290" s="41" t="s">
        <v>802</v>
      </c>
      <c r="L290" s="41" t="s">
        <v>104</v>
      </c>
      <c r="M290" s="40" t="s">
        <v>801</v>
      </c>
      <c r="P290" s="40" t="s">
        <v>604</v>
      </c>
      <c r="Q290" s="41" t="s">
        <v>607</v>
      </c>
      <c r="R290" s="41" t="s">
        <v>102</v>
      </c>
      <c r="S290" s="41" t="s">
        <v>802</v>
      </c>
      <c r="T290" s="64">
        <v>45920</v>
      </c>
      <c r="V290" s="41" t="s">
        <v>2203</v>
      </c>
      <c r="W290" s="41" t="s">
        <v>2204</v>
      </c>
      <c r="Y290" s="42"/>
      <c r="Z290" s="41" t="s">
        <v>170</v>
      </c>
      <c r="AA290" s="41" t="s">
        <v>1285</v>
      </c>
      <c r="AB290" s="41" t="s">
        <v>2157</v>
      </c>
      <c r="AC290" s="41" t="s">
        <v>2175</v>
      </c>
    </row>
    <row r="291" spans="6:29" hidden="1" x14ac:dyDescent="0.35">
      <c r="F291" s="40" t="s">
        <v>1722</v>
      </c>
      <c r="G291" s="40" t="s">
        <v>603</v>
      </c>
      <c r="H291" s="40" t="s">
        <v>104</v>
      </c>
      <c r="I291" s="41" t="s">
        <v>104</v>
      </c>
      <c r="J291" s="41" t="s">
        <v>102</v>
      </c>
      <c r="K291" s="41" t="s">
        <v>104</v>
      </c>
      <c r="L291" s="41" t="s">
        <v>104</v>
      </c>
      <c r="M291" s="40" t="s">
        <v>636</v>
      </c>
      <c r="P291" s="40" t="s">
        <v>604</v>
      </c>
      <c r="Q291" s="41" t="s">
        <v>607</v>
      </c>
      <c r="R291" s="41" t="s">
        <v>102</v>
      </c>
      <c r="S291" s="41" t="s">
        <v>807</v>
      </c>
      <c r="T291" s="64">
        <v>45913</v>
      </c>
      <c r="V291" s="41" t="s">
        <v>2202</v>
      </c>
      <c r="W291" s="41" t="s">
        <v>2205</v>
      </c>
      <c r="Y291" s="42" t="s">
        <v>2206</v>
      </c>
      <c r="Z291" s="41" t="s">
        <v>171</v>
      </c>
      <c r="AA291" s="41" t="s">
        <v>1286</v>
      </c>
      <c r="AC291" s="41" t="s">
        <v>2175</v>
      </c>
    </row>
    <row r="292" spans="6:29" hidden="1" x14ac:dyDescent="0.35">
      <c r="F292" s="40" t="s">
        <v>1723</v>
      </c>
      <c r="G292" s="40" t="s">
        <v>603</v>
      </c>
      <c r="H292" s="40" t="s">
        <v>104</v>
      </c>
      <c r="I292" s="41" t="s">
        <v>104</v>
      </c>
      <c r="J292" s="41" t="s">
        <v>102</v>
      </c>
      <c r="K292" s="41" t="s">
        <v>104</v>
      </c>
      <c r="L292" s="41" t="s">
        <v>104</v>
      </c>
      <c r="M292" s="40" t="s">
        <v>808</v>
      </c>
      <c r="P292" s="40" t="s">
        <v>604</v>
      </c>
      <c r="Q292" s="41" t="s">
        <v>607</v>
      </c>
      <c r="R292" s="41" t="s">
        <v>102</v>
      </c>
      <c r="S292" s="41" t="s">
        <v>807</v>
      </c>
      <c r="T292" s="64">
        <v>45913</v>
      </c>
      <c r="V292" s="41" t="s">
        <v>2202</v>
      </c>
      <c r="W292" s="41" t="s">
        <v>2205</v>
      </c>
      <c r="Y292" s="42" t="s">
        <v>2206</v>
      </c>
      <c r="Z292" s="41" t="s">
        <v>171</v>
      </c>
      <c r="AA292" s="41" t="s">
        <v>1287</v>
      </c>
      <c r="AC292" s="41" t="s">
        <v>2175</v>
      </c>
    </row>
    <row r="293" spans="6:29" hidden="1" x14ac:dyDescent="0.35">
      <c r="F293" s="40" t="s">
        <v>1724</v>
      </c>
      <c r="G293" s="40" t="s">
        <v>603</v>
      </c>
      <c r="H293" s="40" t="s">
        <v>104</v>
      </c>
      <c r="I293" s="41" t="s">
        <v>104</v>
      </c>
      <c r="J293" s="41" t="s">
        <v>102</v>
      </c>
      <c r="K293" s="41" t="s">
        <v>104</v>
      </c>
      <c r="L293" s="41" t="s">
        <v>104</v>
      </c>
      <c r="M293" s="40" t="s">
        <v>621</v>
      </c>
      <c r="P293" s="40" t="s">
        <v>604</v>
      </c>
      <c r="Q293" s="41" t="s">
        <v>607</v>
      </c>
      <c r="R293" s="41" t="s">
        <v>102</v>
      </c>
      <c r="S293" s="41" t="s">
        <v>807</v>
      </c>
      <c r="T293" s="64">
        <v>45913</v>
      </c>
      <c r="V293" s="41" t="s">
        <v>2202</v>
      </c>
      <c r="W293" s="41" t="s">
        <v>2205</v>
      </c>
      <c r="Y293" s="42" t="s">
        <v>2206</v>
      </c>
      <c r="Z293" s="41" t="s">
        <v>171</v>
      </c>
      <c r="AA293" s="41" t="s">
        <v>1288</v>
      </c>
      <c r="AC293" s="41" t="s">
        <v>2175</v>
      </c>
    </row>
    <row r="294" spans="6:29" hidden="1" x14ac:dyDescent="0.35">
      <c r="F294" s="40" t="s">
        <v>1725</v>
      </c>
      <c r="G294" s="40" t="s">
        <v>603</v>
      </c>
      <c r="H294" s="40" t="s">
        <v>104</v>
      </c>
      <c r="I294" s="41" t="s">
        <v>104</v>
      </c>
      <c r="J294" s="41" t="s">
        <v>102</v>
      </c>
      <c r="K294" s="41" t="s">
        <v>104</v>
      </c>
      <c r="L294" s="41" t="s">
        <v>104</v>
      </c>
      <c r="M294" s="40" t="s">
        <v>814</v>
      </c>
      <c r="P294" s="40" t="s">
        <v>604</v>
      </c>
      <c r="Q294" s="41" t="s">
        <v>607</v>
      </c>
      <c r="R294" s="41" t="s">
        <v>102</v>
      </c>
      <c r="S294" s="41" t="s">
        <v>818</v>
      </c>
      <c r="T294" s="64">
        <v>45913</v>
      </c>
      <c r="V294" s="41" t="s">
        <v>2202</v>
      </c>
      <c r="W294" s="41" t="s">
        <v>2205</v>
      </c>
      <c r="Y294" s="42" t="s">
        <v>2206</v>
      </c>
      <c r="Z294" s="41" t="s">
        <v>171</v>
      </c>
      <c r="AA294" s="41" t="s">
        <v>1289</v>
      </c>
      <c r="AC294" s="41" t="s">
        <v>2175</v>
      </c>
    </row>
    <row r="295" spans="6:29" hidden="1" x14ac:dyDescent="0.35">
      <c r="F295" s="40" t="s">
        <v>1726</v>
      </c>
      <c r="G295" s="40" t="s">
        <v>603</v>
      </c>
      <c r="H295" s="40" t="s">
        <v>104</v>
      </c>
      <c r="I295" s="41" t="s">
        <v>104</v>
      </c>
      <c r="J295" s="41" t="s">
        <v>102</v>
      </c>
      <c r="K295" s="41" t="s">
        <v>104</v>
      </c>
      <c r="L295" s="41" t="s">
        <v>104</v>
      </c>
      <c r="M295" s="40" t="s">
        <v>621</v>
      </c>
      <c r="P295" s="40" t="s">
        <v>604</v>
      </c>
      <c r="Q295" s="41" t="s">
        <v>607</v>
      </c>
      <c r="R295" s="41" t="s">
        <v>102</v>
      </c>
      <c r="S295" s="41" t="s">
        <v>818</v>
      </c>
      <c r="T295" s="64">
        <v>45913</v>
      </c>
      <c r="V295" s="41" t="s">
        <v>2202</v>
      </c>
      <c r="W295" s="41" t="s">
        <v>2205</v>
      </c>
      <c r="Y295" s="42" t="s">
        <v>2206</v>
      </c>
      <c r="Z295" s="41" t="s">
        <v>171</v>
      </c>
      <c r="AA295" s="41" t="s">
        <v>1290</v>
      </c>
      <c r="AC295" s="41" t="s">
        <v>2175</v>
      </c>
    </row>
    <row r="296" spans="6:29" hidden="1" x14ac:dyDescent="0.35">
      <c r="F296" s="40" t="s">
        <v>1727</v>
      </c>
      <c r="G296" s="40" t="s">
        <v>603</v>
      </c>
      <c r="H296" s="40" t="s">
        <v>104</v>
      </c>
      <c r="I296" s="41" t="s">
        <v>104</v>
      </c>
      <c r="J296" s="41" t="s">
        <v>102</v>
      </c>
      <c r="K296" s="41" t="s">
        <v>104</v>
      </c>
      <c r="L296" s="41" t="s">
        <v>104</v>
      </c>
      <c r="M296" s="40" t="s">
        <v>819</v>
      </c>
      <c r="P296" s="40" t="s">
        <v>604</v>
      </c>
      <c r="Q296" s="41" t="s">
        <v>607</v>
      </c>
      <c r="R296" s="41" t="s">
        <v>102</v>
      </c>
      <c r="S296" s="41" t="s">
        <v>818</v>
      </c>
      <c r="T296" s="64">
        <v>45913</v>
      </c>
      <c r="V296" s="41" t="s">
        <v>2202</v>
      </c>
      <c r="W296" s="41" t="s">
        <v>2205</v>
      </c>
      <c r="Y296" s="42" t="s">
        <v>2206</v>
      </c>
      <c r="Z296" s="41" t="s">
        <v>171</v>
      </c>
      <c r="AA296" s="41" t="s">
        <v>1291</v>
      </c>
      <c r="AC296" s="41" t="s">
        <v>2175</v>
      </c>
    </row>
    <row r="297" spans="6:29" hidden="1" x14ac:dyDescent="0.35">
      <c r="F297" s="40" t="s">
        <v>1728</v>
      </c>
      <c r="G297" s="40" t="s">
        <v>603</v>
      </c>
      <c r="H297" s="40" t="s">
        <v>104</v>
      </c>
      <c r="I297" s="41" t="s">
        <v>104</v>
      </c>
      <c r="J297" s="41" t="s">
        <v>102</v>
      </c>
      <c r="K297" s="41" t="s">
        <v>104</v>
      </c>
      <c r="L297" s="41" t="s">
        <v>104</v>
      </c>
      <c r="M297" s="40" t="s">
        <v>823</v>
      </c>
      <c r="P297" s="40" t="s">
        <v>604</v>
      </c>
      <c r="Q297" s="41" t="s">
        <v>607</v>
      </c>
      <c r="R297" s="41" t="s">
        <v>102</v>
      </c>
      <c r="S297" s="41" t="s">
        <v>827</v>
      </c>
      <c r="T297" s="64">
        <v>45913</v>
      </c>
      <c r="V297" s="41" t="s">
        <v>2202</v>
      </c>
      <c r="W297" s="41" t="s">
        <v>2205</v>
      </c>
      <c r="Y297" s="42" t="s">
        <v>2206</v>
      </c>
      <c r="Z297" s="41" t="s">
        <v>171</v>
      </c>
      <c r="AA297" s="41" t="s">
        <v>1292</v>
      </c>
      <c r="AC297" s="41" t="s">
        <v>2175</v>
      </c>
    </row>
    <row r="298" spans="6:29" ht="43.5" hidden="1" x14ac:dyDescent="0.35">
      <c r="F298" s="40" t="s">
        <v>1729</v>
      </c>
      <c r="G298" s="40" t="s">
        <v>603</v>
      </c>
      <c r="H298" s="40" t="s">
        <v>104</v>
      </c>
      <c r="I298" s="41" t="s">
        <v>104</v>
      </c>
      <c r="J298" s="41" t="s">
        <v>102</v>
      </c>
      <c r="K298" s="41" t="s">
        <v>104</v>
      </c>
      <c r="L298" s="41" t="s">
        <v>104</v>
      </c>
      <c r="M298" s="40" t="s">
        <v>828</v>
      </c>
      <c r="P298" s="40" t="s">
        <v>604</v>
      </c>
      <c r="Q298" s="41" t="s">
        <v>607</v>
      </c>
      <c r="R298" s="41" t="s">
        <v>102</v>
      </c>
      <c r="S298" s="41" t="s">
        <v>831</v>
      </c>
      <c r="T298" s="64">
        <v>45913</v>
      </c>
      <c r="V298" s="41" t="s">
        <v>2202</v>
      </c>
      <c r="W298" s="41" t="s">
        <v>2205</v>
      </c>
      <c r="Y298" s="42" t="s">
        <v>2206</v>
      </c>
      <c r="Z298" s="41" t="s">
        <v>171</v>
      </c>
      <c r="AA298" s="41" t="s">
        <v>1293</v>
      </c>
      <c r="AC298" s="41" t="s">
        <v>2175</v>
      </c>
    </row>
    <row r="299" spans="6:29" ht="43.5" hidden="1" x14ac:dyDescent="0.35">
      <c r="F299" s="40" t="s">
        <v>1730</v>
      </c>
      <c r="G299" s="40" t="s">
        <v>603</v>
      </c>
      <c r="H299" s="40" t="s">
        <v>104</v>
      </c>
      <c r="I299" s="41" t="s">
        <v>104</v>
      </c>
      <c r="J299" s="41" t="s">
        <v>102</v>
      </c>
      <c r="K299" s="41" t="s">
        <v>104</v>
      </c>
      <c r="L299" s="41" t="s">
        <v>104</v>
      </c>
      <c r="M299" s="40" t="s">
        <v>832</v>
      </c>
      <c r="P299" s="40" t="s">
        <v>604</v>
      </c>
      <c r="Q299" s="41" t="s">
        <v>607</v>
      </c>
      <c r="R299" s="41" t="s">
        <v>102</v>
      </c>
      <c r="S299" s="41" t="s">
        <v>831</v>
      </c>
      <c r="T299" s="64">
        <v>45913</v>
      </c>
      <c r="V299" s="41" t="s">
        <v>2202</v>
      </c>
      <c r="W299" s="41" t="s">
        <v>2205</v>
      </c>
      <c r="Y299" s="42" t="s">
        <v>2206</v>
      </c>
      <c r="Z299" s="41" t="s">
        <v>171</v>
      </c>
      <c r="AA299" s="41" t="s">
        <v>1294</v>
      </c>
      <c r="AC299" s="41" t="s">
        <v>2175</v>
      </c>
    </row>
    <row r="300" spans="6:29" ht="43.5" hidden="1" x14ac:dyDescent="0.35">
      <c r="F300" s="40" t="s">
        <v>1731</v>
      </c>
      <c r="G300" s="40" t="s">
        <v>603</v>
      </c>
      <c r="H300" s="40" t="s">
        <v>104</v>
      </c>
      <c r="I300" s="41" t="s">
        <v>104</v>
      </c>
      <c r="J300" s="41" t="s">
        <v>102</v>
      </c>
      <c r="K300" s="41" t="s">
        <v>104</v>
      </c>
      <c r="L300" s="41" t="s">
        <v>104</v>
      </c>
      <c r="M300" s="40" t="s">
        <v>835</v>
      </c>
      <c r="P300" s="40" t="s">
        <v>604</v>
      </c>
      <c r="Q300" s="41" t="s">
        <v>607</v>
      </c>
      <c r="R300" s="41" t="s">
        <v>102</v>
      </c>
      <c r="S300" s="41" t="s">
        <v>831</v>
      </c>
      <c r="T300" s="64">
        <v>45913</v>
      </c>
      <c r="V300" s="41" t="s">
        <v>2202</v>
      </c>
      <c r="W300" s="41" t="s">
        <v>2205</v>
      </c>
      <c r="Y300" s="42" t="s">
        <v>2206</v>
      </c>
      <c r="Z300" s="41" t="s">
        <v>171</v>
      </c>
      <c r="AA300" s="41" t="s">
        <v>1295</v>
      </c>
      <c r="AC300" s="41" t="s">
        <v>2175</v>
      </c>
    </row>
    <row r="301" spans="6:29" ht="43.5" hidden="1" x14ac:dyDescent="0.35">
      <c r="F301" s="40" t="s">
        <v>1732</v>
      </c>
      <c r="G301" s="40" t="s">
        <v>603</v>
      </c>
      <c r="H301" s="40" t="s">
        <v>104</v>
      </c>
      <c r="I301" s="41" t="s">
        <v>104</v>
      </c>
      <c r="J301" s="41" t="s">
        <v>102</v>
      </c>
      <c r="K301" s="41" t="s">
        <v>104</v>
      </c>
      <c r="L301" s="41" t="s">
        <v>104</v>
      </c>
      <c r="M301" s="40" t="s">
        <v>838</v>
      </c>
      <c r="P301" s="40" t="s">
        <v>604</v>
      </c>
      <c r="Q301" s="41" t="s">
        <v>607</v>
      </c>
      <c r="R301" s="41" t="s">
        <v>102</v>
      </c>
      <c r="S301" s="41" t="s">
        <v>831</v>
      </c>
      <c r="T301" s="64">
        <v>45913</v>
      </c>
      <c r="V301" s="41" t="s">
        <v>2202</v>
      </c>
      <c r="W301" s="41" t="s">
        <v>2205</v>
      </c>
      <c r="Y301" s="42" t="s">
        <v>2206</v>
      </c>
      <c r="Z301" s="41" t="s">
        <v>171</v>
      </c>
      <c r="AA301" s="41" t="s">
        <v>1296</v>
      </c>
      <c r="AC301" s="41" t="s">
        <v>2175</v>
      </c>
    </row>
    <row r="302" spans="6:29" hidden="1" x14ac:dyDescent="0.35">
      <c r="F302" s="40" t="s">
        <v>1733</v>
      </c>
      <c r="G302" s="40" t="s">
        <v>603</v>
      </c>
      <c r="H302" s="40" t="s">
        <v>104</v>
      </c>
      <c r="I302" s="41" t="s">
        <v>104</v>
      </c>
      <c r="J302" s="41" t="s">
        <v>102</v>
      </c>
      <c r="K302" s="41" t="s">
        <v>104</v>
      </c>
      <c r="L302" s="41" t="s">
        <v>104</v>
      </c>
      <c r="M302" s="40" t="s">
        <v>842</v>
      </c>
      <c r="P302" s="40" t="s">
        <v>604</v>
      </c>
      <c r="Q302" s="41" t="s">
        <v>607</v>
      </c>
      <c r="R302" s="41" t="s">
        <v>102</v>
      </c>
      <c r="S302" s="41" t="s">
        <v>845</v>
      </c>
      <c r="T302" s="64">
        <v>45913</v>
      </c>
      <c r="V302" s="41" t="s">
        <v>2202</v>
      </c>
      <c r="W302" s="41" t="s">
        <v>2205</v>
      </c>
      <c r="Y302" s="42" t="s">
        <v>2206</v>
      </c>
      <c r="Z302" s="41" t="s">
        <v>171</v>
      </c>
      <c r="AA302" s="41" t="s">
        <v>1297</v>
      </c>
      <c r="AC302" s="41" t="s">
        <v>2175</v>
      </c>
    </row>
    <row r="303" spans="6:29" hidden="1" x14ac:dyDescent="0.35">
      <c r="F303" s="40" t="s">
        <v>1734</v>
      </c>
      <c r="G303" s="40" t="s">
        <v>603</v>
      </c>
      <c r="H303" s="40" t="s">
        <v>104</v>
      </c>
      <c r="I303" s="41" t="s">
        <v>104</v>
      </c>
      <c r="J303" s="41" t="s">
        <v>102</v>
      </c>
      <c r="K303" s="41" t="s">
        <v>104</v>
      </c>
      <c r="L303" s="41" t="s">
        <v>104</v>
      </c>
      <c r="M303" s="40" t="s">
        <v>846</v>
      </c>
      <c r="P303" s="40" t="s">
        <v>604</v>
      </c>
      <c r="Q303" s="41" t="s">
        <v>607</v>
      </c>
      <c r="R303" s="41" t="s">
        <v>102</v>
      </c>
      <c r="S303" s="41" t="s">
        <v>845</v>
      </c>
      <c r="T303" s="64">
        <v>45913</v>
      </c>
      <c r="V303" s="41" t="s">
        <v>2202</v>
      </c>
      <c r="W303" s="41" t="s">
        <v>2205</v>
      </c>
      <c r="Y303" s="42" t="s">
        <v>2206</v>
      </c>
      <c r="Z303" s="41" t="s">
        <v>171</v>
      </c>
      <c r="AA303" s="41" t="s">
        <v>1298</v>
      </c>
      <c r="AC303" s="41" t="s">
        <v>2175</v>
      </c>
    </row>
    <row r="304" spans="6:29" hidden="1" x14ac:dyDescent="0.35">
      <c r="F304" s="40" t="s">
        <v>1735</v>
      </c>
      <c r="G304" s="40" t="s">
        <v>603</v>
      </c>
      <c r="H304" s="40" t="s">
        <v>104</v>
      </c>
      <c r="I304" s="41" t="s">
        <v>104</v>
      </c>
      <c r="J304" s="41" t="s">
        <v>102</v>
      </c>
      <c r="K304" s="41" t="s">
        <v>104</v>
      </c>
      <c r="L304" s="41" t="s">
        <v>104</v>
      </c>
      <c r="M304" s="40" t="s">
        <v>850</v>
      </c>
      <c r="P304" s="40" t="s">
        <v>604</v>
      </c>
      <c r="Q304" s="41" t="s">
        <v>607</v>
      </c>
      <c r="R304" s="41" t="s">
        <v>102</v>
      </c>
      <c r="S304" s="41" t="s">
        <v>845</v>
      </c>
      <c r="T304" s="64">
        <v>45913</v>
      </c>
      <c r="V304" s="41" t="s">
        <v>2202</v>
      </c>
      <c r="W304" s="41" t="s">
        <v>2205</v>
      </c>
      <c r="Y304" s="42" t="s">
        <v>2206</v>
      </c>
      <c r="Z304" s="41" t="s">
        <v>171</v>
      </c>
      <c r="AA304" s="41" t="s">
        <v>1299</v>
      </c>
      <c r="AC304" s="41" t="s">
        <v>2175</v>
      </c>
    </row>
    <row r="305" spans="6:29" hidden="1" x14ac:dyDescent="0.35">
      <c r="F305" s="40" t="s">
        <v>1736</v>
      </c>
      <c r="G305" s="40" t="s">
        <v>603</v>
      </c>
      <c r="H305" s="40" t="s">
        <v>104</v>
      </c>
      <c r="I305" s="41" t="s">
        <v>104</v>
      </c>
      <c r="J305" s="41" t="s">
        <v>102</v>
      </c>
      <c r="K305" s="41" t="s">
        <v>104</v>
      </c>
      <c r="L305" s="41" t="s">
        <v>104</v>
      </c>
      <c r="M305" s="40" t="s">
        <v>854</v>
      </c>
      <c r="P305" s="40" t="s">
        <v>604</v>
      </c>
      <c r="Q305" s="41" t="s">
        <v>607</v>
      </c>
      <c r="R305" s="41" t="s">
        <v>102</v>
      </c>
      <c r="S305" s="41" t="s">
        <v>845</v>
      </c>
      <c r="T305" s="64">
        <v>45913</v>
      </c>
      <c r="V305" s="41" t="s">
        <v>2202</v>
      </c>
      <c r="W305" s="41" t="s">
        <v>2205</v>
      </c>
      <c r="Y305" s="42" t="s">
        <v>2206</v>
      </c>
      <c r="Z305" s="41" t="s">
        <v>171</v>
      </c>
      <c r="AA305" s="41" t="s">
        <v>1300</v>
      </c>
      <c r="AC305" s="41" t="s">
        <v>2175</v>
      </c>
    </row>
    <row r="306" spans="6:29" hidden="1" x14ac:dyDescent="0.35">
      <c r="F306" s="40" t="s">
        <v>1737</v>
      </c>
      <c r="G306" s="40" t="s">
        <v>603</v>
      </c>
      <c r="H306" s="40" t="s">
        <v>104</v>
      </c>
      <c r="I306" s="41" t="s">
        <v>104</v>
      </c>
      <c r="J306" s="41" t="s">
        <v>102</v>
      </c>
      <c r="K306" s="41" t="s">
        <v>104</v>
      </c>
      <c r="L306" s="41" t="s">
        <v>104</v>
      </c>
      <c r="M306" s="40" t="s">
        <v>842</v>
      </c>
      <c r="P306" s="40" t="s">
        <v>604</v>
      </c>
      <c r="Q306" s="41" t="s">
        <v>607</v>
      </c>
      <c r="R306" s="41" t="s">
        <v>102</v>
      </c>
      <c r="S306" s="41" t="s">
        <v>857</v>
      </c>
      <c r="T306" s="64">
        <v>45913</v>
      </c>
      <c r="V306" s="41" t="s">
        <v>2202</v>
      </c>
      <c r="W306" s="41" t="s">
        <v>2205</v>
      </c>
      <c r="Y306" s="42" t="s">
        <v>2206</v>
      </c>
      <c r="Z306" s="41" t="s">
        <v>171</v>
      </c>
      <c r="AA306" s="41" t="s">
        <v>1301</v>
      </c>
      <c r="AC306" s="41" t="s">
        <v>2175</v>
      </c>
    </row>
    <row r="307" spans="6:29" hidden="1" x14ac:dyDescent="0.35">
      <c r="F307" s="40" t="s">
        <v>1738</v>
      </c>
      <c r="G307" s="40" t="s">
        <v>603</v>
      </c>
      <c r="H307" s="40" t="s">
        <v>104</v>
      </c>
      <c r="I307" s="41" t="s">
        <v>104</v>
      </c>
      <c r="J307" s="41" t="s">
        <v>102</v>
      </c>
      <c r="K307" s="41" t="s">
        <v>104</v>
      </c>
      <c r="L307" s="41" t="s">
        <v>104</v>
      </c>
      <c r="M307" s="40" t="s">
        <v>846</v>
      </c>
      <c r="P307" s="40" t="s">
        <v>604</v>
      </c>
      <c r="Q307" s="41" t="s">
        <v>607</v>
      </c>
      <c r="R307" s="41" t="s">
        <v>102</v>
      </c>
      <c r="S307" s="41" t="s">
        <v>857</v>
      </c>
      <c r="T307" s="64">
        <v>45913</v>
      </c>
      <c r="V307" s="41" t="s">
        <v>2202</v>
      </c>
      <c r="W307" s="41" t="s">
        <v>2205</v>
      </c>
      <c r="Y307" s="42" t="s">
        <v>2206</v>
      </c>
      <c r="Z307" s="41" t="s">
        <v>171</v>
      </c>
      <c r="AA307" s="41" t="s">
        <v>1302</v>
      </c>
      <c r="AC307" s="41" t="s">
        <v>2175</v>
      </c>
    </row>
    <row r="308" spans="6:29" hidden="1" x14ac:dyDescent="0.35">
      <c r="F308" s="40" t="s">
        <v>1739</v>
      </c>
      <c r="G308" s="40" t="s">
        <v>603</v>
      </c>
      <c r="H308" s="40" t="s">
        <v>104</v>
      </c>
      <c r="I308" s="41" t="s">
        <v>104</v>
      </c>
      <c r="J308" s="41" t="s">
        <v>102</v>
      </c>
      <c r="K308" s="41" t="s">
        <v>104</v>
      </c>
      <c r="L308" s="41" t="s">
        <v>104</v>
      </c>
      <c r="M308" s="40" t="s">
        <v>850</v>
      </c>
      <c r="P308" s="40" t="s">
        <v>604</v>
      </c>
      <c r="Q308" s="41" t="s">
        <v>607</v>
      </c>
      <c r="R308" s="41" t="s">
        <v>102</v>
      </c>
      <c r="S308" s="41" t="s">
        <v>857</v>
      </c>
      <c r="T308" s="64">
        <v>45913</v>
      </c>
      <c r="V308" s="41" t="s">
        <v>2202</v>
      </c>
      <c r="W308" s="41" t="s">
        <v>2205</v>
      </c>
      <c r="Y308" s="42" t="s">
        <v>2206</v>
      </c>
      <c r="Z308" s="41" t="s">
        <v>171</v>
      </c>
      <c r="AA308" s="41" t="s">
        <v>1303</v>
      </c>
      <c r="AC308" s="41" t="s">
        <v>2175</v>
      </c>
    </row>
    <row r="309" spans="6:29" hidden="1" x14ac:dyDescent="0.35">
      <c r="F309" s="40" t="s">
        <v>1740</v>
      </c>
      <c r="G309" s="40" t="s">
        <v>603</v>
      </c>
      <c r="H309" s="40" t="s">
        <v>104</v>
      </c>
      <c r="I309" s="41" t="s">
        <v>104</v>
      </c>
      <c r="J309" s="41" t="s">
        <v>102</v>
      </c>
      <c r="K309" s="41" t="s">
        <v>104</v>
      </c>
      <c r="L309" s="41" t="s">
        <v>104</v>
      </c>
      <c r="M309" s="40" t="s">
        <v>854</v>
      </c>
      <c r="P309" s="40" t="s">
        <v>604</v>
      </c>
      <c r="Q309" s="41" t="s">
        <v>607</v>
      </c>
      <c r="R309" s="41" t="s">
        <v>102</v>
      </c>
      <c r="S309" s="41" t="s">
        <v>857</v>
      </c>
      <c r="T309" s="64">
        <v>45913</v>
      </c>
      <c r="V309" s="41" t="s">
        <v>2202</v>
      </c>
      <c r="W309" s="41" t="s">
        <v>2205</v>
      </c>
      <c r="Y309" s="42" t="s">
        <v>2206</v>
      </c>
      <c r="Z309" s="41" t="s">
        <v>171</v>
      </c>
      <c r="AA309" s="41" t="s">
        <v>1304</v>
      </c>
      <c r="AC309" s="41" t="s">
        <v>2175</v>
      </c>
    </row>
    <row r="310" spans="6:29" hidden="1" x14ac:dyDescent="0.35">
      <c r="F310" s="40" t="s">
        <v>1741</v>
      </c>
      <c r="G310" s="40" t="s">
        <v>603</v>
      </c>
      <c r="H310" s="40" t="s">
        <v>104</v>
      </c>
      <c r="I310" s="41" t="s">
        <v>104</v>
      </c>
      <c r="J310" s="41" t="s">
        <v>102</v>
      </c>
      <c r="K310" s="41" t="s">
        <v>104</v>
      </c>
      <c r="L310" s="41" t="s">
        <v>104</v>
      </c>
      <c r="M310" s="40" t="s">
        <v>842</v>
      </c>
      <c r="P310" s="40" t="s">
        <v>604</v>
      </c>
      <c r="Q310" s="41" t="s">
        <v>607</v>
      </c>
      <c r="R310" s="41" t="s">
        <v>102</v>
      </c>
      <c r="S310" s="41" t="s">
        <v>858</v>
      </c>
      <c r="T310" s="64">
        <v>45913</v>
      </c>
      <c r="V310" s="41" t="s">
        <v>2202</v>
      </c>
      <c r="W310" s="41" t="s">
        <v>2205</v>
      </c>
      <c r="Y310" s="42" t="s">
        <v>2206</v>
      </c>
      <c r="Z310" s="41" t="s">
        <v>171</v>
      </c>
      <c r="AA310" s="41" t="s">
        <v>1305</v>
      </c>
      <c r="AC310" s="41" t="s">
        <v>2175</v>
      </c>
    </row>
    <row r="311" spans="6:29" hidden="1" x14ac:dyDescent="0.35">
      <c r="F311" s="40" t="s">
        <v>1742</v>
      </c>
      <c r="G311" s="40" t="s">
        <v>603</v>
      </c>
      <c r="H311" s="40" t="s">
        <v>104</v>
      </c>
      <c r="I311" s="41" t="s">
        <v>104</v>
      </c>
      <c r="J311" s="41" t="s">
        <v>102</v>
      </c>
      <c r="K311" s="41" t="s">
        <v>104</v>
      </c>
      <c r="L311" s="41" t="s">
        <v>104</v>
      </c>
      <c r="M311" s="40" t="s">
        <v>846</v>
      </c>
      <c r="P311" s="40" t="s">
        <v>604</v>
      </c>
      <c r="Q311" s="41" t="s">
        <v>607</v>
      </c>
      <c r="R311" s="41" t="s">
        <v>102</v>
      </c>
      <c r="S311" s="41" t="s">
        <v>858</v>
      </c>
      <c r="T311" s="64">
        <v>45913</v>
      </c>
      <c r="V311" s="41" t="s">
        <v>2202</v>
      </c>
      <c r="W311" s="41" t="s">
        <v>2205</v>
      </c>
      <c r="Y311" s="42" t="s">
        <v>2206</v>
      </c>
      <c r="Z311" s="41" t="s">
        <v>171</v>
      </c>
      <c r="AA311" s="41" t="s">
        <v>1306</v>
      </c>
      <c r="AC311" s="41" t="s">
        <v>2175</v>
      </c>
    </row>
    <row r="312" spans="6:29" hidden="1" x14ac:dyDescent="0.35">
      <c r="F312" s="40" t="s">
        <v>1743</v>
      </c>
      <c r="G312" s="40" t="s">
        <v>603</v>
      </c>
      <c r="H312" s="40" t="s">
        <v>104</v>
      </c>
      <c r="I312" s="41" t="s">
        <v>104</v>
      </c>
      <c r="J312" s="41" t="s">
        <v>102</v>
      </c>
      <c r="K312" s="41" t="s">
        <v>104</v>
      </c>
      <c r="L312" s="41" t="s">
        <v>104</v>
      </c>
      <c r="M312" s="40" t="s">
        <v>850</v>
      </c>
      <c r="P312" s="40" t="s">
        <v>604</v>
      </c>
      <c r="Q312" s="41" t="s">
        <v>607</v>
      </c>
      <c r="R312" s="41" t="s">
        <v>102</v>
      </c>
      <c r="S312" s="41" t="s">
        <v>858</v>
      </c>
      <c r="T312" s="64">
        <v>45913</v>
      </c>
      <c r="V312" s="41" t="s">
        <v>2202</v>
      </c>
      <c r="W312" s="41" t="s">
        <v>2205</v>
      </c>
      <c r="Y312" s="42" t="s">
        <v>2206</v>
      </c>
      <c r="Z312" s="41" t="s">
        <v>171</v>
      </c>
      <c r="AA312" s="41" t="s">
        <v>1307</v>
      </c>
      <c r="AC312" s="41" t="s">
        <v>2175</v>
      </c>
    </row>
    <row r="313" spans="6:29" hidden="1" x14ac:dyDescent="0.35">
      <c r="F313" s="40" t="s">
        <v>1744</v>
      </c>
      <c r="G313" s="40" t="s">
        <v>603</v>
      </c>
      <c r="H313" s="40" t="s">
        <v>104</v>
      </c>
      <c r="I313" s="41" t="s">
        <v>104</v>
      </c>
      <c r="J313" s="41" t="s">
        <v>102</v>
      </c>
      <c r="K313" s="41" t="s">
        <v>104</v>
      </c>
      <c r="L313" s="41" t="s">
        <v>104</v>
      </c>
      <c r="M313" s="40" t="s">
        <v>854</v>
      </c>
      <c r="P313" s="40" t="s">
        <v>604</v>
      </c>
      <c r="Q313" s="41" t="s">
        <v>607</v>
      </c>
      <c r="R313" s="41" t="s">
        <v>102</v>
      </c>
      <c r="S313" s="41" t="s">
        <v>858</v>
      </c>
      <c r="T313" s="64">
        <v>45913</v>
      </c>
      <c r="V313" s="41" t="s">
        <v>2202</v>
      </c>
      <c r="W313" s="41" t="s">
        <v>2205</v>
      </c>
      <c r="Y313" s="42" t="s">
        <v>2206</v>
      </c>
      <c r="Z313" s="41" t="s">
        <v>171</v>
      </c>
      <c r="AA313" s="41" t="s">
        <v>1308</v>
      </c>
      <c r="AC313" s="41" t="s">
        <v>2175</v>
      </c>
    </row>
    <row r="314" spans="6:29" hidden="1" x14ac:dyDescent="0.35">
      <c r="F314" s="40" t="s">
        <v>1745</v>
      </c>
      <c r="G314" s="40" t="s">
        <v>603</v>
      </c>
      <c r="H314" s="40" t="s">
        <v>104</v>
      </c>
      <c r="I314" s="41" t="s">
        <v>104</v>
      </c>
      <c r="J314" s="41" t="s">
        <v>102</v>
      </c>
      <c r="K314" s="41" t="s">
        <v>104</v>
      </c>
      <c r="L314" s="41" t="s">
        <v>104</v>
      </c>
      <c r="M314" s="40" t="s">
        <v>842</v>
      </c>
      <c r="P314" s="40" t="s">
        <v>604</v>
      </c>
      <c r="Q314" s="41" t="s">
        <v>607</v>
      </c>
      <c r="R314" s="41" t="s">
        <v>102</v>
      </c>
      <c r="S314" s="41" t="s">
        <v>859</v>
      </c>
      <c r="T314" s="64">
        <v>45913</v>
      </c>
      <c r="V314" s="41" t="s">
        <v>2202</v>
      </c>
      <c r="W314" s="41" t="s">
        <v>2205</v>
      </c>
      <c r="Y314" s="42" t="s">
        <v>2206</v>
      </c>
      <c r="Z314" s="41" t="s">
        <v>171</v>
      </c>
      <c r="AA314" s="41" t="s">
        <v>1309</v>
      </c>
      <c r="AC314" s="41" t="s">
        <v>2175</v>
      </c>
    </row>
    <row r="315" spans="6:29" hidden="1" x14ac:dyDescent="0.35">
      <c r="F315" s="40" t="s">
        <v>1746</v>
      </c>
      <c r="G315" s="40" t="s">
        <v>603</v>
      </c>
      <c r="H315" s="40" t="s">
        <v>104</v>
      </c>
      <c r="I315" s="41" t="s">
        <v>104</v>
      </c>
      <c r="J315" s="41" t="s">
        <v>102</v>
      </c>
      <c r="K315" s="41" t="s">
        <v>104</v>
      </c>
      <c r="L315" s="41" t="s">
        <v>104</v>
      </c>
      <c r="M315" s="40" t="s">
        <v>846</v>
      </c>
      <c r="P315" s="40" t="s">
        <v>604</v>
      </c>
      <c r="Q315" s="41" t="s">
        <v>607</v>
      </c>
      <c r="R315" s="41" t="s">
        <v>102</v>
      </c>
      <c r="S315" s="41" t="s">
        <v>859</v>
      </c>
      <c r="T315" s="64">
        <v>45913</v>
      </c>
      <c r="V315" s="41" t="s">
        <v>2202</v>
      </c>
      <c r="W315" s="41" t="s">
        <v>2205</v>
      </c>
      <c r="Y315" s="42" t="s">
        <v>2206</v>
      </c>
      <c r="Z315" s="41" t="s">
        <v>171</v>
      </c>
      <c r="AA315" s="41" t="s">
        <v>1310</v>
      </c>
      <c r="AC315" s="41" t="s">
        <v>2175</v>
      </c>
    </row>
    <row r="316" spans="6:29" hidden="1" x14ac:dyDescent="0.35">
      <c r="F316" s="40" t="s">
        <v>1747</v>
      </c>
      <c r="G316" s="40" t="s">
        <v>603</v>
      </c>
      <c r="H316" s="40" t="s">
        <v>104</v>
      </c>
      <c r="I316" s="41" t="s">
        <v>104</v>
      </c>
      <c r="J316" s="41" t="s">
        <v>102</v>
      </c>
      <c r="K316" s="41" t="s">
        <v>104</v>
      </c>
      <c r="L316" s="41" t="s">
        <v>104</v>
      </c>
      <c r="M316" s="40" t="s">
        <v>850</v>
      </c>
      <c r="P316" s="40" t="s">
        <v>604</v>
      </c>
      <c r="Q316" s="41" t="s">
        <v>607</v>
      </c>
      <c r="R316" s="41" t="s">
        <v>102</v>
      </c>
      <c r="S316" s="41" t="s">
        <v>859</v>
      </c>
      <c r="T316" s="64">
        <v>45913</v>
      </c>
      <c r="V316" s="41" t="s">
        <v>2202</v>
      </c>
      <c r="W316" s="41" t="s">
        <v>2205</v>
      </c>
      <c r="Y316" s="42" t="s">
        <v>2206</v>
      </c>
      <c r="Z316" s="41" t="s">
        <v>171</v>
      </c>
      <c r="AA316" s="41" t="s">
        <v>1311</v>
      </c>
      <c r="AC316" s="41" t="s">
        <v>2175</v>
      </c>
    </row>
    <row r="317" spans="6:29" hidden="1" x14ac:dyDescent="0.35">
      <c r="F317" s="40" t="s">
        <v>1748</v>
      </c>
      <c r="G317" s="40" t="s">
        <v>603</v>
      </c>
      <c r="H317" s="40" t="s">
        <v>104</v>
      </c>
      <c r="I317" s="41" t="s">
        <v>104</v>
      </c>
      <c r="J317" s="41" t="s">
        <v>102</v>
      </c>
      <c r="K317" s="41" t="s">
        <v>104</v>
      </c>
      <c r="L317" s="41" t="s">
        <v>104</v>
      </c>
      <c r="M317" s="40" t="s">
        <v>854</v>
      </c>
      <c r="P317" s="40" t="s">
        <v>604</v>
      </c>
      <c r="Q317" s="41" t="s">
        <v>607</v>
      </c>
      <c r="R317" s="41" t="s">
        <v>102</v>
      </c>
      <c r="S317" s="41" t="s">
        <v>859</v>
      </c>
      <c r="T317" s="64">
        <v>45913</v>
      </c>
      <c r="V317" s="41" t="s">
        <v>2202</v>
      </c>
      <c r="W317" s="41" t="s">
        <v>2205</v>
      </c>
      <c r="Y317" s="42" t="s">
        <v>2206</v>
      </c>
      <c r="Z317" s="41" t="s">
        <v>171</v>
      </c>
      <c r="AA317" s="41" t="s">
        <v>1312</v>
      </c>
      <c r="AC317" s="41" t="s">
        <v>2175</v>
      </c>
    </row>
    <row r="318" spans="6:29" hidden="1" x14ac:dyDescent="0.35">
      <c r="F318" s="40" t="s">
        <v>1749</v>
      </c>
      <c r="G318" s="40" t="s">
        <v>603</v>
      </c>
      <c r="H318" s="40" t="s">
        <v>104</v>
      </c>
      <c r="I318" s="41" t="s">
        <v>104</v>
      </c>
      <c r="J318" s="41" t="s">
        <v>102</v>
      </c>
      <c r="K318" s="41" t="s">
        <v>104</v>
      </c>
      <c r="L318" s="41" t="s">
        <v>104</v>
      </c>
      <c r="M318" s="40" t="s">
        <v>842</v>
      </c>
      <c r="P318" s="40" t="s">
        <v>604</v>
      </c>
      <c r="Q318" s="41" t="s">
        <v>607</v>
      </c>
      <c r="R318" s="41" t="s">
        <v>102</v>
      </c>
      <c r="S318" s="41" t="s">
        <v>860</v>
      </c>
      <c r="T318" s="64">
        <v>45913</v>
      </c>
      <c r="V318" s="41" t="s">
        <v>2202</v>
      </c>
      <c r="W318" s="41" t="s">
        <v>2205</v>
      </c>
      <c r="Y318" s="42" t="s">
        <v>2206</v>
      </c>
      <c r="Z318" s="41" t="s">
        <v>171</v>
      </c>
      <c r="AA318" s="41" t="s">
        <v>1313</v>
      </c>
      <c r="AC318" s="41" t="s">
        <v>2175</v>
      </c>
    </row>
    <row r="319" spans="6:29" hidden="1" x14ac:dyDescent="0.35">
      <c r="F319" s="40" t="s">
        <v>1750</v>
      </c>
      <c r="G319" s="40" t="s">
        <v>603</v>
      </c>
      <c r="H319" s="40" t="s">
        <v>104</v>
      </c>
      <c r="I319" s="41" t="s">
        <v>104</v>
      </c>
      <c r="J319" s="41" t="s">
        <v>102</v>
      </c>
      <c r="K319" s="41" t="s">
        <v>104</v>
      </c>
      <c r="L319" s="41" t="s">
        <v>104</v>
      </c>
      <c r="M319" s="40" t="s">
        <v>846</v>
      </c>
      <c r="P319" s="40" t="s">
        <v>604</v>
      </c>
      <c r="Q319" s="41" t="s">
        <v>607</v>
      </c>
      <c r="R319" s="41" t="s">
        <v>102</v>
      </c>
      <c r="S319" s="41" t="s">
        <v>860</v>
      </c>
      <c r="T319" s="64">
        <v>45913</v>
      </c>
      <c r="V319" s="41" t="s">
        <v>2202</v>
      </c>
      <c r="W319" s="41" t="s">
        <v>2205</v>
      </c>
      <c r="Y319" s="42" t="s">
        <v>2206</v>
      </c>
      <c r="Z319" s="41" t="s">
        <v>171</v>
      </c>
      <c r="AA319" s="41" t="s">
        <v>1314</v>
      </c>
      <c r="AC319" s="41" t="s">
        <v>2175</v>
      </c>
    </row>
    <row r="320" spans="6:29" hidden="1" x14ac:dyDescent="0.35">
      <c r="F320" s="40" t="s">
        <v>1751</v>
      </c>
      <c r="G320" s="40" t="s">
        <v>603</v>
      </c>
      <c r="H320" s="40" t="s">
        <v>104</v>
      </c>
      <c r="I320" s="41" t="s">
        <v>104</v>
      </c>
      <c r="J320" s="41" t="s">
        <v>102</v>
      </c>
      <c r="K320" s="41" t="s">
        <v>104</v>
      </c>
      <c r="L320" s="41" t="s">
        <v>104</v>
      </c>
      <c r="M320" s="40" t="s">
        <v>850</v>
      </c>
      <c r="P320" s="40" t="s">
        <v>604</v>
      </c>
      <c r="Q320" s="41" t="s">
        <v>607</v>
      </c>
      <c r="R320" s="41" t="s">
        <v>102</v>
      </c>
      <c r="S320" s="41" t="s">
        <v>860</v>
      </c>
      <c r="T320" s="64">
        <v>45913</v>
      </c>
      <c r="V320" s="41" t="s">
        <v>2202</v>
      </c>
      <c r="W320" s="41" t="s">
        <v>2205</v>
      </c>
      <c r="Y320" s="42" t="s">
        <v>2206</v>
      </c>
      <c r="Z320" s="41" t="s">
        <v>171</v>
      </c>
      <c r="AA320" s="41" t="s">
        <v>1315</v>
      </c>
      <c r="AC320" s="41" t="s">
        <v>2175</v>
      </c>
    </row>
    <row r="321" spans="6:29" ht="29" hidden="1" x14ac:dyDescent="0.35">
      <c r="F321" s="40" t="s">
        <v>1752</v>
      </c>
      <c r="G321" s="40" t="s">
        <v>603</v>
      </c>
      <c r="H321" s="40" t="s">
        <v>104</v>
      </c>
      <c r="I321" s="41" t="s">
        <v>104</v>
      </c>
      <c r="J321" s="41" t="s">
        <v>102</v>
      </c>
      <c r="K321" s="41" t="s">
        <v>104</v>
      </c>
      <c r="L321" s="41" t="s">
        <v>104</v>
      </c>
      <c r="M321" s="40" t="s">
        <v>861</v>
      </c>
      <c r="P321" s="40" t="s">
        <v>604</v>
      </c>
      <c r="Q321" s="41" t="s">
        <v>607</v>
      </c>
      <c r="R321" s="41" t="s">
        <v>102</v>
      </c>
      <c r="S321" s="41" t="s">
        <v>864</v>
      </c>
      <c r="T321" s="64">
        <v>45913</v>
      </c>
      <c r="V321" s="41" t="s">
        <v>2202</v>
      </c>
      <c r="W321" s="41" t="s">
        <v>2205</v>
      </c>
      <c r="Y321" s="42" t="s">
        <v>2206</v>
      </c>
      <c r="Z321" s="41" t="s">
        <v>171</v>
      </c>
      <c r="AA321" s="41" t="s">
        <v>1316</v>
      </c>
      <c r="AC321" s="41" t="s">
        <v>2175</v>
      </c>
    </row>
    <row r="322" spans="6:29" hidden="1" x14ac:dyDescent="0.35">
      <c r="F322" s="40" t="s">
        <v>1753</v>
      </c>
      <c r="G322" s="40" t="s">
        <v>603</v>
      </c>
      <c r="H322" s="40" t="s">
        <v>104</v>
      </c>
      <c r="I322" s="41" t="s">
        <v>104</v>
      </c>
      <c r="J322" s="41" t="s">
        <v>102</v>
      </c>
      <c r="K322" s="41" t="s">
        <v>104</v>
      </c>
      <c r="L322" s="41" t="s">
        <v>104</v>
      </c>
      <c r="M322" s="40" t="s">
        <v>850</v>
      </c>
      <c r="P322" s="40" t="s">
        <v>604</v>
      </c>
      <c r="Q322" s="41" t="s">
        <v>607</v>
      </c>
      <c r="R322" s="41" t="s">
        <v>102</v>
      </c>
      <c r="S322" s="41" t="s">
        <v>864</v>
      </c>
      <c r="T322" s="64">
        <v>45913</v>
      </c>
      <c r="V322" s="41" t="s">
        <v>2202</v>
      </c>
      <c r="W322" s="41" t="s">
        <v>2205</v>
      </c>
      <c r="Y322" s="42" t="s">
        <v>2206</v>
      </c>
      <c r="Z322" s="41" t="s">
        <v>171</v>
      </c>
      <c r="AA322" s="41" t="s">
        <v>1317</v>
      </c>
      <c r="AC322" s="41" t="s">
        <v>2175</v>
      </c>
    </row>
    <row r="323" spans="6:29" ht="29" hidden="1" x14ac:dyDescent="0.35">
      <c r="F323" s="40" t="s">
        <v>1754</v>
      </c>
      <c r="G323" s="40" t="s">
        <v>603</v>
      </c>
      <c r="H323" s="40" t="s">
        <v>104</v>
      </c>
      <c r="I323" s="41" t="s">
        <v>104</v>
      </c>
      <c r="J323" s="41" t="s">
        <v>102</v>
      </c>
      <c r="K323" s="41" t="s">
        <v>104</v>
      </c>
      <c r="L323" s="41" t="s">
        <v>104</v>
      </c>
      <c r="M323" s="40" t="s">
        <v>865</v>
      </c>
      <c r="P323" s="40" t="s">
        <v>604</v>
      </c>
      <c r="Q323" s="41" t="s">
        <v>607</v>
      </c>
      <c r="R323" s="41" t="s">
        <v>102</v>
      </c>
      <c r="S323" s="41" t="s">
        <v>864</v>
      </c>
      <c r="T323" s="64">
        <v>45913</v>
      </c>
      <c r="V323" s="41" t="s">
        <v>2202</v>
      </c>
      <c r="W323" s="41" t="s">
        <v>2205</v>
      </c>
      <c r="Y323" s="42" t="s">
        <v>2206</v>
      </c>
      <c r="Z323" s="41" t="s">
        <v>171</v>
      </c>
      <c r="AA323" s="41" t="s">
        <v>1318</v>
      </c>
      <c r="AC323" s="41" t="s">
        <v>2175</v>
      </c>
    </row>
    <row r="324" spans="6:29" hidden="1" x14ac:dyDescent="0.35">
      <c r="F324" s="40" t="s">
        <v>1755</v>
      </c>
      <c r="G324" s="40" t="s">
        <v>603</v>
      </c>
      <c r="H324" s="40" t="s">
        <v>104</v>
      </c>
      <c r="I324" s="41" t="s">
        <v>104</v>
      </c>
      <c r="J324" s="41" t="s">
        <v>102</v>
      </c>
      <c r="K324" s="41" t="s">
        <v>104</v>
      </c>
      <c r="L324" s="41" t="s">
        <v>104</v>
      </c>
      <c r="M324" s="40" t="s">
        <v>869</v>
      </c>
      <c r="P324" s="40" t="s">
        <v>604</v>
      </c>
      <c r="Q324" s="41" t="s">
        <v>607</v>
      </c>
      <c r="R324" s="41" t="s">
        <v>102</v>
      </c>
      <c r="S324" s="41" t="s">
        <v>864</v>
      </c>
      <c r="T324" s="64">
        <v>45913</v>
      </c>
      <c r="V324" s="41" t="s">
        <v>2202</v>
      </c>
      <c r="W324" s="41" t="s">
        <v>2205</v>
      </c>
      <c r="Y324" s="42" t="s">
        <v>2206</v>
      </c>
      <c r="Z324" s="41" t="s">
        <v>171</v>
      </c>
      <c r="AA324" s="41" t="s">
        <v>1319</v>
      </c>
      <c r="AC324" s="41" t="s">
        <v>2175</v>
      </c>
    </row>
    <row r="325" spans="6:29" hidden="1" x14ac:dyDescent="0.35">
      <c r="F325" s="40" t="s">
        <v>1756</v>
      </c>
      <c r="G325" s="40" t="s">
        <v>603</v>
      </c>
      <c r="H325" s="40" t="s">
        <v>104</v>
      </c>
      <c r="I325" s="41" t="s">
        <v>104</v>
      </c>
      <c r="J325" s="41" t="s">
        <v>102</v>
      </c>
      <c r="K325" s="41" t="s">
        <v>104</v>
      </c>
      <c r="L325" s="41" t="s">
        <v>104</v>
      </c>
      <c r="M325" s="40" t="s">
        <v>621</v>
      </c>
      <c r="P325" s="40" t="s">
        <v>604</v>
      </c>
      <c r="Q325" s="41" t="s">
        <v>607</v>
      </c>
      <c r="R325" s="41" t="s">
        <v>102</v>
      </c>
      <c r="S325" s="41" t="s">
        <v>864</v>
      </c>
      <c r="T325" s="64">
        <v>45913</v>
      </c>
      <c r="V325" s="41" t="s">
        <v>2202</v>
      </c>
      <c r="W325" s="41" t="s">
        <v>2205</v>
      </c>
      <c r="Y325" s="42" t="s">
        <v>2206</v>
      </c>
      <c r="Z325" s="41" t="s">
        <v>171</v>
      </c>
      <c r="AA325" s="41" t="s">
        <v>1320</v>
      </c>
      <c r="AC325" s="41" t="s">
        <v>2175</v>
      </c>
    </row>
    <row r="326" spans="6:29" hidden="1" x14ac:dyDescent="0.35">
      <c r="F326" s="40" t="s">
        <v>1757</v>
      </c>
      <c r="G326" s="40" t="s">
        <v>603</v>
      </c>
      <c r="H326" s="40" t="s">
        <v>104</v>
      </c>
      <c r="I326" s="41" t="s">
        <v>104</v>
      </c>
      <c r="J326" s="41" t="s">
        <v>102</v>
      </c>
      <c r="K326" s="41" t="s">
        <v>104</v>
      </c>
      <c r="L326" s="41" t="s">
        <v>104</v>
      </c>
      <c r="M326" s="40" t="s">
        <v>842</v>
      </c>
      <c r="P326" s="40" t="s">
        <v>604</v>
      </c>
      <c r="Q326" s="41" t="s">
        <v>607</v>
      </c>
      <c r="R326" s="41" t="s">
        <v>102</v>
      </c>
      <c r="S326" s="41" t="s">
        <v>873</v>
      </c>
      <c r="T326" s="64">
        <v>45913</v>
      </c>
      <c r="V326" s="41" t="s">
        <v>2202</v>
      </c>
      <c r="W326" s="41" t="s">
        <v>2205</v>
      </c>
      <c r="Y326" s="42" t="s">
        <v>2206</v>
      </c>
      <c r="Z326" s="41" t="s">
        <v>171</v>
      </c>
      <c r="AA326" s="41" t="s">
        <v>1321</v>
      </c>
      <c r="AC326" s="41" t="s">
        <v>2175</v>
      </c>
    </row>
    <row r="327" spans="6:29" hidden="1" x14ac:dyDescent="0.35">
      <c r="F327" s="40" t="s">
        <v>1758</v>
      </c>
      <c r="G327" s="40" t="s">
        <v>603</v>
      </c>
      <c r="H327" s="40" t="s">
        <v>104</v>
      </c>
      <c r="I327" s="41" t="s">
        <v>104</v>
      </c>
      <c r="J327" s="41" t="s">
        <v>102</v>
      </c>
      <c r="K327" s="41" t="s">
        <v>104</v>
      </c>
      <c r="L327" s="41" t="s">
        <v>104</v>
      </c>
      <c r="M327" s="40" t="s">
        <v>846</v>
      </c>
      <c r="P327" s="40" t="s">
        <v>604</v>
      </c>
      <c r="Q327" s="41" t="s">
        <v>607</v>
      </c>
      <c r="R327" s="41" t="s">
        <v>102</v>
      </c>
      <c r="S327" s="41" t="s">
        <v>873</v>
      </c>
      <c r="T327" s="64">
        <v>45913</v>
      </c>
      <c r="V327" s="41" t="s">
        <v>2202</v>
      </c>
      <c r="W327" s="41" t="s">
        <v>2205</v>
      </c>
      <c r="Y327" s="42" t="s">
        <v>2206</v>
      </c>
      <c r="Z327" s="41" t="s">
        <v>171</v>
      </c>
      <c r="AA327" s="41" t="s">
        <v>1322</v>
      </c>
      <c r="AC327" s="41" t="s">
        <v>2175</v>
      </c>
    </row>
    <row r="328" spans="6:29" hidden="1" x14ac:dyDescent="0.35">
      <c r="F328" s="40" t="s">
        <v>1759</v>
      </c>
      <c r="G328" s="40" t="s">
        <v>603</v>
      </c>
      <c r="H328" s="40" t="s">
        <v>104</v>
      </c>
      <c r="I328" s="41" t="s">
        <v>104</v>
      </c>
      <c r="J328" s="41" t="s">
        <v>102</v>
      </c>
      <c r="K328" s="41" t="s">
        <v>104</v>
      </c>
      <c r="L328" s="41" t="s">
        <v>104</v>
      </c>
      <c r="M328" s="40" t="s">
        <v>850</v>
      </c>
      <c r="P328" s="40" t="s">
        <v>604</v>
      </c>
      <c r="Q328" s="41" t="s">
        <v>607</v>
      </c>
      <c r="R328" s="41" t="s">
        <v>102</v>
      </c>
      <c r="S328" s="41" t="s">
        <v>873</v>
      </c>
      <c r="T328" s="64">
        <v>45913</v>
      </c>
      <c r="V328" s="41" t="s">
        <v>2202</v>
      </c>
      <c r="W328" s="41" t="s">
        <v>2205</v>
      </c>
      <c r="Y328" s="42" t="s">
        <v>2206</v>
      </c>
      <c r="Z328" s="41" t="s">
        <v>171</v>
      </c>
      <c r="AA328" s="41" t="s">
        <v>1323</v>
      </c>
      <c r="AC328" s="41" t="s">
        <v>2175</v>
      </c>
    </row>
    <row r="329" spans="6:29" hidden="1" x14ac:dyDescent="0.35">
      <c r="F329" s="40" t="s">
        <v>1760</v>
      </c>
      <c r="G329" s="40" t="s">
        <v>603</v>
      </c>
      <c r="H329" s="40" t="s">
        <v>104</v>
      </c>
      <c r="I329" s="41" t="s">
        <v>104</v>
      </c>
      <c r="J329" s="41" t="s">
        <v>102</v>
      </c>
      <c r="K329" s="41" t="s">
        <v>104</v>
      </c>
      <c r="L329" s="41" t="s">
        <v>104</v>
      </c>
      <c r="M329" s="40" t="s">
        <v>854</v>
      </c>
      <c r="P329" s="40" t="s">
        <v>604</v>
      </c>
      <c r="Q329" s="41" t="s">
        <v>607</v>
      </c>
      <c r="R329" s="41" t="s">
        <v>102</v>
      </c>
      <c r="S329" s="41" t="s">
        <v>873</v>
      </c>
      <c r="T329" s="64">
        <v>45913</v>
      </c>
      <c r="V329" s="41" t="s">
        <v>2202</v>
      </c>
      <c r="W329" s="41" t="s">
        <v>2205</v>
      </c>
      <c r="Y329" s="42" t="s">
        <v>2206</v>
      </c>
      <c r="Z329" s="41" t="s">
        <v>171</v>
      </c>
      <c r="AA329" s="41" t="s">
        <v>1324</v>
      </c>
      <c r="AC329" s="41" t="s">
        <v>2175</v>
      </c>
    </row>
    <row r="330" spans="6:29" hidden="1" x14ac:dyDescent="0.35">
      <c r="F330" s="40" t="s">
        <v>1761</v>
      </c>
      <c r="G330" s="40" t="s">
        <v>603</v>
      </c>
      <c r="H330" s="40" t="s">
        <v>104</v>
      </c>
      <c r="I330" s="41" t="s">
        <v>104</v>
      </c>
      <c r="J330" s="41" t="s">
        <v>102</v>
      </c>
      <c r="K330" s="41" t="s">
        <v>104</v>
      </c>
      <c r="L330" s="41" t="s">
        <v>104</v>
      </c>
      <c r="M330" s="40" t="s">
        <v>842</v>
      </c>
      <c r="P330" s="40" t="s">
        <v>604</v>
      </c>
      <c r="Q330" s="41" t="s">
        <v>607</v>
      </c>
      <c r="R330" s="41" t="s">
        <v>102</v>
      </c>
      <c r="S330" s="41" t="s">
        <v>874</v>
      </c>
      <c r="T330" s="64">
        <v>45913</v>
      </c>
      <c r="V330" s="41" t="s">
        <v>2202</v>
      </c>
      <c r="W330" s="41" t="s">
        <v>2205</v>
      </c>
      <c r="Y330" s="42" t="s">
        <v>2206</v>
      </c>
      <c r="Z330" s="41" t="s">
        <v>171</v>
      </c>
      <c r="AA330" s="41" t="s">
        <v>1325</v>
      </c>
      <c r="AC330" s="41" t="s">
        <v>2175</v>
      </c>
    </row>
    <row r="331" spans="6:29" hidden="1" x14ac:dyDescent="0.35">
      <c r="F331" s="40" t="s">
        <v>1762</v>
      </c>
      <c r="G331" s="40" t="s">
        <v>603</v>
      </c>
      <c r="H331" s="40" t="s">
        <v>104</v>
      </c>
      <c r="I331" s="41" t="s">
        <v>104</v>
      </c>
      <c r="J331" s="41" t="s">
        <v>102</v>
      </c>
      <c r="K331" s="41" t="s">
        <v>104</v>
      </c>
      <c r="L331" s="41" t="s">
        <v>104</v>
      </c>
      <c r="M331" s="40" t="s">
        <v>846</v>
      </c>
      <c r="P331" s="40" t="s">
        <v>604</v>
      </c>
      <c r="Q331" s="41" t="s">
        <v>607</v>
      </c>
      <c r="R331" s="41" t="s">
        <v>102</v>
      </c>
      <c r="S331" s="41" t="s">
        <v>874</v>
      </c>
      <c r="T331" s="64">
        <v>45913</v>
      </c>
      <c r="V331" s="41" t="s">
        <v>2202</v>
      </c>
      <c r="W331" s="41" t="s">
        <v>2205</v>
      </c>
      <c r="Y331" s="42" t="s">
        <v>2206</v>
      </c>
      <c r="Z331" s="41" t="s">
        <v>171</v>
      </c>
      <c r="AA331" s="41" t="s">
        <v>1326</v>
      </c>
      <c r="AC331" s="41" t="s">
        <v>2175</v>
      </c>
    </row>
    <row r="332" spans="6:29" hidden="1" x14ac:dyDescent="0.35">
      <c r="F332" s="40" t="s">
        <v>1763</v>
      </c>
      <c r="G332" s="40" t="s">
        <v>603</v>
      </c>
      <c r="H332" s="40" t="s">
        <v>104</v>
      </c>
      <c r="I332" s="41" t="s">
        <v>104</v>
      </c>
      <c r="J332" s="41" t="s">
        <v>102</v>
      </c>
      <c r="K332" s="41" t="s">
        <v>104</v>
      </c>
      <c r="L332" s="41" t="s">
        <v>104</v>
      </c>
      <c r="M332" s="40" t="s">
        <v>850</v>
      </c>
      <c r="P332" s="40" t="s">
        <v>604</v>
      </c>
      <c r="Q332" s="41" t="s">
        <v>607</v>
      </c>
      <c r="R332" s="41" t="s">
        <v>102</v>
      </c>
      <c r="S332" s="41" t="s">
        <v>874</v>
      </c>
      <c r="T332" s="64">
        <v>45913</v>
      </c>
      <c r="V332" s="41" t="s">
        <v>2202</v>
      </c>
      <c r="W332" s="41" t="s">
        <v>2205</v>
      </c>
      <c r="Y332" s="42" t="s">
        <v>2206</v>
      </c>
      <c r="Z332" s="41" t="s">
        <v>171</v>
      </c>
      <c r="AA332" s="41" t="s">
        <v>1327</v>
      </c>
      <c r="AC332" s="41" t="s">
        <v>2175</v>
      </c>
    </row>
    <row r="333" spans="6:29" hidden="1" x14ac:dyDescent="0.35">
      <c r="F333" s="40" t="s">
        <v>1764</v>
      </c>
      <c r="G333" s="40" t="s">
        <v>603</v>
      </c>
      <c r="H333" s="40" t="s">
        <v>104</v>
      </c>
      <c r="I333" s="41" t="s">
        <v>104</v>
      </c>
      <c r="J333" s="41" t="s">
        <v>102</v>
      </c>
      <c r="K333" s="41" t="s">
        <v>104</v>
      </c>
      <c r="L333" s="41" t="s">
        <v>104</v>
      </c>
      <c r="M333" s="40" t="s">
        <v>854</v>
      </c>
      <c r="P333" s="40" t="s">
        <v>604</v>
      </c>
      <c r="Q333" s="41" t="s">
        <v>607</v>
      </c>
      <c r="R333" s="41" t="s">
        <v>102</v>
      </c>
      <c r="S333" s="41" t="s">
        <v>874</v>
      </c>
      <c r="T333" s="64">
        <v>45913</v>
      </c>
      <c r="V333" s="41" t="s">
        <v>2202</v>
      </c>
      <c r="W333" s="41" t="s">
        <v>2205</v>
      </c>
      <c r="Y333" s="42" t="s">
        <v>2206</v>
      </c>
      <c r="Z333" s="41" t="s">
        <v>171</v>
      </c>
      <c r="AA333" s="41" t="s">
        <v>1328</v>
      </c>
      <c r="AC333" s="41" t="s">
        <v>2175</v>
      </c>
    </row>
    <row r="334" spans="6:29" hidden="1" x14ac:dyDescent="0.35">
      <c r="F334" s="40" t="s">
        <v>1765</v>
      </c>
      <c r="G334" s="40" t="s">
        <v>603</v>
      </c>
      <c r="H334" s="40" t="s">
        <v>104</v>
      </c>
      <c r="I334" s="41" t="s">
        <v>104</v>
      </c>
      <c r="J334" s="41" t="s">
        <v>102</v>
      </c>
      <c r="K334" s="41" t="s">
        <v>104</v>
      </c>
      <c r="L334" s="41" t="s">
        <v>104</v>
      </c>
      <c r="M334" s="40" t="s">
        <v>842</v>
      </c>
      <c r="P334" s="40" t="s">
        <v>604</v>
      </c>
      <c r="Q334" s="41" t="s">
        <v>607</v>
      </c>
      <c r="R334" s="41" t="s">
        <v>102</v>
      </c>
      <c r="S334" s="41" t="s">
        <v>875</v>
      </c>
      <c r="T334" s="64">
        <v>45913</v>
      </c>
      <c r="V334" s="41" t="s">
        <v>2202</v>
      </c>
      <c r="W334" s="41" t="s">
        <v>2205</v>
      </c>
      <c r="Y334" s="42" t="s">
        <v>2206</v>
      </c>
      <c r="Z334" s="41" t="s">
        <v>171</v>
      </c>
      <c r="AA334" s="41" t="s">
        <v>1329</v>
      </c>
      <c r="AC334" s="41" t="s">
        <v>2175</v>
      </c>
    </row>
    <row r="335" spans="6:29" hidden="1" x14ac:dyDescent="0.35">
      <c r="F335" s="40" t="s">
        <v>1766</v>
      </c>
      <c r="G335" s="40" t="s">
        <v>603</v>
      </c>
      <c r="H335" s="40" t="s">
        <v>104</v>
      </c>
      <c r="I335" s="41" t="s">
        <v>104</v>
      </c>
      <c r="J335" s="41" t="s">
        <v>102</v>
      </c>
      <c r="K335" s="41" t="s">
        <v>104</v>
      </c>
      <c r="L335" s="41" t="s">
        <v>104</v>
      </c>
      <c r="M335" s="40" t="s">
        <v>846</v>
      </c>
      <c r="P335" s="40" t="s">
        <v>604</v>
      </c>
      <c r="Q335" s="41" t="s">
        <v>607</v>
      </c>
      <c r="R335" s="41" t="s">
        <v>102</v>
      </c>
      <c r="S335" s="41" t="s">
        <v>875</v>
      </c>
      <c r="T335" s="64">
        <v>45913</v>
      </c>
      <c r="V335" s="41" t="s">
        <v>2202</v>
      </c>
      <c r="W335" s="41" t="s">
        <v>2205</v>
      </c>
      <c r="Y335" s="42" t="s">
        <v>2206</v>
      </c>
      <c r="Z335" s="41" t="s">
        <v>171</v>
      </c>
      <c r="AA335" s="41" t="s">
        <v>1330</v>
      </c>
      <c r="AC335" s="41" t="s">
        <v>2175</v>
      </c>
    </row>
    <row r="336" spans="6:29" hidden="1" x14ac:dyDescent="0.35">
      <c r="F336" s="40" t="s">
        <v>1767</v>
      </c>
      <c r="G336" s="40" t="s">
        <v>603</v>
      </c>
      <c r="H336" s="40" t="s">
        <v>104</v>
      </c>
      <c r="I336" s="41" t="s">
        <v>104</v>
      </c>
      <c r="J336" s="41" t="s">
        <v>102</v>
      </c>
      <c r="K336" s="41" t="s">
        <v>104</v>
      </c>
      <c r="L336" s="41" t="s">
        <v>104</v>
      </c>
      <c r="M336" s="40" t="s">
        <v>850</v>
      </c>
      <c r="P336" s="40" t="s">
        <v>604</v>
      </c>
      <c r="Q336" s="41" t="s">
        <v>607</v>
      </c>
      <c r="R336" s="41" t="s">
        <v>102</v>
      </c>
      <c r="S336" s="41" t="s">
        <v>875</v>
      </c>
      <c r="T336" s="64">
        <v>45913</v>
      </c>
      <c r="V336" s="41" t="s">
        <v>2202</v>
      </c>
      <c r="W336" s="41" t="s">
        <v>2205</v>
      </c>
      <c r="Y336" s="42" t="s">
        <v>2206</v>
      </c>
      <c r="Z336" s="41" t="s">
        <v>171</v>
      </c>
      <c r="AA336" s="41" t="s">
        <v>1331</v>
      </c>
      <c r="AC336" s="41" t="s">
        <v>2175</v>
      </c>
    </row>
    <row r="337" spans="6:29" hidden="1" x14ac:dyDescent="0.35">
      <c r="F337" s="40" t="s">
        <v>1768</v>
      </c>
      <c r="G337" s="40" t="s">
        <v>603</v>
      </c>
      <c r="H337" s="40" t="s">
        <v>104</v>
      </c>
      <c r="I337" s="41" t="s">
        <v>104</v>
      </c>
      <c r="J337" s="41" t="s">
        <v>102</v>
      </c>
      <c r="K337" s="41" t="s">
        <v>104</v>
      </c>
      <c r="L337" s="41" t="s">
        <v>104</v>
      </c>
      <c r="M337" s="40" t="s">
        <v>854</v>
      </c>
      <c r="P337" s="40" t="s">
        <v>604</v>
      </c>
      <c r="Q337" s="41" t="s">
        <v>607</v>
      </c>
      <c r="R337" s="41" t="s">
        <v>102</v>
      </c>
      <c r="S337" s="41" t="s">
        <v>875</v>
      </c>
      <c r="T337" s="64">
        <v>45913</v>
      </c>
      <c r="V337" s="41" t="s">
        <v>2202</v>
      </c>
      <c r="W337" s="41" t="s">
        <v>2205</v>
      </c>
      <c r="Y337" s="42" t="s">
        <v>2206</v>
      </c>
      <c r="Z337" s="41" t="s">
        <v>171</v>
      </c>
      <c r="AA337" s="41" t="s">
        <v>1332</v>
      </c>
      <c r="AC337" s="41" t="s">
        <v>2175</v>
      </c>
    </row>
    <row r="338" spans="6:29" hidden="1" x14ac:dyDescent="0.35">
      <c r="F338" s="40" t="s">
        <v>1769</v>
      </c>
      <c r="G338" s="40" t="s">
        <v>603</v>
      </c>
      <c r="H338" s="40" t="s">
        <v>104</v>
      </c>
      <c r="I338" s="41" t="s">
        <v>104</v>
      </c>
      <c r="J338" s="41" t="s">
        <v>102</v>
      </c>
      <c r="K338" s="41" t="s">
        <v>104</v>
      </c>
      <c r="L338" s="41" t="s">
        <v>104</v>
      </c>
      <c r="M338" s="40" t="s">
        <v>842</v>
      </c>
      <c r="P338" s="40" t="s">
        <v>604</v>
      </c>
      <c r="Q338" s="41" t="s">
        <v>607</v>
      </c>
      <c r="R338" s="41" t="s">
        <v>102</v>
      </c>
      <c r="S338" s="41" t="s">
        <v>876</v>
      </c>
      <c r="T338" s="64">
        <v>45913</v>
      </c>
      <c r="V338" s="41" t="s">
        <v>2202</v>
      </c>
      <c r="W338" s="41" t="s">
        <v>2205</v>
      </c>
      <c r="Y338" s="42" t="s">
        <v>2206</v>
      </c>
      <c r="Z338" s="41" t="s">
        <v>171</v>
      </c>
      <c r="AA338" s="41" t="s">
        <v>1333</v>
      </c>
      <c r="AC338" s="41" t="s">
        <v>2175</v>
      </c>
    </row>
    <row r="339" spans="6:29" hidden="1" x14ac:dyDescent="0.35">
      <c r="F339" s="40" t="s">
        <v>1770</v>
      </c>
      <c r="G339" s="40" t="s">
        <v>603</v>
      </c>
      <c r="H339" s="40" t="s">
        <v>104</v>
      </c>
      <c r="I339" s="41" t="s">
        <v>104</v>
      </c>
      <c r="J339" s="41" t="s">
        <v>102</v>
      </c>
      <c r="K339" s="41" t="s">
        <v>104</v>
      </c>
      <c r="L339" s="41" t="s">
        <v>104</v>
      </c>
      <c r="M339" s="40" t="s">
        <v>846</v>
      </c>
      <c r="P339" s="40" t="s">
        <v>604</v>
      </c>
      <c r="Q339" s="41" t="s">
        <v>607</v>
      </c>
      <c r="R339" s="41" t="s">
        <v>102</v>
      </c>
      <c r="S339" s="41" t="s">
        <v>876</v>
      </c>
      <c r="T339" s="64">
        <v>45913</v>
      </c>
      <c r="V339" s="41" t="s">
        <v>2202</v>
      </c>
      <c r="W339" s="41" t="s">
        <v>2205</v>
      </c>
      <c r="Y339" s="42" t="s">
        <v>2206</v>
      </c>
      <c r="Z339" s="41" t="s">
        <v>171</v>
      </c>
      <c r="AA339" s="41" t="s">
        <v>1334</v>
      </c>
      <c r="AC339" s="41" t="s">
        <v>2175</v>
      </c>
    </row>
    <row r="340" spans="6:29" hidden="1" x14ac:dyDescent="0.35">
      <c r="F340" s="40" t="s">
        <v>1771</v>
      </c>
      <c r="G340" s="40" t="s">
        <v>603</v>
      </c>
      <c r="H340" s="40" t="s">
        <v>104</v>
      </c>
      <c r="I340" s="41" t="s">
        <v>104</v>
      </c>
      <c r="J340" s="41" t="s">
        <v>102</v>
      </c>
      <c r="K340" s="41" t="s">
        <v>104</v>
      </c>
      <c r="L340" s="41" t="s">
        <v>104</v>
      </c>
      <c r="M340" s="40" t="s">
        <v>850</v>
      </c>
      <c r="P340" s="40" t="s">
        <v>604</v>
      </c>
      <c r="Q340" s="41" t="s">
        <v>607</v>
      </c>
      <c r="R340" s="41" t="s">
        <v>102</v>
      </c>
      <c r="S340" s="41" t="s">
        <v>876</v>
      </c>
      <c r="T340" s="64">
        <v>45913</v>
      </c>
      <c r="V340" s="41" t="s">
        <v>2202</v>
      </c>
      <c r="W340" s="41" t="s">
        <v>2205</v>
      </c>
      <c r="Y340" s="42" t="s">
        <v>2206</v>
      </c>
      <c r="Z340" s="41" t="s">
        <v>171</v>
      </c>
      <c r="AA340" s="41" t="s">
        <v>1335</v>
      </c>
      <c r="AC340" s="41" t="s">
        <v>2175</v>
      </c>
    </row>
    <row r="341" spans="6:29" hidden="1" x14ac:dyDescent="0.35">
      <c r="F341" s="40" t="s">
        <v>1772</v>
      </c>
      <c r="G341" s="40" t="s">
        <v>603</v>
      </c>
      <c r="H341" s="40" t="s">
        <v>104</v>
      </c>
      <c r="I341" s="41" t="s">
        <v>104</v>
      </c>
      <c r="J341" s="41" t="s">
        <v>102</v>
      </c>
      <c r="K341" s="41" t="s">
        <v>104</v>
      </c>
      <c r="L341" s="41" t="s">
        <v>104</v>
      </c>
      <c r="M341" s="40" t="s">
        <v>842</v>
      </c>
      <c r="P341" s="40" t="s">
        <v>604</v>
      </c>
      <c r="Q341" s="41" t="s">
        <v>607</v>
      </c>
      <c r="R341" s="41" t="s">
        <v>102</v>
      </c>
      <c r="S341" s="41" t="s">
        <v>877</v>
      </c>
      <c r="T341" s="64">
        <v>45913</v>
      </c>
      <c r="V341" s="41" t="s">
        <v>2202</v>
      </c>
      <c r="W341" s="41" t="s">
        <v>2205</v>
      </c>
      <c r="Y341" s="42" t="s">
        <v>2206</v>
      </c>
      <c r="Z341" s="41" t="s">
        <v>171</v>
      </c>
      <c r="AA341" s="41" t="s">
        <v>1336</v>
      </c>
      <c r="AC341" s="41" t="s">
        <v>2175</v>
      </c>
    </row>
    <row r="342" spans="6:29" hidden="1" x14ac:dyDescent="0.35">
      <c r="F342" s="40" t="s">
        <v>1773</v>
      </c>
      <c r="G342" s="40" t="s">
        <v>603</v>
      </c>
      <c r="H342" s="40" t="s">
        <v>104</v>
      </c>
      <c r="I342" s="41" t="s">
        <v>104</v>
      </c>
      <c r="J342" s="41" t="s">
        <v>102</v>
      </c>
      <c r="K342" s="41" t="s">
        <v>104</v>
      </c>
      <c r="L342" s="41" t="s">
        <v>104</v>
      </c>
      <c r="M342" s="40" t="s">
        <v>846</v>
      </c>
      <c r="P342" s="40" t="s">
        <v>604</v>
      </c>
      <c r="Q342" s="41" t="s">
        <v>607</v>
      </c>
      <c r="R342" s="41" t="s">
        <v>102</v>
      </c>
      <c r="S342" s="41" t="s">
        <v>877</v>
      </c>
      <c r="T342" s="64">
        <v>45913</v>
      </c>
      <c r="V342" s="41" t="s">
        <v>2202</v>
      </c>
      <c r="W342" s="41" t="s">
        <v>2205</v>
      </c>
      <c r="Y342" s="42" t="s">
        <v>2206</v>
      </c>
      <c r="Z342" s="41" t="s">
        <v>171</v>
      </c>
      <c r="AA342" s="41" t="s">
        <v>1337</v>
      </c>
      <c r="AC342" s="41" t="s">
        <v>2175</v>
      </c>
    </row>
    <row r="343" spans="6:29" hidden="1" x14ac:dyDescent="0.35">
      <c r="F343" s="40" t="s">
        <v>1774</v>
      </c>
      <c r="G343" s="40" t="s">
        <v>603</v>
      </c>
      <c r="H343" s="40" t="s">
        <v>104</v>
      </c>
      <c r="I343" s="41" t="s">
        <v>104</v>
      </c>
      <c r="J343" s="41" t="s">
        <v>102</v>
      </c>
      <c r="K343" s="41" t="s">
        <v>104</v>
      </c>
      <c r="L343" s="41" t="s">
        <v>104</v>
      </c>
      <c r="M343" s="40" t="s">
        <v>850</v>
      </c>
      <c r="P343" s="40" t="s">
        <v>604</v>
      </c>
      <c r="Q343" s="41" t="s">
        <v>607</v>
      </c>
      <c r="R343" s="41" t="s">
        <v>102</v>
      </c>
      <c r="S343" s="41" t="s">
        <v>877</v>
      </c>
      <c r="T343" s="64">
        <v>45913</v>
      </c>
      <c r="V343" s="41" t="s">
        <v>2202</v>
      </c>
      <c r="W343" s="41" t="s">
        <v>2205</v>
      </c>
      <c r="Y343" s="42" t="s">
        <v>2206</v>
      </c>
      <c r="Z343" s="41" t="s">
        <v>171</v>
      </c>
      <c r="AA343" s="41" t="s">
        <v>1338</v>
      </c>
      <c r="AC343" s="41" t="s">
        <v>2175</v>
      </c>
    </row>
    <row r="344" spans="6:29" hidden="1" x14ac:dyDescent="0.35">
      <c r="F344" s="40" t="s">
        <v>1775</v>
      </c>
      <c r="G344" s="40" t="s">
        <v>603</v>
      </c>
      <c r="H344" s="40" t="s">
        <v>104</v>
      </c>
      <c r="I344" s="41" t="s">
        <v>104</v>
      </c>
      <c r="J344" s="41" t="s">
        <v>102</v>
      </c>
      <c r="K344" s="41" t="s">
        <v>104</v>
      </c>
      <c r="L344" s="41" t="s">
        <v>104</v>
      </c>
      <c r="M344" s="40" t="s">
        <v>842</v>
      </c>
      <c r="P344" s="40" t="s">
        <v>604</v>
      </c>
      <c r="Q344" s="41" t="s">
        <v>607</v>
      </c>
      <c r="R344" s="41" t="s">
        <v>102</v>
      </c>
      <c r="S344" s="41" t="s">
        <v>878</v>
      </c>
      <c r="T344" s="64">
        <v>45913</v>
      </c>
      <c r="V344" s="41" t="s">
        <v>2202</v>
      </c>
      <c r="W344" s="41" t="s">
        <v>2205</v>
      </c>
      <c r="Y344" s="42" t="s">
        <v>2206</v>
      </c>
      <c r="Z344" s="41" t="s">
        <v>171</v>
      </c>
      <c r="AA344" s="41" t="s">
        <v>1339</v>
      </c>
      <c r="AC344" s="41" t="s">
        <v>2175</v>
      </c>
    </row>
    <row r="345" spans="6:29" hidden="1" x14ac:dyDescent="0.35">
      <c r="F345" s="40" t="s">
        <v>1776</v>
      </c>
      <c r="G345" s="40" t="s">
        <v>603</v>
      </c>
      <c r="H345" s="40" t="s">
        <v>104</v>
      </c>
      <c r="I345" s="41" t="s">
        <v>104</v>
      </c>
      <c r="J345" s="41" t="s">
        <v>102</v>
      </c>
      <c r="K345" s="41" t="s">
        <v>104</v>
      </c>
      <c r="L345" s="41" t="s">
        <v>104</v>
      </c>
      <c r="M345" s="40" t="s">
        <v>846</v>
      </c>
      <c r="P345" s="40" t="s">
        <v>604</v>
      </c>
      <c r="Q345" s="41" t="s">
        <v>607</v>
      </c>
      <c r="R345" s="41" t="s">
        <v>102</v>
      </c>
      <c r="S345" s="41" t="s">
        <v>878</v>
      </c>
      <c r="T345" s="64">
        <v>45913</v>
      </c>
      <c r="V345" s="41" t="s">
        <v>2202</v>
      </c>
      <c r="W345" s="41" t="s">
        <v>2205</v>
      </c>
      <c r="Y345" s="42" t="s">
        <v>2206</v>
      </c>
      <c r="Z345" s="41" t="s">
        <v>171</v>
      </c>
      <c r="AA345" s="41" t="s">
        <v>1340</v>
      </c>
      <c r="AC345" s="41" t="s">
        <v>2175</v>
      </c>
    </row>
    <row r="346" spans="6:29" hidden="1" x14ac:dyDescent="0.35">
      <c r="F346" s="40" t="s">
        <v>1777</v>
      </c>
      <c r="G346" s="40" t="s">
        <v>603</v>
      </c>
      <c r="H346" s="40" t="s">
        <v>104</v>
      </c>
      <c r="I346" s="41" t="s">
        <v>104</v>
      </c>
      <c r="J346" s="41" t="s">
        <v>102</v>
      </c>
      <c r="K346" s="41" t="s">
        <v>104</v>
      </c>
      <c r="L346" s="41" t="s">
        <v>104</v>
      </c>
      <c r="M346" s="40" t="s">
        <v>850</v>
      </c>
      <c r="P346" s="40" t="s">
        <v>604</v>
      </c>
      <c r="Q346" s="41" t="s">
        <v>607</v>
      </c>
      <c r="R346" s="41" t="s">
        <v>102</v>
      </c>
      <c r="S346" s="41" t="s">
        <v>878</v>
      </c>
      <c r="T346" s="64">
        <v>45913</v>
      </c>
      <c r="V346" s="41" t="s">
        <v>2202</v>
      </c>
      <c r="W346" s="41" t="s">
        <v>2205</v>
      </c>
      <c r="Y346" s="42" t="s">
        <v>2206</v>
      </c>
      <c r="Z346" s="41" t="s">
        <v>171</v>
      </c>
      <c r="AA346" s="41" t="s">
        <v>1341</v>
      </c>
      <c r="AC346" s="41" t="s">
        <v>2175</v>
      </c>
    </row>
    <row r="347" spans="6:29" hidden="1" x14ac:dyDescent="0.35">
      <c r="F347" s="40" t="s">
        <v>1778</v>
      </c>
      <c r="G347" s="40" t="s">
        <v>603</v>
      </c>
      <c r="H347" s="40" t="s">
        <v>104</v>
      </c>
      <c r="I347" s="41" t="s">
        <v>104</v>
      </c>
      <c r="J347" s="41" t="s">
        <v>102</v>
      </c>
      <c r="K347" s="41" t="s">
        <v>104</v>
      </c>
      <c r="L347" s="41" t="s">
        <v>104</v>
      </c>
      <c r="M347" s="40" t="s">
        <v>842</v>
      </c>
      <c r="P347" s="40" t="s">
        <v>604</v>
      </c>
      <c r="Q347" s="41" t="s">
        <v>607</v>
      </c>
      <c r="R347" s="41" t="s">
        <v>102</v>
      </c>
      <c r="S347" s="41" t="s">
        <v>879</v>
      </c>
      <c r="T347" s="64">
        <v>45913</v>
      </c>
      <c r="V347" s="41" t="s">
        <v>2202</v>
      </c>
      <c r="W347" s="41" t="s">
        <v>2205</v>
      </c>
      <c r="Y347" s="42" t="s">
        <v>2206</v>
      </c>
      <c r="Z347" s="41" t="s">
        <v>171</v>
      </c>
      <c r="AA347" s="41" t="s">
        <v>1342</v>
      </c>
      <c r="AC347" s="41" t="s">
        <v>2175</v>
      </c>
    </row>
    <row r="348" spans="6:29" hidden="1" x14ac:dyDescent="0.35">
      <c r="F348" s="40" t="s">
        <v>1779</v>
      </c>
      <c r="G348" s="40" t="s">
        <v>603</v>
      </c>
      <c r="H348" s="40" t="s">
        <v>104</v>
      </c>
      <c r="I348" s="41" t="s">
        <v>104</v>
      </c>
      <c r="J348" s="41" t="s">
        <v>102</v>
      </c>
      <c r="K348" s="41" t="s">
        <v>104</v>
      </c>
      <c r="L348" s="41" t="s">
        <v>104</v>
      </c>
      <c r="M348" s="40" t="s">
        <v>846</v>
      </c>
      <c r="P348" s="40" t="s">
        <v>604</v>
      </c>
      <c r="Q348" s="41" t="s">
        <v>607</v>
      </c>
      <c r="R348" s="41" t="s">
        <v>102</v>
      </c>
      <c r="S348" s="41" t="s">
        <v>879</v>
      </c>
      <c r="T348" s="64">
        <v>45913</v>
      </c>
      <c r="V348" s="41" t="s">
        <v>2202</v>
      </c>
      <c r="W348" s="41" t="s">
        <v>2205</v>
      </c>
      <c r="Y348" s="42" t="s">
        <v>2206</v>
      </c>
      <c r="Z348" s="41" t="s">
        <v>171</v>
      </c>
      <c r="AA348" s="41" t="s">
        <v>1343</v>
      </c>
      <c r="AC348" s="41" t="s">
        <v>2175</v>
      </c>
    </row>
    <row r="349" spans="6:29" hidden="1" x14ac:dyDescent="0.35">
      <c r="F349" s="40" t="s">
        <v>1780</v>
      </c>
      <c r="G349" s="40" t="s">
        <v>603</v>
      </c>
      <c r="H349" s="40" t="s">
        <v>104</v>
      </c>
      <c r="I349" s="41" t="s">
        <v>104</v>
      </c>
      <c r="J349" s="41" t="s">
        <v>102</v>
      </c>
      <c r="K349" s="41" t="s">
        <v>104</v>
      </c>
      <c r="L349" s="41" t="s">
        <v>104</v>
      </c>
      <c r="M349" s="40" t="s">
        <v>850</v>
      </c>
      <c r="P349" s="40" t="s">
        <v>604</v>
      </c>
      <c r="Q349" s="41" t="s">
        <v>607</v>
      </c>
      <c r="R349" s="41" t="s">
        <v>102</v>
      </c>
      <c r="S349" s="41" t="s">
        <v>879</v>
      </c>
      <c r="T349" s="64">
        <v>45913</v>
      </c>
      <c r="V349" s="41" t="s">
        <v>2202</v>
      </c>
      <c r="W349" s="41" t="s">
        <v>2205</v>
      </c>
      <c r="Y349" s="42" t="s">
        <v>2206</v>
      </c>
      <c r="Z349" s="41" t="s">
        <v>171</v>
      </c>
      <c r="AA349" s="41" t="s">
        <v>1344</v>
      </c>
      <c r="AC349" s="41" t="s">
        <v>2175</v>
      </c>
    </row>
    <row r="350" spans="6:29" hidden="1" x14ac:dyDescent="0.35">
      <c r="F350" s="40" t="s">
        <v>1781</v>
      </c>
      <c r="G350" s="40" t="s">
        <v>603</v>
      </c>
      <c r="H350" s="40" t="s">
        <v>104</v>
      </c>
      <c r="I350" s="41" t="s">
        <v>104</v>
      </c>
      <c r="J350" s="41" t="s">
        <v>102</v>
      </c>
      <c r="K350" s="41" t="s">
        <v>104</v>
      </c>
      <c r="L350" s="41" t="s">
        <v>104</v>
      </c>
      <c r="M350" s="40" t="s">
        <v>842</v>
      </c>
      <c r="P350" s="40" t="s">
        <v>604</v>
      </c>
      <c r="Q350" s="41" t="s">
        <v>607</v>
      </c>
      <c r="R350" s="41" t="s">
        <v>102</v>
      </c>
      <c r="S350" s="41" t="s">
        <v>880</v>
      </c>
      <c r="T350" s="64">
        <v>45913</v>
      </c>
      <c r="V350" s="41" t="s">
        <v>2202</v>
      </c>
      <c r="W350" s="41" t="s">
        <v>2205</v>
      </c>
      <c r="Y350" s="42" t="s">
        <v>2206</v>
      </c>
      <c r="Z350" s="41" t="s">
        <v>171</v>
      </c>
      <c r="AA350" s="41" t="s">
        <v>1345</v>
      </c>
      <c r="AC350" s="41" t="s">
        <v>2175</v>
      </c>
    </row>
    <row r="351" spans="6:29" hidden="1" x14ac:dyDescent="0.35">
      <c r="F351" s="40" t="s">
        <v>1782</v>
      </c>
      <c r="G351" s="40" t="s">
        <v>603</v>
      </c>
      <c r="H351" s="40" t="s">
        <v>104</v>
      </c>
      <c r="I351" s="41" t="s">
        <v>104</v>
      </c>
      <c r="J351" s="41" t="s">
        <v>102</v>
      </c>
      <c r="K351" s="41" t="s">
        <v>104</v>
      </c>
      <c r="L351" s="41" t="s">
        <v>104</v>
      </c>
      <c r="M351" s="40" t="s">
        <v>846</v>
      </c>
      <c r="P351" s="40" t="s">
        <v>604</v>
      </c>
      <c r="Q351" s="41" t="s">
        <v>607</v>
      </c>
      <c r="R351" s="41" t="s">
        <v>102</v>
      </c>
      <c r="S351" s="41" t="s">
        <v>880</v>
      </c>
      <c r="T351" s="64">
        <v>45913</v>
      </c>
      <c r="V351" s="41" t="s">
        <v>2202</v>
      </c>
      <c r="W351" s="41" t="s">
        <v>2205</v>
      </c>
      <c r="Y351" s="42" t="s">
        <v>2206</v>
      </c>
      <c r="Z351" s="41" t="s">
        <v>171</v>
      </c>
      <c r="AA351" s="41" t="s">
        <v>1346</v>
      </c>
      <c r="AC351" s="41" t="s">
        <v>2175</v>
      </c>
    </row>
    <row r="352" spans="6:29" hidden="1" x14ac:dyDescent="0.35">
      <c r="F352" s="40" t="s">
        <v>1783</v>
      </c>
      <c r="G352" s="40" t="s">
        <v>603</v>
      </c>
      <c r="H352" s="40" t="s">
        <v>104</v>
      </c>
      <c r="I352" s="41" t="s">
        <v>104</v>
      </c>
      <c r="J352" s="41" t="s">
        <v>102</v>
      </c>
      <c r="K352" s="41" t="s">
        <v>104</v>
      </c>
      <c r="L352" s="41" t="s">
        <v>104</v>
      </c>
      <c r="M352" s="40" t="s">
        <v>850</v>
      </c>
      <c r="P352" s="40" t="s">
        <v>604</v>
      </c>
      <c r="Q352" s="41" t="s">
        <v>607</v>
      </c>
      <c r="R352" s="41" t="s">
        <v>102</v>
      </c>
      <c r="S352" s="41" t="s">
        <v>880</v>
      </c>
      <c r="T352" s="64">
        <v>45913</v>
      </c>
      <c r="V352" s="41" t="s">
        <v>2202</v>
      </c>
      <c r="W352" s="41" t="s">
        <v>2205</v>
      </c>
      <c r="Y352" s="42" t="s">
        <v>2206</v>
      </c>
      <c r="Z352" s="41" t="s">
        <v>171</v>
      </c>
      <c r="AA352" s="41" t="s">
        <v>1347</v>
      </c>
      <c r="AC352" s="41" t="s">
        <v>2175</v>
      </c>
    </row>
    <row r="353" spans="6:29" hidden="1" x14ac:dyDescent="0.35">
      <c r="F353" s="40" t="s">
        <v>1784</v>
      </c>
      <c r="G353" s="40" t="s">
        <v>603</v>
      </c>
      <c r="H353" s="40" t="s">
        <v>104</v>
      </c>
      <c r="I353" s="41" t="s">
        <v>104</v>
      </c>
      <c r="J353" s="41" t="s">
        <v>102</v>
      </c>
      <c r="K353" s="41" t="s">
        <v>104</v>
      </c>
      <c r="L353" s="41" t="s">
        <v>104</v>
      </c>
      <c r="M353" s="40" t="s">
        <v>842</v>
      </c>
      <c r="P353" s="40" t="s">
        <v>604</v>
      </c>
      <c r="Q353" s="41" t="s">
        <v>607</v>
      </c>
      <c r="R353" s="41" t="s">
        <v>102</v>
      </c>
      <c r="S353" s="41" t="s">
        <v>881</v>
      </c>
      <c r="T353" s="64">
        <v>45913</v>
      </c>
      <c r="V353" s="41" t="s">
        <v>2202</v>
      </c>
      <c r="W353" s="41" t="s">
        <v>2205</v>
      </c>
      <c r="Y353" s="42" t="s">
        <v>2206</v>
      </c>
      <c r="Z353" s="41" t="s">
        <v>171</v>
      </c>
      <c r="AA353" s="41" t="s">
        <v>1348</v>
      </c>
      <c r="AC353" s="41" t="s">
        <v>2175</v>
      </c>
    </row>
    <row r="354" spans="6:29" hidden="1" x14ac:dyDescent="0.35">
      <c r="F354" s="40" t="s">
        <v>1785</v>
      </c>
      <c r="G354" s="40" t="s">
        <v>603</v>
      </c>
      <c r="H354" s="40" t="s">
        <v>104</v>
      </c>
      <c r="I354" s="41" t="s">
        <v>104</v>
      </c>
      <c r="J354" s="41" t="s">
        <v>102</v>
      </c>
      <c r="K354" s="41" t="s">
        <v>104</v>
      </c>
      <c r="L354" s="41" t="s">
        <v>104</v>
      </c>
      <c r="M354" s="40" t="s">
        <v>846</v>
      </c>
      <c r="P354" s="40" t="s">
        <v>604</v>
      </c>
      <c r="Q354" s="41" t="s">
        <v>607</v>
      </c>
      <c r="R354" s="41" t="s">
        <v>102</v>
      </c>
      <c r="S354" s="41" t="s">
        <v>881</v>
      </c>
      <c r="T354" s="64">
        <v>45913</v>
      </c>
      <c r="V354" s="41" t="s">
        <v>2202</v>
      </c>
      <c r="W354" s="41" t="s">
        <v>2205</v>
      </c>
      <c r="Y354" s="42" t="s">
        <v>2206</v>
      </c>
      <c r="Z354" s="41" t="s">
        <v>171</v>
      </c>
      <c r="AA354" s="41" t="s">
        <v>1349</v>
      </c>
      <c r="AC354" s="41" t="s">
        <v>2175</v>
      </c>
    </row>
    <row r="355" spans="6:29" hidden="1" x14ac:dyDescent="0.35">
      <c r="F355" s="40" t="s">
        <v>1786</v>
      </c>
      <c r="G355" s="40" t="s">
        <v>603</v>
      </c>
      <c r="H355" s="40" t="s">
        <v>104</v>
      </c>
      <c r="I355" s="41" t="s">
        <v>104</v>
      </c>
      <c r="J355" s="41" t="s">
        <v>102</v>
      </c>
      <c r="K355" s="41" t="s">
        <v>104</v>
      </c>
      <c r="L355" s="41" t="s">
        <v>104</v>
      </c>
      <c r="M355" s="40" t="s">
        <v>850</v>
      </c>
      <c r="P355" s="40" t="s">
        <v>604</v>
      </c>
      <c r="Q355" s="41" t="s">
        <v>607</v>
      </c>
      <c r="R355" s="41" t="s">
        <v>102</v>
      </c>
      <c r="S355" s="41" t="s">
        <v>881</v>
      </c>
      <c r="T355" s="64">
        <v>45913</v>
      </c>
      <c r="V355" s="41" t="s">
        <v>2202</v>
      </c>
      <c r="W355" s="41" t="s">
        <v>2205</v>
      </c>
      <c r="Y355" s="42" t="s">
        <v>2206</v>
      </c>
      <c r="Z355" s="41" t="s">
        <v>171</v>
      </c>
      <c r="AA355" s="41" t="s">
        <v>1350</v>
      </c>
      <c r="AC355" s="41" t="s">
        <v>2175</v>
      </c>
    </row>
    <row r="356" spans="6:29" hidden="1" x14ac:dyDescent="0.35">
      <c r="F356" s="40" t="s">
        <v>1787</v>
      </c>
      <c r="G356" s="40" t="s">
        <v>603</v>
      </c>
      <c r="H356" s="40" t="s">
        <v>104</v>
      </c>
      <c r="I356" s="41" t="s">
        <v>104</v>
      </c>
      <c r="J356" s="41" t="s">
        <v>102</v>
      </c>
      <c r="K356" s="41" t="s">
        <v>104</v>
      </c>
      <c r="L356" s="41" t="s">
        <v>104</v>
      </c>
      <c r="M356" s="40" t="s">
        <v>842</v>
      </c>
      <c r="P356" s="40" t="s">
        <v>604</v>
      </c>
      <c r="Q356" s="41" t="s">
        <v>607</v>
      </c>
      <c r="R356" s="41" t="s">
        <v>102</v>
      </c>
      <c r="S356" s="41" t="s">
        <v>882</v>
      </c>
      <c r="T356" s="64">
        <v>45913</v>
      </c>
      <c r="V356" s="41" t="s">
        <v>2202</v>
      </c>
      <c r="W356" s="41" t="s">
        <v>2205</v>
      </c>
      <c r="Y356" s="42" t="s">
        <v>2206</v>
      </c>
      <c r="Z356" s="41" t="s">
        <v>171</v>
      </c>
      <c r="AA356" s="41" t="s">
        <v>1351</v>
      </c>
      <c r="AC356" s="41" t="s">
        <v>2175</v>
      </c>
    </row>
    <row r="357" spans="6:29" hidden="1" x14ac:dyDescent="0.35">
      <c r="F357" s="40" t="s">
        <v>1788</v>
      </c>
      <c r="G357" s="40" t="s">
        <v>603</v>
      </c>
      <c r="H357" s="40" t="s">
        <v>104</v>
      </c>
      <c r="I357" s="41" t="s">
        <v>104</v>
      </c>
      <c r="J357" s="41" t="s">
        <v>102</v>
      </c>
      <c r="K357" s="41" t="s">
        <v>104</v>
      </c>
      <c r="L357" s="41" t="s">
        <v>104</v>
      </c>
      <c r="M357" s="40" t="s">
        <v>846</v>
      </c>
      <c r="P357" s="40" t="s">
        <v>604</v>
      </c>
      <c r="Q357" s="41" t="s">
        <v>607</v>
      </c>
      <c r="R357" s="41" t="s">
        <v>102</v>
      </c>
      <c r="S357" s="41" t="s">
        <v>882</v>
      </c>
      <c r="T357" s="64">
        <v>45913</v>
      </c>
      <c r="V357" s="41" t="s">
        <v>2202</v>
      </c>
      <c r="W357" s="41" t="s">
        <v>2205</v>
      </c>
      <c r="Y357" s="42" t="s">
        <v>2206</v>
      </c>
      <c r="Z357" s="41" t="s">
        <v>171</v>
      </c>
      <c r="AA357" s="41" t="s">
        <v>1352</v>
      </c>
      <c r="AC357" s="41" t="s">
        <v>2175</v>
      </c>
    </row>
    <row r="358" spans="6:29" hidden="1" x14ac:dyDescent="0.35">
      <c r="F358" s="40" t="s">
        <v>1789</v>
      </c>
      <c r="G358" s="40" t="s">
        <v>603</v>
      </c>
      <c r="H358" s="40" t="s">
        <v>104</v>
      </c>
      <c r="I358" s="41" t="s">
        <v>104</v>
      </c>
      <c r="J358" s="41" t="s">
        <v>102</v>
      </c>
      <c r="K358" s="41" t="s">
        <v>104</v>
      </c>
      <c r="L358" s="41" t="s">
        <v>104</v>
      </c>
      <c r="M358" s="40" t="s">
        <v>850</v>
      </c>
      <c r="P358" s="40" t="s">
        <v>604</v>
      </c>
      <c r="Q358" s="41" t="s">
        <v>607</v>
      </c>
      <c r="R358" s="41" t="s">
        <v>102</v>
      </c>
      <c r="S358" s="41" t="s">
        <v>882</v>
      </c>
      <c r="T358" s="64">
        <v>45913</v>
      </c>
      <c r="V358" s="41" t="s">
        <v>2202</v>
      </c>
      <c r="W358" s="41" t="s">
        <v>2205</v>
      </c>
      <c r="Y358" s="42" t="s">
        <v>2206</v>
      </c>
      <c r="Z358" s="41" t="s">
        <v>171</v>
      </c>
      <c r="AA358" s="41" t="s">
        <v>1353</v>
      </c>
      <c r="AC358" s="41" t="s">
        <v>2175</v>
      </c>
    </row>
    <row r="359" spans="6:29" hidden="1" x14ac:dyDescent="0.35">
      <c r="F359" s="40" t="s">
        <v>1790</v>
      </c>
      <c r="G359" s="40" t="s">
        <v>603</v>
      </c>
      <c r="H359" s="40" t="s">
        <v>104</v>
      </c>
      <c r="I359" s="41" t="s">
        <v>104</v>
      </c>
      <c r="J359" s="41" t="s">
        <v>102</v>
      </c>
      <c r="K359" s="41" t="s">
        <v>104</v>
      </c>
      <c r="L359" s="41" t="s">
        <v>104</v>
      </c>
      <c r="M359" s="40" t="s">
        <v>842</v>
      </c>
      <c r="P359" s="40" t="s">
        <v>604</v>
      </c>
      <c r="Q359" s="41" t="s">
        <v>607</v>
      </c>
      <c r="R359" s="41" t="s">
        <v>102</v>
      </c>
      <c r="S359" s="41" t="s">
        <v>883</v>
      </c>
      <c r="T359" s="64">
        <v>45913</v>
      </c>
      <c r="V359" s="41" t="s">
        <v>2202</v>
      </c>
      <c r="W359" s="41" t="s">
        <v>2205</v>
      </c>
      <c r="Y359" s="42" t="s">
        <v>2206</v>
      </c>
      <c r="Z359" s="41" t="s">
        <v>171</v>
      </c>
      <c r="AA359" s="41" t="s">
        <v>1354</v>
      </c>
      <c r="AC359" s="41" t="s">
        <v>2175</v>
      </c>
    </row>
    <row r="360" spans="6:29" hidden="1" x14ac:dyDescent="0.35">
      <c r="F360" s="40" t="s">
        <v>1791</v>
      </c>
      <c r="G360" s="40" t="s">
        <v>603</v>
      </c>
      <c r="H360" s="40" t="s">
        <v>104</v>
      </c>
      <c r="I360" s="41" t="s">
        <v>104</v>
      </c>
      <c r="J360" s="41" t="s">
        <v>102</v>
      </c>
      <c r="K360" s="41" t="s">
        <v>104</v>
      </c>
      <c r="L360" s="41" t="s">
        <v>104</v>
      </c>
      <c r="M360" s="40" t="s">
        <v>846</v>
      </c>
      <c r="P360" s="40" t="s">
        <v>604</v>
      </c>
      <c r="Q360" s="41" t="s">
        <v>607</v>
      </c>
      <c r="R360" s="41" t="s">
        <v>102</v>
      </c>
      <c r="S360" s="41" t="s">
        <v>883</v>
      </c>
      <c r="T360" s="64">
        <v>45913</v>
      </c>
      <c r="V360" s="41" t="s">
        <v>2202</v>
      </c>
      <c r="W360" s="41" t="s">
        <v>2205</v>
      </c>
      <c r="Y360" s="42" t="s">
        <v>2206</v>
      </c>
      <c r="Z360" s="41" t="s">
        <v>171</v>
      </c>
      <c r="AA360" s="41" t="s">
        <v>1355</v>
      </c>
      <c r="AC360" s="41" t="s">
        <v>2175</v>
      </c>
    </row>
    <row r="361" spans="6:29" hidden="1" x14ac:dyDescent="0.35">
      <c r="F361" s="40" t="s">
        <v>1792</v>
      </c>
      <c r="G361" s="40" t="s">
        <v>603</v>
      </c>
      <c r="H361" s="40" t="s">
        <v>104</v>
      </c>
      <c r="I361" s="41" t="s">
        <v>104</v>
      </c>
      <c r="J361" s="41" t="s">
        <v>102</v>
      </c>
      <c r="K361" s="41" t="s">
        <v>104</v>
      </c>
      <c r="L361" s="41" t="s">
        <v>104</v>
      </c>
      <c r="M361" s="40" t="s">
        <v>850</v>
      </c>
      <c r="P361" s="40" t="s">
        <v>604</v>
      </c>
      <c r="Q361" s="41" t="s">
        <v>607</v>
      </c>
      <c r="R361" s="41" t="s">
        <v>102</v>
      </c>
      <c r="S361" s="41" t="s">
        <v>883</v>
      </c>
      <c r="T361" s="64">
        <v>45913</v>
      </c>
      <c r="V361" s="41" t="s">
        <v>2202</v>
      </c>
      <c r="W361" s="41" t="s">
        <v>2205</v>
      </c>
      <c r="Y361" s="42" t="s">
        <v>2206</v>
      </c>
      <c r="Z361" s="41" t="s">
        <v>171</v>
      </c>
      <c r="AA361" s="41" t="s">
        <v>1356</v>
      </c>
      <c r="AC361" s="41" t="s">
        <v>2175</v>
      </c>
    </row>
    <row r="362" spans="6:29" hidden="1" x14ac:dyDescent="0.35">
      <c r="F362" s="40" t="s">
        <v>1793</v>
      </c>
      <c r="G362" s="40" t="s">
        <v>603</v>
      </c>
      <c r="H362" s="40" t="s">
        <v>104</v>
      </c>
      <c r="I362" s="41" t="s">
        <v>104</v>
      </c>
      <c r="J362" s="41" t="s">
        <v>102</v>
      </c>
      <c r="K362" s="41" t="s">
        <v>104</v>
      </c>
      <c r="L362" s="41" t="s">
        <v>104</v>
      </c>
      <c r="M362" s="40" t="s">
        <v>842</v>
      </c>
      <c r="P362" s="40" t="s">
        <v>604</v>
      </c>
      <c r="Q362" s="41" t="s">
        <v>607</v>
      </c>
      <c r="R362" s="41" t="s">
        <v>102</v>
      </c>
      <c r="S362" s="41" t="s">
        <v>884</v>
      </c>
      <c r="T362" s="64">
        <v>45913</v>
      </c>
      <c r="V362" s="41" t="s">
        <v>2202</v>
      </c>
      <c r="W362" s="41" t="s">
        <v>2205</v>
      </c>
      <c r="Y362" s="42" t="s">
        <v>2206</v>
      </c>
      <c r="Z362" s="41" t="s">
        <v>171</v>
      </c>
      <c r="AA362" s="41" t="s">
        <v>1357</v>
      </c>
      <c r="AC362" s="41" t="s">
        <v>2175</v>
      </c>
    </row>
    <row r="363" spans="6:29" hidden="1" x14ac:dyDescent="0.35">
      <c r="F363" s="40" t="s">
        <v>1794</v>
      </c>
      <c r="G363" s="40" t="s">
        <v>603</v>
      </c>
      <c r="H363" s="40" t="s">
        <v>104</v>
      </c>
      <c r="I363" s="41" t="s">
        <v>104</v>
      </c>
      <c r="J363" s="41" t="s">
        <v>102</v>
      </c>
      <c r="K363" s="41" t="s">
        <v>104</v>
      </c>
      <c r="L363" s="41" t="s">
        <v>104</v>
      </c>
      <c r="M363" s="40" t="s">
        <v>846</v>
      </c>
      <c r="P363" s="40" t="s">
        <v>604</v>
      </c>
      <c r="Q363" s="41" t="s">
        <v>607</v>
      </c>
      <c r="R363" s="41" t="s">
        <v>102</v>
      </c>
      <c r="S363" s="41" t="s">
        <v>884</v>
      </c>
      <c r="T363" s="64">
        <v>45913</v>
      </c>
      <c r="V363" s="41" t="s">
        <v>2202</v>
      </c>
      <c r="W363" s="41" t="s">
        <v>2205</v>
      </c>
      <c r="Y363" s="42" t="s">
        <v>2206</v>
      </c>
      <c r="Z363" s="41" t="s">
        <v>171</v>
      </c>
      <c r="AA363" s="41" t="s">
        <v>1358</v>
      </c>
      <c r="AC363" s="41" t="s">
        <v>2175</v>
      </c>
    </row>
    <row r="364" spans="6:29" hidden="1" x14ac:dyDescent="0.35">
      <c r="F364" s="40" t="s">
        <v>1795</v>
      </c>
      <c r="G364" s="40" t="s">
        <v>603</v>
      </c>
      <c r="H364" s="40" t="s">
        <v>104</v>
      </c>
      <c r="I364" s="41" t="s">
        <v>104</v>
      </c>
      <c r="J364" s="41" t="s">
        <v>102</v>
      </c>
      <c r="K364" s="41" t="s">
        <v>104</v>
      </c>
      <c r="L364" s="41" t="s">
        <v>104</v>
      </c>
      <c r="M364" s="40" t="s">
        <v>850</v>
      </c>
      <c r="P364" s="40" t="s">
        <v>604</v>
      </c>
      <c r="Q364" s="41" t="s">
        <v>607</v>
      </c>
      <c r="R364" s="41" t="s">
        <v>102</v>
      </c>
      <c r="S364" s="41" t="s">
        <v>884</v>
      </c>
      <c r="T364" s="64">
        <v>45913</v>
      </c>
      <c r="V364" s="41" t="s">
        <v>2202</v>
      </c>
      <c r="W364" s="41" t="s">
        <v>2205</v>
      </c>
      <c r="Y364" s="42" t="s">
        <v>2206</v>
      </c>
      <c r="Z364" s="41" t="s">
        <v>171</v>
      </c>
      <c r="AA364" s="41" t="s">
        <v>1359</v>
      </c>
      <c r="AC364" s="41" t="s">
        <v>2175</v>
      </c>
    </row>
    <row r="365" spans="6:29" hidden="1" x14ac:dyDescent="0.35">
      <c r="F365" s="40" t="s">
        <v>1796</v>
      </c>
      <c r="G365" s="40" t="s">
        <v>603</v>
      </c>
      <c r="H365" s="40" t="s">
        <v>104</v>
      </c>
      <c r="I365" s="41" t="s">
        <v>104</v>
      </c>
      <c r="J365" s="41" t="s">
        <v>102</v>
      </c>
      <c r="K365" s="41" t="s">
        <v>104</v>
      </c>
      <c r="L365" s="41" t="s">
        <v>104</v>
      </c>
      <c r="M365" s="40" t="s">
        <v>842</v>
      </c>
      <c r="P365" s="40" t="s">
        <v>604</v>
      </c>
      <c r="Q365" s="41" t="s">
        <v>607</v>
      </c>
      <c r="R365" s="41" t="s">
        <v>102</v>
      </c>
      <c r="S365" s="41" t="s">
        <v>885</v>
      </c>
      <c r="T365" s="64">
        <v>45913</v>
      </c>
      <c r="V365" s="41" t="s">
        <v>2202</v>
      </c>
      <c r="W365" s="41" t="s">
        <v>2205</v>
      </c>
      <c r="Y365" s="42" t="s">
        <v>2206</v>
      </c>
      <c r="Z365" s="41" t="s">
        <v>171</v>
      </c>
      <c r="AA365" s="41" t="s">
        <v>1360</v>
      </c>
      <c r="AC365" s="41" t="s">
        <v>2175</v>
      </c>
    </row>
    <row r="366" spans="6:29" hidden="1" x14ac:dyDescent="0.35">
      <c r="F366" s="40" t="s">
        <v>1797</v>
      </c>
      <c r="G366" s="40" t="s">
        <v>603</v>
      </c>
      <c r="H366" s="40" t="s">
        <v>104</v>
      </c>
      <c r="I366" s="41" t="s">
        <v>104</v>
      </c>
      <c r="J366" s="41" t="s">
        <v>102</v>
      </c>
      <c r="K366" s="41" t="s">
        <v>104</v>
      </c>
      <c r="L366" s="41" t="s">
        <v>104</v>
      </c>
      <c r="M366" s="40" t="s">
        <v>846</v>
      </c>
      <c r="P366" s="40" t="s">
        <v>604</v>
      </c>
      <c r="Q366" s="41" t="s">
        <v>607</v>
      </c>
      <c r="R366" s="41" t="s">
        <v>102</v>
      </c>
      <c r="S366" s="41" t="s">
        <v>885</v>
      </c>
      <c r="T366" s="64">
        <v>45913</v>
      </c>
      <c r="V366" s="41" t="s">
        <v>2202</v>
      </c>
      <c r="W366" s="41" t="s">
        <v>2205</v>
      </c>
      <c r="Y366" s="42" t="s">
        <v>2206</v>
      </c>
      <c r="Z366" s="41" t="s">
        <v>171</v>
      </c>
      <c r="AA366" s="41" t="s">
        <v>1361</v>
      </c>
      <c r="AC366" s="41" t="s">
        <v>2175</v>
      </c>
    </row>
    <row r="367" spans="6:29" hidden="1" x14ac:dyDescent="0.35">
      <c r="F367" s="40" t="s">
        <v>1798</v>
      </c>
      <c r="G367" s="40" t="s">
        <v>603</v>
      </c>
      <c r="H367" s="40" t="s">
        <v>104</v>
      </c>
      <c r="I367" s="41" t="s">
        <v>104</v>
      </c>
      <c r="J367" s="41" t="s">
        <v>102</v>
      </c>
      <c r="K367" s="41" t="s">
        <v>104</v>
      </c>
      <c r="L367" s="41" t="s">
        <v>104</v>
      </c>
      <c r="M367" s="40" t="s">
        <v>850</v>
      </c>
      <c r="P367" s="40" t="s">
        <v>604</v>
      </c>
      <c r="Q367" s="41" t="s">
        <v>607</v>
      </c>
      <c r="R367" s="41" t="s">
        <v>102</v>
      </c>
      <c r="S367" s="41" t="s">
        <v>885</v>
      </c>
      <c r="T367" s="64">
        <v>45913</v>
      </c>
      <c r="V367" s="41" t="s">
        <v>2202</v>
      </c>
      <c r="W367" s="41" t="s">
        <v>2205</v>
      </c>
      <c r="Y367" s="42" t="s">
        <v>2206</v>
      </c>
      <c r="Z367" s="41" t="s">
        <v>171</v>
      </c>
      <c r="AA367" s="41" t="s">
        <v>1362</v>
      </c>
      <c r="AC367" s="41" t="s">
        <v>2175</v>
      </c>
    </row>
    <row r="368" spans="6:29" hidden="1" x14ac:dyDescent="0.35">
      <c r="F368" s="40" t="s">
        <v>1799</v>
      </c>
      <c r="G368" s="40" t="s">
        <v>603</v>
      </c>
      <c r="H368" s="40" t="s">
        <v>104</v>
      </c>
      <c r="I368" s="41" t="s">
        <v>104</v>
      </c>
      <c r="J368" s="41" t="s">
        <v>102</v>
      </c>
      <c r="K368" s="41" t="s">
        <v>104</v>
      </c>
      <c r="L368" s="41" t="s">
        <v>104</v>
      </c>
      <c r="M368" s="40" t="s">
        <v>854</v>
      </c>
      <c r="P368" s="40" t="s">
        <v>604</v>
      </c>
      <c r="Q368" s="41" t="s">
        <v>607</v>
      </c>
      <c r="R368" s="41" t="s">
        <v>102</v>
      </c>
      <c r="S368" s="41" t="s">
        <v>885</v>
      </c>
      <c r="T368" s="64">
        <v>45913</v>
      </c>
      <c r="V368" s="41" t="s">
        <v>2202</v>
      </c>
      <c r="W368" s="41" t="s">
        <v>2205</v>
      </c>
      <c r="Y368" s="42" t="s">
        <v>2206</v>
      </c>
      <c r="Z368" s="41" t="s">
        <v>171</v>
      </c>
      <c r="AA368" s="41" t="s">
        <v>1363</v>
      </c>
      <c r="AC368" s="41" t="s">
        <v>2175</v>
      </c>
    </row>
    <row r="369" spans="6:29" hidden="1" x14ac:dyDescent="0.35">
      <c r="F369" s="40" t="s">
        <v>1800</v>
      </c>
      <c r="G369" s="40" t="s">
        <v>603</v>
      </c>
      <c r="H369" s="40" t="s">
        <v>104</v>
      </c>
      <c r="I369" s="41" t="s">
        <v>104</v>
      </c>
      <c r="J369" s="41" t="s">
        <v>102</v>
      </c>
      <c r="K369" s="41" t="s">
        <v>104</v>
      </c>
      <c r="L369" s="41" t="s">
        <v>104</v>
      </c>
      <c r="M369" s="40" t="s">
        <v>842</v>
      </c>
      <c r="P369" s="40" t="s">
        <v>604</v>
      </c>
      <c r="Q369" s="41" t="s">
        <v>607</v>
      </c>
      <c r="R369" s="41" t="s">
        <v>102</v>
      </c>
      <c r="S369" s="41" t="s">
        <v>886</v>
      </c>
      <c r="T369" s="64">
        <v>45913</v>
      </c>
      <c r="V369" s="41" t="s">
        <v>2202</v>
      </c>
      <c r="W369" s="41" t="s">
        <v>2205</v>
      </c>
      <c r="Y369" s="42" t="s">
        <v>2206</v>
      </c>
      <c r="Z369" s="41" t="s">
        <v>171</v>
      </c>
      <c r="AA369" s="41" t="s">
        <v>1364</v>
      </c>
      <c r="AC369" s="41" t="s">
        <v>2175</v>
      </c>
    </row>
    <row r="370" spans="6:29" hidden="1" x14ac:dyDescent="0.35">
      <c r="F370" s="40" t="s">
        <v>1801</v>
      </c>
      <c r="G370" s="40" t="s">
        <v>603</v>
      </c>
      <c r="H370" s="40" t="s">
        <v>104</v>
      </c>
      <c r="I370" s="41" t="s">
        <v>104</v>
      </c>
      <c r="J370" s="41" t="s">
        <v>102</v>
      </c>
      <c r="K370" s="41" t="s">
        <v>104</v>
      </c>
      <c r="L370" s="41" t="s">
        <v>104</v>
      </c>
      <c r="M370" s="40" t="s">
        <v>846</v>
      </c>
      <c r="P370" s="40" t="s">
        <v>604</v>
      </c>
      <c r="Q370" s="41" t="s">
        <v>607</v>
      </c>
      <c r="R370" s="41" t="s">
        <v>102</v>
      </c>
      <c r="S370" s="41" t="s">
        <v>886</v>
      </c>
      <c r="T370" s="64">
        <v>45913</v>
      </c>
      <c r="V370" s="41" t="s">
        <v>2202</v>
      </c>
      <c r="W370" s="41" t="s">
        <v>2205</v>
      </c>
      <c r="Y370" s="42" t="s">
        <v>2206</v>
      </c>
      <c r="Z370" s="41" t="s">
        <v>171</v>
      </c>
      <c r="AA370" s="41" t="s">
        <v>1365</v>
      </c>
      <c r="AC370" s="41" t="s">
        <v>2175</v>
      </c>
    </row>
    <row r="371" spans="6:29" hidden="1" x14ac:dyDescent="0.35">
      <c r="F371" s="40" t="s">
        <v>1802</v>
      </c>
      <c r="G371" s="40" t="s">
        <v>603</v>
      </c>
      <c r="H371" s="40" t="s">
        <v>104</v>
      </c>
      <c r="I371" s="41" t="s">
        <v>104</v>
      </c>
      <c r="J371" s="41" t="s">
        <v>102</v>
      </c>
      <c r="K371" s="41" t="s">
        <v>104</v>
      </c>
      <c r="L371" s="41" t="s">
        <v>104</v>
      </c>
      <c r="M371" s="40" t="s">
        <v>850</v>
      </c>
      <c r="P371" s="40" t="s">
        <v>604</v>
      </c>
      <c r="Q371" s="41" t="s">
        <v>607</v>
      </c>
      <c r="R371" s="41" t="s">
        <v>102</v>
      </c>
      <c r="S371" s="41" t="s">
        <v>886</v>
      </c>
      <c r="T371" s="64">
        <v>45913</v>
      </c>
      <c r="V371" s="41" t="s">
        <v>2202</v>
      </c>
      <c r="W371" s="41" t="s">
        <v>2205</v>
      </c>
      <c r="Y371" s="42" t="s">
        <v>2206</v>
      </c>
      <c r="Z371" s="41" t="s">
        <v>171</v>
      </c>
      <c r="AA371" s="41" t="s">
        <v>1366</v>
      </c>
      <c r="AC371" s="41" t="s">
        <v>2175</v>
      </c>
    </row>
    <row r="372" spans="6:29" hidden="1" x14ac:dyDescent="0.35">
      <c r="F372" s="40" t="s">
        <v>1803</v>
      </c>
      <c r="G372" s="40" t="s">
        <v>603</v>
      </c>
      <c r="H372" s="40" t="s">
        <v>104</v>
      </c>
      <c r="I372" s="41" t="s">
        <v>104</v>
      </c>
      <c r="J372" s="41" t="s">
        <v>102</v>
      </c>
      <c r="K372" s="41" t="s">
        <v>104</v>
      </c>
      <c r="L372" s="41" t="s">
        <v>104</v>
      </c>
      <c r="M372" s="40" t="s">
        <v>842</v>
      </c>
      <c r="P372" s="40" t="s">
        <v>604</v>
      </c>
      <c r="Q372" s="41" t="s">
        <v>607</v>
      </c>
      <c r="R372" s="41" t="s">
        <v>102</v>
      </c>
      <c r="S372" s="41" t="s">
        <v>887</v>
      </c>
      <c r="T372" s="64">
        <v>45913</v>
      </c>
      <c r="V372" s="41" t="s">
        <v>2202</v>
      </c>
      <c r="W372" s="41" t="s">
        <v>2205</v>
      </c>
      <c r="Y372" s="42" t="s">
        <v>2206</v>
      </c>
      <c r="Z372" s="41" t="s">
        <v>171</v>
      </c>
      <c r="AA372" s="41" t="s">
        <v>1367</v>
      </c>
      <c r="AC372" s="41" t="s">
        <v>2175</v>
      </c>
    </row>
    <row r="373" spans="6:29" hidden="1" x14ac:dyDescent="0.35">
      <c r="F373" s="40" t="s">
        <v>1804</v>
      </c>
      <c r="G373" s="40" t="s">
        <v>603</v>
      </c>
      <c r="H373" s="40" t="s">
        <v>104</v>
      </c>
      <c r="I373" s="41" t="s">
        <v>104</v>
      </c>
      <c r="J373" s="41" t="s">
        <v>102</v>
      </c>
      <c r="K373" s="41" t="s">
        <v>104</v>
      </c>
      <c r="L373" s="41" t="s">
        <v>104</v>
      </c>
      <c r="M373" s="40" t="s">
        <v>846</v>
      </c>
      <c r="P373" s="40" t="s">
        <v>604</v>
      </c>
      <c r="Q373" s="41" t="s">
        <v>607</v>
      </c>
      <c r="R373" s="41" t="s">
        <v>102</v>
      </c>
      <c r="S373" s="41" t="s">
        <v>887</v>
      </c>
      <c r="T373" s="64">
        <v>45913</v>
      </c>
      <c r="V373" s="41" t="s">
        <v>2202</v>
      </c>
      <c r="W373" s="41" t="s">
        <v>2205</v>
      </c>
      <c r="Y373" s="42" t="s">
        <v>2206</v>
      </c>
      <c r="Z373" s="41" t="s">
        <v>171</v>
      </c>
      <c r="AA373" s="41" t="s">
        <v>1368</v>
      </c>
      <c r="AC373" s="41" t="s">
        <v>2175</v>
      </c>
    </row>
    <row r="374" spans="6:29" hidden="1" x14ac:dyDescent="0.35">
      <c r="F374" s="40" t="s">
        <v>1805</v>
      </c>
      <c r="G374" s="40" t="s">
        <v>603</v>
      </c>
      <c r="H374" s="40" t="s">
        <v>104</v>
      </c>
      <c r="I374" s="41" t="s">
        <v>104</v>
      </c>
      <c r="J374" s="41" t="s">
        <v>102</v>
      </c>
      <c r="K374" s="41" t="s">
        <v>104</v>
      </c>
      <c r="L374" s="41" t="s">
        <v>104</v>
      </c>
      <c r="M374" s="40" t="s">
        <v>850</v>
      </c>
      <c r="P374" s="40" t="s">
        <v>604</v>
      </c>
      <c r="Q374" s="41" t="s">
        <v>607</v>
      </c>
      <c r="R374" s="41" t="s">
        <v>102</v>
      </c>
      <c r="S374" s="41" t="s">
        <v>887</v>
      </c>
      <c r="T374" s="64">
        <v>45913</v>
      </c>
      <c r="V374" s="41" t="s">
        <v>2202</v>
      </c>
      <c r="W374" s="41" t="s">
        <v>2205</v>
      </c>
      <c r="Y374" s="42" t="s">
        <v>2206</v>
      </c>
      <c r="Z374" s="41" t="s">
        <v>171</v>
      </c>
      <c r="AA374" s="41" t="s">
        <v>1369</v>
      </c>
      <c r="AC374" s="41" t="s">
        <v>2175</v>
      </c>
    </row>
    <row r="375" spans="6:29" hidden="1" x14ac:dyDescent="0.35">
      <c r="F375" s="40" t="s">
        <v>1806</v>
      </c>
      <c r="G375" s="40" t="s">
        <v>603</v>
      </c>
      <c r="H375" s="40" t="s">
        <v>104</v>
      </c>
      <c r="I375" s="41" t="s">
        <v>104</v>
      </c>
      <c r="J375" s="41" t="s">
        <v>102</v>
      </c>
      <c r="K375" s="41" t="s">
        <v>104</v>
      </c>
      <c r="L375" s="41" t="s">
        <v>104</v>
      </c>
      <c r="M375" s="40" t="s">
        <v>842</v>
      </c>
      <c r="P375" s="40" t="s">
        <v>604</v>
      </c>
      <c r="Q375" s="41" t="s">
        <v>607</v>
      </c>
      <c r="R375" s="41" t="s">
        <v>102</v>
      </c>
      <c r="S375" s="41" t="s">
        <v>888</v>
      </c>
      <c r="T375" s="64">
        <v>45913</v>
      </c>
      <c r="V375" s="41" t="s">
        <v>2202</v>
      </c>
      <c r="W375" s="41" t="s">
        <v>2205</v>
      </c>
      <c r="Y375" s="42" t="s">
        <v>2206</v>
      </c>
      <c r="Z375" s="41" t="s">
        <v>171</v>
      </c>
      <c r="AA375" s="41" t="s">
        <v>1370</v>
      </c>
      <c r="AC375" s="41" t="s">
        <v>2175</v>
      </c>
    </row>
    <row r="376" spans="6:29" hidden="1" x14ac:dyDescent="0.35">
      <c r="F376" s="40" t="s">
        <v>1807</v>
      </c>
      <c r="G376" s="40" t="s">
        <v>603</v>
      </c>
      <c r="H376" s="40" t="s">
        <v>104</v>
      </c>
      <c r="I376" s="41" t="s">
        <v>104</v>
      </c>
      <c r="J376" s="41" t="s">
        <v>102</v>
      </c>
      <c r="K376" s="41" t="s">
        <v>104</v>
      </c>
      <c r="L376" s="41" t="s">
        <v>104</v>
      </c>
      <c r="M376" s="40" t="s">
        <v>846</v>
      </c>
      <c r="P376" s="40" t="s">
        <v>604</v>
      </c>
      <c r="Q376" s="41" t="s">
        <v>607</v>
      </c>
      <c r="R376" s="41" t="s">
        <v>102</v>
      </c>
      <c r="S376" s="41" t="s">
        <v>888</v>
      </c>
      <c r="T376" s="64">
        <v>45913</v>
      </c>
      <c r="V376" s="41" t="s">
        <v>2202</v>
      </c>
      <c r="W376" s="41" t="s">
        <v>2205</v>
      </c>
      <c r="Y376" s="42" t="s">
        <v>2206</v>
      </c>
      <c r="Z376" s="41" t="s">
        <v>171</v>
      </c>
      <c r="AA376" s="41" t="s">
        <v>1371</v>
      </c>
      <c r="AC376" s="41" t="s">
        <v>2175</v>
      </c>
    </row>
    <row r="377" spans="6:29" hidden="1" x14ac:dyDescent="0.35">
      <c r="F377" s="40" t="s">
        <v>1808</v>
      </c>
      <c r="G377" s="40" t="s">
        <v>603</v>
      </c>
      <c r="H377" s="40" t="s">
        <v>104</v>
      </c>
      <c r="I377" s="41" t="s">
        <v>104</v>
      </c>
      <c r="J377" s="41" t="s">
        <v>102</v>
      </c>
      <c r="K377" s="41" t="s">
        <v>104</v>
      </c>
      <c r="L377" s="41" t="s">
        <v>104</v>
      </c>
      <c r="M377" s="40" t="s">
        <v>850</v>
      </c>
      <c r="P377" s="40" t="s">
        <v>604</v>
      </c>
      <c r="Q377" s="41" t="s">
        <v>607</v>
      </c>
      <c r="R377" s="41" t="s">
        <v>102</v>
      </c>
      <c r="S377" s="41" t="s">
        <v>888</v>
      </c>
      <c r="T377" s="64">
        <v>45913</v>
      </c>
      <c r="V377" s="41" t="s">
        <v>2202</v>
      </c>
      <c r="W377" s="41" t="s">
        <v>2205</v>
      </c>
      <c r="Y377" s="42" t="s">
        <v>2206</v>
      </c>
      <c r="Z377" s="41" t="s">
        <v>171</v>
      </c>
      <c r="AA377" s="41" t="s">
        <v>1372</v>
      </c>
      <c r="AC377" s="41" t="s">
        <v>2175</v>
      </c>
    </row>
    <row r="378" spans="6:29" hidden="1" x14ac:dyDescent="0.35">
      <c r="F378" s="40" t="s">
        <v>1809</v>
      </c>
      <c r="G378" s="40" t="s">
        <v>603</v>
      </c>
      <c r="H378" s="40" t="s">
        <v>104</v>
      </c>
      <c r="I378" s="41" t="s">
        <v>104</v>
      </c>
      <c r="J378" s="41" t="s">
        <v>102</v>
      </c>
      <c r="K378" s="41" t="s">
        <v>104</v>
      </c>
      <c r="L378" s="41" t="s">
        <v>104</v>
      </c>
      <c r="M378" s="40" t="s">
        <v>842</v>
      </c>
      <c r="P378" s="40" t="s">
        <v>604</v>
      </c>
      <c r="Q378" s="41" t="s">
        <v>607</v>
      </c>
      <c r="R378" s="41" t="s">
        <v>102</v>
      </c>
      <c r="S378" s="41" t="s">
        <v>889</v>
      </c>
      <c r="T378" s="64">
        <v>45913</v>
      </c>
      <c r="V378" s="41" t="s">
        <v>2202</v>
      </c>
      <c r="W378" s="41" t="s">
        <v>2205</v>
      </c>
      <c r="Y378" s="42" t="s">
        <v>2206</v>
      </c>
      <c r="Z378" s="41" t="s">
        <v>171</v>
      </c>
      <c r="AA378" s="41" t="s">
        <v>1373</v>
      </c>
      <c r="AC378" s="41" t="s">
        <v>2175</v>
      </c>
    </row>
    <row r="379" spans="6:29" hidden="1" x14ac:dyDescent="0.35">
      <c r="F379" s="40" t="s">
        <v>1810</v>
      </c>
      <c r="G379" s="40" t="s">
        <v>603</v>
      </c>
      <c r="H379" s="40" t="s">
        <v>104</v>
      </c>
      <c r="I379" s="41" t="s">
        <v>104</v>
      </c>
      <c r="J379" s="41" t="s">
        <v>102</v>
      </c>
      <c r="K379" s="41" t="s">
        <v>104</v>
      </c>
      <c r="L379" s="41" t="s">
        <v>104</v>
      </c>
      <c r="M379" s="40" t="s">
        <v>846</v>
      </c>
      <c r="P379" s="40" t="s">
        <v>604</v>
      </c>
      <c r="Q379" s="41" t="s">
        <v>607</v>
      </c>
      <c r="R379" s="41" t="s">
        <v>102</v>
      </c>
      <c r="S379" s="41" t="s">
        <v>889</v>
      </c>
      <c r="T379" s="64">
        <v>45913</v>
      </c>
      <c r="V379" s="41" t="s">
        <v>2202</v>
      </c>
      <c r="W379" s="41" t="s">
        <v>2205</v>
      </c>
      <c r="Y379" s="42" t="s">
        <v>2206</v>
      </c>
      <c r="Z379" s="41" t="s">
        <v>171</v>
      </c>
      <c r="AA379" s="41" t="s">
        <v>1374</v>
      </c>
      <c r="AC379" s="41" t="s">
        <v>2175</v>
      </c>
    </row>
    <row r="380" spans="6:29" hidden="1" x14ac:dyDescent="0.35">
      <c r="F380" s="40" t="s">
        <v>1811</v>
      </c>
      <c r="G380" s="40" t="s">
        <v>603</v>
      </c>
      <c r="H380" s="40" t="s">
        <v>104</v>
      </c>
      <c r="I380" s="41" t="s">
        <v>104</v>
      </c>
      <c r="J380" s="41" t="s">
        <v>102</v>
      </c>
      <c r="K380" s="41" t="s">
        <v>104</v>
      </c>
      <c r="L380" s="41" t="s">
        <v>104</v>
      </c>
      <c r="M380" s="40" t="s">
        <v>850</v>
      </c>
      <c r="P380" s="40" t="s">
        <v>604</v>
      </c>
      <c r="Q380" s="41" t="s">
        <v>607</v>
      </c>
      <c r="R380" s="41" t="s">
        <v>102</v>
      </c>
      <c r="S380" s="41" t="s">
        <v>889</v>
      </c>
      <c r="T380" s="64">
        <v>45913</v>
      </c>
      <c r="V380" s="41" t="s">
        <v>2202</v>
      </c>
      <c r="W380" s="41" t="s">
        <v>2205</v>
      </c>
      <c r="Y380" s="42" t="s">
        <v>2206</v>
      </c>
      <c r="Z380" s="41" t="s">
        <v>171</v>
      </c>
      <c r="AA380" s="41" t="s">
        <v>1375</v>
      </c>
      <c r="AC380" s="41" t="s">
        <v>2175</v>
      </c>
    </row>
    <row r="381" spans="6:29" hidden="1" x14ac:dyDescent="0.35">
      <c r="F381" s="40" t="s">
        <v>1812</v>
      </c>
      <c r="G381" s="40" t="s">
        <v>603</v>
      </c>
      <c r="H381" s="40" t="s">
        <v>104</v>
      </c>
      <c r="I381" s="41" t="s">
        <v>104</v>
      </c>
      <c r="J381" s="41" t="s">
        <v>102</v>
      </c>
      <c r="K381" s="41" t="s">
        <v>104</v>
      </c>
      <c r="L381" s="41" t="s">
        <v>104</v>
      </c>
      <c r="M381" s="40" t="s">
        <v>842</v>
      </c>
      <c r="P381" s="40" t="s">
        <v>604</v>
      </c>
      <c r="Q381" s="41" t="s">
        <v>607</v>
      </c>
      <c r="R381" s="41" t="s">
        <v>102</v>
      </c>
      <c r="S381" s="41" t="s">
        <v>890</v>
      </c>
      <c r="T381" s="64">
        <v>45913</v>
      </c>
      <c r="V381" s="41" t="s">
        <v>2202</v>
      </c>
      <c r="W381" s="41" t="s">
        <v>2205</v>
      </c>
      <c r="Y381" s="42" t="s">
        <v>2206</v>
      </c>
      <c r="Z381" s="41" t="s">
        <v>171</v>
      </c>
      <c r="AA381" s="41" t="s">
        <v>1376</v>
      </c>
      <c r="AC381" s="41" t="s">
        <v>2175</v>
      </c>
    </row>
    <row r="382" spans="6:29" hidden="1" x14ac:dyDescent="0.35">
      <c r="F382" s="40" t="s">
        <v>1813</v>
      </c>
      <c r="G382" s="40" t="s">
        <v>603</v>
      </c>
      <c r="H382" s="40" t="s">
        <v>104</v>
      </c>
      <c r="I382" s="41" t="s">
        <v>104</v>
      </c>
      <c r="J382" s="41" t="s">
        <v>102</v>
      </c>
      <c r="K382" s="41" t="s">
        <v>104</v>
      </c>
      <c r="L382" s="41" t="s">
        <v>104</v>
      </c>
      <c r="M382" s="40" t="s">
        <v>846</v>
      </c>
      <c r="P382" s="40" t="s">
        <v>604</v>
      </c>
      <c r="Q382" s="41" t="s">
        <v>607</v>
      </c>
      <c r="R382" s="41" t="s">
        <v>102</v>
      </c>
      <c r="S382" s="41" t="s">
        <v>890</v>
      </c>
      <c r="T382" s="64">
        <v>45913</v>
      </c>
      <c r="V382" s="41" t="s">
        <v>2202</v>
      </c>
      <c r="W382" s="41" t="s">
        <v>2205</v>
      </c>
      <c r="Y382" s="42" t="s">
        <v>2206</v>
      </c>
      <c r="Z382" s="41" t="s">
        <v>171</v>
      </c>
      <c r="AA382" s="41" t="s">
        <v>1377</v>
      </c>
      <c r="AC382" s="41" t="s">
        <v>2175</v>
      </c>
    </row>
    <row r="383" spans="6:29" hidden="1" x14ac:dyDescent="0.35">
      <c r="F383" s="40" t="s">
        <v>1814</v>
      </c>
      <c r="G383" s="40" t="s">
        <v>603</v>
      </c>
      <c r="H383" s="40" t="s">
        <v>104</v>
      </c>
      <c r="I383" s="41" t="s">
        <v>104</v>
      </c>
      <c r="J383" s="41" t="s">
        <v>102</v>
      </c>
      <c r="K383" s="41" t="s">
        <v>104</v>
      </c>
      <c r="L383" s="41" t="s">
        <v>104</v>
      </c>
      <c r="M383" s="40" t="s">
        <v>850</v>
      </c>
      <c r="P383" s="40" t="s">
        <v>604</v>
      </c>
      <c r="Q383" s="41" t="s">
        <v>607</v>
      </c>
      <c r="R383" s="41" t="s">
        <v>102</v>
      </c>
      <c r="S383" s="41" t="s">
        <v>890</v>
      </c>
      <c r="T383" s="64">
        <v>45913</v>
      </c>
      <c r="V383" s="41" t="s">
        <v>2202</v>
      </c>
      <c r="W383" s="41" t="s">
        <v>2205</v>
      </c>
      <c r="Y383" s="42" t="s">
        <v>2206</v>
      </c>
      <c r="Z383" s="41" t="s">
        <v>171</v>
      </c>
      <c r="AA383" s="41" t="s">
        <v>1378</v>
      </c>
      <c r="AC383" s="41" t="s">
        <v>2175</v>
      </c>
    </row>
    <row r="384" spans="6:29" hidden="1" x14ac:dyDescent="0.35">
      <c r="F384" s="40" t="s">
        <v>1815</v>
      </c>
      <c r="G384" s="40" t="s">
        <v>603</v>
      </c>
      <c r="H384" s="40" t="s">
        <v>104</v>
      </c>
      <c r="I384" s="41" t="s">
        <v>104</v>
      </c>
      <c r="J384" s="41" t="s">
        <v>102</v>
      </c>
      <c r="K384" s="41" t="s">
        <v>104</v>
      </c>
      <c r="L384" s="41" t="s">
        <v>104</v>
      </c>
      <c r="M384" s="40" t="s">
        <v>854</v>
      </c>
      <c r="P384" s="40" t="s">
        <v>604</v>
      </c>
      <c r="Q384" s="41" t="s">
        <v>607</v>
      </c>
      <c r="R384" s="41" t="s">
        <v>102</v>
      </c>
      <c r="S384" s="41" t="s">
        <v>890</v>
      </c>
      <c r="T384" s="64">
        <v>45913</v>
      </c>
      <c r="V384" s="41" t="s">
        <v>2202</v>
      </c>
      <c r="W384" s="41" t="s">
        <v>2205</v>
      </c>
      <c r="Y384" s="42" t="s">
        <v>2206</v>
      </c>
      <c r="Z384" s="41" t="s">
        <v>171</v>
      </c>
      <c r="AA384" s="41" t="s">
        <v>1379</v>
      </c>
      <c r="AC384" s="41" t="s">
        <v>2175</v>
      </c>
    </row>
    <row r="385" spans="6:29" hidden="1" x14ac:dyDescent="0.35">
      <c r="F385" s="40" t="s">
        <v>1816</v>
      </c>
      <c r="G385" s="40" t="s">
        <v>603</v>
      </c>
      <c r="H385" s="40" t="s">
        <v>104</v>
      </c>
      <c r="I385" s="41" t="s">
        <v>104</v>
      </c>
      <c r="J385" s="41" t="s">
        <v>102</v>
      </c>
      <c r="K385" s="41" t="s">
        <v>104</v>
      </c>
      <c r="L385" s="41" t="s">
        <v>104</v>
      </c>
      <c r="M385" s="40" t="s">
        <v>842</v>
      </c>
      <c r="P385" s="40" t="s">
        <v>604</v>
      </c>
      <c r="Q385" s="41" t="s">
        <v>607</v>
      </c>
      <c r="R385" s="41" t="s">
        <v>102</v>
      </c>
      <c r="S385" s="41" t="s">
        <v>891</v>
      </c>
      <c r="T385" s="64">
        <v>45913</v>
      </c>
      <c r="V385" s="41" t="s">
        <v>2202</v>
      </c>
      <c r="W385" s="41" t="s">
        <v>2205</v>
      </c>
      <c r="Y385" s="42" t="s">
        <v>2206</v>
      </c>
      <c r="Z385" s="41" t="s">
        <v>171</v>
      </c>
      <c r="AA385" s="41" t="s">
        <v>1380</v>
      </c>
      <c r="AC385" s="41" t="s">
        <v>2175</v>
      </c>
    </row>
    <row r="386" spans="6:29" hidden="1" x14ac:dyDescent="0.35">
      <c r="F386" s="40" t="s">
        <v>1817</v>
      </c>
      <c r="G386" s="40" t="s">
        <v>603</v>
      </c>
      <c r="H386" s="40" t="s">
        <v>104</v>
      </c>
      <c r="I386" s="41" t="s">
        <v>104</v>
      </c>
      <c r="J386" s="41" t="s">
        <v>102</v>
      </c>
      <c r="K386" s="41" t="s">
        <v>104</v>
      </c>
      <c r="L386" s="41" t="s">
        <v>104</v>
      </c>
      <c r="M386" s="40" t="s">
        <v>846</v>
      </c>
      <c r="P386" s="40" t="s">
        <v>604</v>
      </c>
      <c r="Q386" s="41" t="s">
        <v>607</v>
      </c>
      <c r="R386" s="41" t="s">
        <v>102</v>
      </c>
      <c r="S386" s="41" t="s">
        <v>891</v>
      </c>
      <c r="T386" s="64">
        <v>45913</v>
      </c>
      <c r="V386" s="41" t="s">
        <v>2202</v>
      </c>
      <c r="W386" s="41" t="s">
        <v>2205</v>
      </c>
      <c r="Y386" s="42" t="s">
        <v>2206</v>
      </c>
      <c r="Z386" s="41" t="s">
        <v>171</v>
      </c>
      <c r="AA386" s="41" t="s">
        <v>1381</v>
      </c>
      <c r="AC386" s="41" t="s">
        <v>2175</v>
      </c>
    </row>
    <row r="387" spans="6:29" hidden="1" x14ac:dyDescent="0.35">
      <c r="F387" s="40" t="s">
        <v>1818</v>
      </c>
      <c r="G387" s="40" t="s">
        <v>603</v>
      </c>
      <c r="H387" s="40" t="s">
        <v>104</v>
      </c>
      <c r="I387" s="41" t="s">
        <v>104</v>
      </c>
      <c r="J387" s="41" t="s">
        <v>102</v>
      </c>
      <c r="K387" s="41" t="s">
        <v>104</v>
      </c>
      <c r="L387" s="41" t="s">
        <v>104</v>
      </c>
      <c r="M387" s="40" t="s">
        <v>850</v>
      </c>
      <c r="P387" s="40" t="s">
        <v>604</v>
      </c>
      <c r="Q387" s="41" t="s">
        <v>607</v>
      </c>
      <c r="R387" s="41" t="s">
        <v>102</v>
      </c>
      <c r="S387" s="41" t="s">
        <v>891</v>
      </c>
      <c r="T387" s="64">
        <v>45913</v>
      </c>
      <c r="V387" s="41" t="s">
        <v>2202</v>
      </c>
      <c r="W387" s="41" t="s">
        <v>2205</v>
      </c>
      <c r="Y387" s="42" t="s">
        <v>2206</v>
      </c>
      <c r="Z387" s="41" t="s">
        <v>171</v>
      </c>
      <c r="AA387" s="41" t="s">
        <v>1382</v>
      </c>
      <c r="AC387" s="41" t="s">
        <v>2175</v>
      </c>
    </row>
    <row r="388" spans="6:29" hidden="1" x14ac:dyDescent="0.35">
      <c r="F388" s="40" t="s">
        <v>1819</v>
      </c>
      <c r="G388" s="40" t="s">
        <v>603</v>
      </c>
      <c r="H388" s="40" t="s">
        <v>104</v>
      </c>
      <c r="I388" s="41" t="s">
        <v>104</v>
      </c>
      <c r="J388" s="41" t="s">
        <v>102</v>
      </c>
      <c r="K388" s="41" t="s">
        <v>104</v>
      </c>
      <c r="L388" s="41" t="s">
        <v>104</v>
      </c>
      <c r="M388" s="40" t="s">
        <v>842</v>
      </c>
      <c r="P388" s="40" t="s">
        <v>604</v>
      </c>
      <c r="Q388" s="41" t="s">
        <v>607</v>
      </c>
      <c r="R388" s="41" t="s">
        <v>102</v>
      </c>
      <c r="S388" s="41" t="s">
        <v>892</v>
      </c>
      <c r="T388" s="64">
        <v>45913</v>
      </c>
      <c r="V388" s="41" t="s">
        <v>2202</v>
      </c>
      <c r="W388" s="41" t="s">
        <v>2205</v>
      </c>
      <c r="Y388" s="42" t="s">
        <v>2206</v>
      </c>
      <c r="Z388" s="41" t="s">
        <v>171</v>
      </c>
      <c r="AA388" s="41" t="s">
        <v>1383</v>
      </c>
      <c r="AC388" s="41" t="s">
        <v>2175</v>
      </c>
    </row>
    <row r="389" spans="6:29" hidden="1" x14ac:dyDescent="0.35">
      <c r="F389" s="40" t="s">
        <v>1820</v>
      </c>
      <c r="G389" s="40" t="s">
        <v>603</v>
      </c>
      <c r="H389" s="40" t="s">
        <v>104</v>
      </c>
      <c r="I389" s="41" t="s">
        <v>104</v>
      </c>
      <c r="J389" s="41" t="s">
        <v>102</v>
      </c>
      <c r="K389" s="41" t="s">
        <v>104</v>
      </c>
      <c r="L389" s="41" t="s">
        <v>104</v>
      </c>
      <c r="M389" s="40" t="s">
        <v>846</v>
      </c>
      <c r="P389" s="40" t="s">
        <v>604</v>
      </c>
      <c r="Q389" s="41" t="s">
        <v>607</v>
      </c>
      <c r="R389" s="41" t="s">
        <v>102</v>
      </c>
      <c r="S389" s="41" t="s">
        <v>892</v>
      </c>
      <c r="T389" s="64">
        <v>45913</v>
      </c>
      <c r="V389" s="41" t="s">
        <v>2202</v>
      </c>
      <c r="W389" s="41" t="s">
        <v>2205</v>
      </c>
      <c r="Y389" s="42" t="s">
        <v>2206</v>
      </c>
      <c r="Z389" s="41" t="s">
        <v>171</v>
      </c>
      <c r="AA389" s="41" t="s">
        <v>1384</v>
      </c>
      <c r="AC389" s="41" t="s">
        <v>2175</v>
      </c>
    </row>
    <row r="390" spans="6:29" hidden="1" x14ac:dyDescent="0.35">
      <c r="F390" s="40" t="s">
        <v>1821</v>
      </c>
      <c r="G390" s="40" t="s">
        <v>603</v>
      </c>
      <c r="H390" s="40" t="s">
        <v>104</v>
      </c>
      <c r="I390" s="41" t="s">
        <v>104</v>
      </c>
      <c r="J390" s="41" t="s">
        <v>102</v>
      </c>
      <c r="K390" s="41" t="s">
        <v>104</v>
      </c>
      <c r="L390" s="41" t="s">
        <v>104</v>
      </c>
      <c r="M390" s="40" t="s">
        <v>850</v>
      </c>
      <c r="P390" s="40" t="s">
        <v>604</v>
      </c>
      <c r="Q390" s="41" t="s">
        <v>607</v>
      </c>
      <c r="R390" s="41" t="s">
        <v>102</v>
      </c>
      <c r="S390" s="41" t="s">
        <v>892</v>
      </c>
      <c r="T390" s="64">
        <v>45913</v>
      </c>
      <c r="V390" s="41" t="s">
        <v>2202</v>
      </c>
      <c r="W390" s="41" t="s">
        <v>2205</v>
      </c>
      <c r="Y390" s="42" t="s">
        <v>2206</v>
      </c>
      <c r="Z390" s="41" t="s">
        <v>171</v>
      </c>
      <c r="AA390" s="41" t="s">
        <v>1385</v>
      </c>
      <c r="AC390" s="41" t="s">
        <v>2175</v>
      </c>
    </row>
    <row r="391" spans="6:29" hidden="1" x14ac:dyDescent="0.35">
      <c r="F391" s="40" t="s">
        <v>1822</v>
      </c>
      <c r="G391" s="40" t="s">
        <v>603</v>
      </c>
      <c r="H391" s="40" t="s">
        <v>104</v>
      </c>
      <c r="I391" s="41" t="s">
        <v>104</v>
      </c>
      <c r="J391" s="41" t="s">
        <v>102</v>
      </c>
      <c r="K391" s="41" t="s">
        <v>104</v>
      </c>
      <c r="L391" s="41" t="s">
        <v>104</v>
      </c>
      <c r="M391" s="40" t="s">
        <v>842</v>
      </c>
      <c r="P391" s="40" t="s">
        <v>604</v>
      </c>
      <c r="Q391" s="41" t="s">
        <v>607</v>
      </c>
      <c r="R391" s="41" t="s">
        <v>102</v>
      </c>
      <c r="S391" s="41" t="s">
        <v>893</v>
      </c>
      <c r="T391" s="64">
        <v>45913</v>
      </c>
      <c r="V391" s="41" t="s">
        <v>2202</v>
      </c>
      <c r="W391" s="41" t="s">
        <v>2205</v>
      </c>
      <c r="Y391" s="42" t="s">
        <v>2206</v>
      </c>
      <c r="Z391" s="41" t="s">
        <v>171</v>
      </c>
      <c r="AA391" s="41" t="s">
        <v>1386</v>
      </c>
      <c r="AC391" s="41" t="s">
        <v>2175</v>
      </c>
    </row>
    <row r="392" spans="6:29" hidden="1" x14ac:dyDescent="0.35">
      <c r="F392" s="40" t="s">
        <v>1823</v>
      </c>
      <c r="G392" s="40" t="s">
        <v>603</v>
      </c>
      <c r="H392" s="40" t="s">
        <v>104</v>
      </c>
      <c r="I392" s="41" t="s">
        <v>104</v>
      </c>
      <c r="J392" s="41" t="s">
        <v>102</v>
      </c>
      <c r="K392" s="41" t="s">
        <v>104</v>
      </c>
      <c r="L392" s="41" t="s">
        <v>104</v>
      </c>
      <c r="M392" s="40" t="s">
        <v>846</v>
      </c>
      <c r="P392" s="40" t="s">
        <v>604</v>
      </c>
      <c r="Q392" s="41" t="s">
        <v>607</v>
      </c>
      <c r="R392" s="41" t="s">
        <v>102</v>
      </c>
      <c r="S392" s="41" t="s">
        <v>893</v>
      </c>
      <c r="T392" s="64">
        <v>45913</v>
      </c>
      <c r="V392" s="41" t="s">
        <v>2202</v>
      </c>
      <c r="W392" s="41" t="s">
        <v>2205</v>
      </c>
      <c r="Y392" s="42" t="s">
        <v>2206</v>
      </c>
      <c r="Z392" s="41" t="s">
        <v>171</v>
      </c>
      <c r="AA392" s="41" t="s">
        <v>1387</v>
      </c>
      <c r="AC392" s="41" t="s">
        <v>2175</v>
      </c>
    </row>
    <row r="393" spans="6:29" hidden="1" x14ac:dyDescent="0.35">
      <c r="F393" s="40" t="s">
        <v>1824</v>
      </c>
      <c r="G393" s="40" t="s">
        <v>603</v>
      </c>
      <c r="H393" s="40" t="s">
        <v>104</v>
      </c>
      <c r="I393" s="41" t="s">
        <v>104</v>
      </c>
      <c r="J393" s="41" t="s">
        <v>102</v>
      </c>
      <c r="K393" s="41" t="s">
        <v>104</v>
      </c>
      <c r="L393" s="41" t="s">
        <v>104</v>
      </c>
      <c r="M393" s="40" t="s">
        <v>850</v>
      </c>
      <c r="P393" s="40" t="s">
        <v>604</v>
      </c>
      <c r="Q393" s="41" t="s">
        <v>607</v>
      </c>
      <c r="R393" s="41" t="s">
        <v>102</v>
      </c>
      <c r="S393" s="41" t="s">
        <v>893</v>
      </c>
      <c r="T393" s="64">
        <v>45913</v>
      </c>
      <c r="V393" s="41" t="s">
        <v>2202</v>
      </c>
      <c r="W393" s="41" t="s">
        <v>2205</v>
      </c>
      <c r="Y393" s="42" t="s">
        <v>2206</v>
      </c>
      <c r="Z393" s="41" t="s">
        <v>171</v>
      </c>
      <c r="AA393" s="41" t="s">
        <v>1388</v>
      </c>
      <c r="AC393" s="41" t="s">
        <v>2175</v>
      </c>
    </row>
    <row r="394" spans="6:29" hidden="1" x14ac:dyDescent="0.35">
      <c r="F394" s="40" t="s">
        <v>1825</v>
      </c>
      <c r="G394" s="40" t="s">
        <v>603</v>
      </c>
      <c r="H394" s="40" t="s">
        <v>104</v>
      </c>
      <c r="I394" s="41" t="s">
        <v>104</v>
      </c>
      <c r="J394" s="41" t="s">
        <v>102</v>
      </c>
      <c r="K394" s="41" t="s">
        <v>104</v>
      </c>
      <c r="L394" s="41" t="s">
        <v>104</v>
      </c>
      <c r="M394" s="40" t="s">
        <v>842</v>
      </c>
      <c r="P394" s="40" t="s">
        <v>604</v>
      </c>
      <c r="Q394" s="41" t="s">
        <v>607</v>
      </c>
      <c r="R394" s="41" t="s">
        <v>102</v>
      </c>
      <c r="S394" s="41" t="s">
        <v>894</v>
      </c>
      <c r="T394" s="64">
        <v>45913</v>
      </c>
      <c r="V394" s="41" t="s">
        <v>2202</v>
      </c>
      <c r="W394" s="41" t="s">
        <v>2205</v>
      </c>
      <c r="Y394" s="42" t="s">
        <v>2206</v>
      </c>
      <c r="Z394" s="41" t="s">
        <v>171</v>
      </c>
      <c r="AA394" s="41" t="s">
        <v>1389</v>
      </c>
      <c r="AC394" s="41" t="s">
        <v>2175</v>
      </c>
    </row>
    <row r="395" spans="6:29" hidden="1" x14ac:dyDescent="0.35">
      <c r="F395" s="40" t="s">
        <v>1826</v>
      </c>
      <c r="G395" s="40" t="s">
        <v>603</v>
      </c>
      <c r="H395" s="40" t="s">
        <v>104</v>
      </c>
      <c r="I395" s="41" t="s">
        <v>104</v>
      </c>
      <c r="J395" s="41" t="s">
        <v>102</v>
      </c>
      <c r="K395" s="41" t="s">
        <v>104</v>
      </c>
      <c r="L395" s="41" t="s">
        <v>104</v>
      </c>
      <c r="M395" s="40" t="s">
        <v>846</v>
      </c>
      <c r="P395" s="40" t="s">
        <v>604</v>
      </c>
      <c r="Q395" s="41" t="s">
        <v>607</v>
      </c>
      <c r="R395" s="41" t="s">
        <v>102</v>
      </c>
      <c r="S395" s="41" t="s">
        <v>894</v>
      </c>
      <c r="T395" s="64">
        <v>45913</v>
      </c>
      <c r="V395" s="41" t="s">
        <v>2202</v>
      </c>
      <c r="W395" s="41" t="s">
        <v>2205</v>
      </c>
      <c r="Y395" s="42" t="s">
        <v>2206</v>
      </c>
      <c r="Z395" s="41" t="s">
        <v>171</v>
      </c>
      <c r="AA395" s="41" t="s">
        <v>1390</v>
      </c>
      <c r="AC395" s="41" t="s">
        <v>2175</v>
      </c>
    </row>
    <row r="396" spans="6:29" hidden="1" x14ac:dyDescent="0.35">
      <c r="F396" s="40" t="s">
        <v>1827</v>
      </c>
      <c r="G396" s="40" t="s">
        <v>603</v>
      </c>
      <c r="H396" s="40" t="s">
        <v>104</v>
      </c>
      <c r="I396" s="41" t="s">
        <v>104</v>
      </c>
      <c r="J396" s="41" t="s">
        <v>102</v>
      </c>
      <c r="K396" s="41" t="s">
        <v>104</v>
      </c>
      <c r="L396" s="41" t="s">
        <v>104</v>
      </c>
      <c r="M396" s="40" t="s">
        <v>850</v>
      </c>
      <c r="P396" s="40" t="s">
        <v>604</v>
      </c>
      <c r="Q396" s="41" t="s">
        <v>607</v>
      </c>
      <c r="R396" s="41" t="s">
        <v>102</v>
      </c>
      <c r="S396" s="41" t="s">
        <v>894</v>
      </c>
      <c r="T396" s="64">
        <v>45913</v>
      </c>
      <c r="V396" s="41" t="s">
        <v>2202</v>
      </c>
      <c r="W396" s="41" t="s">
        <v>2205</v>
      </c>
      <c r="Y396" s="42" t="s">
        <v>2206</v>
      </c>
      <c r="Z396" s="41" t="s">
        <v>171</v>
      </c>
      <c r="AA396" s="41" t="s">
        <v>1391</v>
      </c>
      <c r="AC396" s="41" t="s">
        <v>2175</v>
      </c>
    </row>
    <row r="397" spans="6:29" ht="29" hidden="1" x14ac:dyDescent="0.35">
      <c r="F397" s="40" t="s">
        <v>1828</v>
      </c>
      <c r="G397" s="40" t="s">
        <v>603</v>
      </c>
      <c r="H397" s="40" t="s">
        <v>104</v>
      </c>
      <c r="I397" s="41" t="s">
        <v>104</v>
      </c>
      <c r="J397" s="41" t="s">
        <v>102</v>
      </c>
      <c r="K397" s="41" t="s">
        <v>104</v>
      </c>
      <c r="L397" s="41" t="s">
        <v>104</v>
      </c>
      <c r="M397" s="40" t="s">
        <v>895</v>
      </c>
      <c r="P397" s="40" t="s">
        <v>604</v>
      </c>
      <c r="Q397" s="41" t="s">
        <v>607</v>
      </c>
      <c r="R397" s="41" t="s">
        <v>102</v>
      </c>
      <c r="S397" s="41" t="s">
        <v>899</v>
      </c>
      <c r="T397" s="64">
        <v>45913</v>
      </c>
      <c r="V397" s="41" t="s">
        <v>2202</v>
      </c>
      <c r="W397" s="41" t="s">
        <v>2205</v>
      </c>
      <c r="Y397" s="42" t="s">
        <v>2206</v>
      </c>
      <c r="Z397" s="41" t="s">
        <v>171</v>
      </c>
      <c r="AA397" s="41" t="s">
        <v>1392</v>
      </c>
      <c r="AC397" s="41" t="s">
        <v>2175</v>
      </c>
    </row>
    <row r="398" spans="6:29" hidden="1" x14ac:dyDescent="0.35">
      <c r="F398" s="40" t="s">
        <v>1829</v>
      </c>
      <c r="G398" s="40" t="s">
        <v>603</v>
      </c>
      <c r="H398" s="40" t="s">
        <v>104</v>
      </c>
      <c r="I398" s="41" t="s">
        <v>104</v>
      </c>
      <c r="J398" s="41" t="s">
        <v>102</v>
      </c>
      <c r="K398" s="41" t="s">
        <v>104</v>
      </c>
      <c r="L398" s="41" t="s">
        <v>104</v>
      </c>
      <c r="M398" s="40" t="s">
        <v>850</v>
      </c>
      <c r="P398" s="40" t="s">
        <v>604</v>
      </c>
      <c r="Q398" s="41" t="s">
        <v>607</v>
      </c>
      <c r="R398" s="41" t="s">
        <v>102</v>
      </c>
      <c r="S398" s="41" t="s">
        <v>893</v>
      </c>
      <c r="T398" s="64">
        <v>45913</v>
      </c>
      <c r="V398" s="41" t="s">
        <v>2202</v>
      </c>
      <c r="W398" s="41" t="s">
        <v>2205</v>
      </c>
      <c r="Y398" s="42" t="s">
        <v>2206</v>
      </c>
      <c r="Z398" s="41" t="s">
        <v>171</v>
      </c>
      <c r="AA398" s="41" t="s">
        <v>1393</v>
      </c>
      <c r="AC398" s="41" t="s">
        <v>2175</v>
      </c>
    </row>
    <row r="399" spans="6:29" hidden="1" x14ac:dyDescent="0.35">
      <c r="F399" s="40" t="s">
        <v>1830</v>
      </c>
      <c r="G399" s="40" t="s">
        <v>603</v>
      </c>
      <c r="H399" s="40" t="s">
        <v>104</v>
      </c>
      <c r="I399" s="41" t="s">
        <v>104</v>
      </c>
      <c r="J399" s="41" t="s">
        <v>102</v>
      </c>
      <c r="K399" s="41" t="s">
        <v>104</v>
      </c>
      <c r="L399" s="41" t="s">
        <v>104</v>
      </c>
      <c r="M399" s="40" t="s">
        <v>900</v>
      </c>
      <c r="P399" s="40" t="s">
        <v>604</v>
      </c>
      <c r="Q399" s="41" t="s">
        <v>607</v>
      </c>
      <c r="R399" s="41" t="s">
        <v>102</v>
      </c>
      <c r="S399" s="41" t="s">
        <v>903</v>
      </c>
      <c r="T399" s="64">
        <v>45913</v>
      </c>
      <c r="V399" s="41" t="s">
        <v>2202</v>
      </c>
      <c r="W399" s="41" t="s">
        <v>2205</v>
      </c>
      <c r="Y399" s="42" t="s">
        <v>2206</v>
      </c>
      <c r="Z399" s="41" t="s">
        <v>171</v>
      </c>
      <c r="AA399" s="41" t="s">
        <v>1394</v>
      </c>
      <c r="AC399" s="41" t="s">
        <v>2175</v>
      </c>
    </row>
    <row r="400" spans="6:29" hidden="1" x14ac:dyDescent="0.35">
      <c r="F400" s="40" t="s">
        <v>1831</v>
      </c>
      <c r="G400" s="40" t="s">
        <v>603</v>
      </c>
      <c r="H400" s="40" t="s">
        <v>104</v>
      </c>
      <c r="I400" s="41" t="s">
        <v>104</v>
      </c>
      <c r="J400" s="41" t="s">
        <v>102</v>
      </c>
      <c r="K400" s="41" t="s">
        <v>104</v>
      </c>
      <c r="L400" s="41" t="s">
        <v>104</v>
      </c>
      <c r="M400" s="40" t="s">
        <v>904</v>
      </c>
      <c r="P400" s="40" t="s">
        <v>604</v>
      </c>
      <c r="Q400" s="41" t="s">
        <v>607</v>
      </c>
      <c r="R400" s="41" t="s">
        <v>102</v>
      </c>
      <c r="S400" s="41" t="s">
        <v>907</v>
      </c>
      <c r="T400" s="64">
        <v>45913</v>
      </c>
      <c r="V400" s="41" t="s">
        <v>2202</v>
      </c>
      <c r="W400" s="41" t="s">
        <v>2205</v>
      </c>
      <c r="Y400" s="42" t="s">
        <v>2206</v>
      </c>
      <c r="Z400" s="41" t="s">
        <v>171</v>
      </c>
      <c r="AA400" s="41" t="s">
        <v>1395</v>
      </c>
      <c r="AC400" s="41" t="s">
        <v>2175</v>
      </c>
    </row>
    <row r="401" spans="6:29" hidden="1" x14ac:dyDescent="0.35">
      <c r="F401" s="40" t="s">
        <v>1832</v>
      </c>
      <c r="G401" s="40" t="s">
        <v>603</v>
      </c>
      <c r="H401" s="40" t="s">
        <v>104</v>
      </c>
      <c r="I401" s="41" t="s">
        <v>104</v>
      </c>
      <c r="J401" s="41" t="s">
        <v>102</v>
      </c>
      <c r="K401" s="41" t="s">
        <v>104</v>
      </c>
      <c r="L401" s="41" t="s">
        <v>104</v>
      </c>
      <c r="M401" s="40" t="s">
        <v>832</v>
      </c>
      <c r="P401" s="40" t="s">
        <v>604</v>
      </c>
      <c r="Q401" s="41" t="s">
        <v>607</v>
      </c>
      <c r="R401" s="41" t="s">
        <v>102</v>
      </c>
      <c r="S401" s="41" t="s">
        <v>907</v>
      </c>
      <c r="T401" s="64">
        <v>45913</v>
      </c>
      <c r="V401" s="41" t="s">
        <v>2202</v>
      </c>
      <c r="W401" s="41" t="s">
        <v>2205</v>
      </c>
      <c r="Y401" s="42" t="s">
        <v>2206</v>
      </c>
      <c r="Z401" s="41" t="s">
        <v>171</v>
      </c>
      <c r="AA401" s="41" t="s">
        <v>1396</v>
      </c>
      <c r="AC401" s="41" t="s">
        <v>2175</v>
      </c>
    </row>
    <row r="402" spans="6:29" ht="29" hidden="1" x14ac:dyDescent="0.35">
      <c r="F402" s="40" t="s">
        <v>1833</v>
      </c>
      <c r="G402" s="40" t="s">
        <v>603</v>
      </c>
      <c r="H402" s="40" t="s">
        <v>104</v>
      </c>
      <c r="I402" s="41" t="s">
        <v>104</v>
      </c>
      <c r="J402" s="41" t="s">
        <v>102</v>
      </c>
      <c r="K402" s="41" t="s">
        <v>104</v>
      </c>
      <c r="L402" s="41" t="s">
        <v>104</v>
      </c>
      <c r="M402" s="40" t="s">
        <v>910</v>
      </c>
      <c r="P402" s="40" t="s">
        <v>604</v>
      </c>
      <c r="Q402" s="41" t="s">
        <v>607</v>
      </c>
      <c r="R402" s="41" t="s">
        <v>102</v>
      </c>
      <c r="S402" s="41" t="s">
        <v>907</v>
      </c>
      <c r="T402" s="64">
        <v>45913</v>
      </c>
      <c r="V402" s="41" t="s">
        <v>2202</v>
      </c>
      <c r="W402" s="41" t="s">
        <v>2205</v>
      </c>
      <c r="Y402" s="42" t="s">
        <v>2206</v>
      </c>
      <c r="Z402" s="41" t="s">
        <v>171</v>
      </c>
      <c r="AA402" s="41" t="s">
        <v>1397</v>
      </c>
      <c r="AC402" s="41" t="s">
        <v>2175</v>
      </c>
    </row>
    <row r="403" spans="6:29" hidden="1" x14ac:dyDescent="0.35">
      <c r="F403" s="40" t="s">
        <v>1834</v>
      </c>
      <c r="G403" s="40" t="s">
        <v>603</v>
      </c>
      <c r="H403" s="40" t="s">
        <v>104</v>
      </c>
      <c r="I403" s="41" t="s">
        <v>104</v>
      </c>
      <c r="J403" s="41" t="s">
        <v>102</v>
      </c>
      <c r="K403" s="41" t="s">
        <v>104</v>
      </c>
      <c r="L403" s="41" t="s">
        <v>104</v>
      </c>
      <c r="M403" s="40" t="s">
        <v>913</v>
      </c>
      <c r="P403" s="40" t="s">
        <v>604</v>
      </c>
      <c r="Q403" s="41" t="s">
        <v>607</v>
      </c>
      <c r="R403" s="41" t="s">
        <v>102</v>
      </c>
      <c r="S403" s="41" t="s">
        <v>907</v>
      </c>
      <c r="T403" s="64">
        <v>45913</v>
      </c>
      <c r="V403" s="41" t="s">
        <v>2202</v>
      </c>
      <c r="W403" s="41" t="s">
        <v>2205</v>
      </c>
      <c r="Y403" s="42" t="s">
        <v>2206</v>
      </c>
      <c r="Z403" s="41" t="s">
        <v>171</v>
      </c>
      <c r="AA403" s="41" t="s">
        <v>1398</v>
      </c>
      <c r="AC403" s="41" t="s">
        <v>2175</v>
      </c>
    </row>
    <row r="404" spans="6:29" hidden="1" x14ac:dyDescent="0.35">
      <c r="F404" s="40" t="s">
        <v>1835</v>
      </c>
      <c r="G404" s="40" t="s">
        <v>603</v>
      </c>
      <c r="H404" s="40" t="s">
        <v>104</v>
      </c>
      <c r="I404" s="41" t="s">
        <v>104</v>
      </c>
      <c r="J404" s="41" t="s">
        <v>102</v>
      </c>
      <c r="K404" s="41" t="s">
        <v>104</v>
      </c>
      <c r="L404" s="41" t="s">
        <v>104</v>
      </c>
      <c r="M404" s="40" t="s">
        <v>838</v>
      </c>
      <c r="P404" s="40" t="s">
        <v>604</v>
      </c>
      <c r="Q404" s="41" t="s">
        <v>607</v>
      </c>
      <c r="R404" s="41" t="s">
        <v>102</v>
      </c>
      <c r="S404" s="41" t="s">
        <v>907</v>
      </c>
      <c r="T404" s="64">
        <v>45913</v>
      </c>
      <c r="V404" s="41" t="s">
        <v>2202</v>
      </c>
      <c r="W404" s="41" t="s">
        <v>2205</v>
      </c>
      <c r="Y404" s="42" t="s">
        <v>2206</v>
      </c>
      <c r="Z404" s="41" t="s">
        <v>171</v>
      </c>
      <c r="AA404" s="41" t="s">
        <v>1399</v>
      </c>
      <c r="AC404" s="41" t="s">
        <v>2175</v>
      </c>
    </row>
    <row r="405" spans="6:29" hidden="1" x14ac:dyDescent="0.35">
      <c r="F405" s="40" t="s">
        <v>1836</v>
      </c>
      <c r="G405" s="40" t="s">
        <v>603</v>
      </c>
      <c r="H405" s="40" t="s">
        <v>104</v>
      </c>
      <c r="I405" s="41" t="s">
        <v>104</v>
      </c>
      <c r="J405" s="41" t="s">
        <v>102</v>
      </c>
      <c r="K405" s="41" t="s">
        <v>104</v>
      </c>
      <c r="L405" s="41" t="s">
        <v>104</v>
      </c>
      <c r="M405" s="40" t="s">
        <v>919</v>
      </c>
      <c r="P405" s="40" t="s">
        <v>604</v>
      </c>
      <c r="Q405" s="41" t="s">
        <v>607</v>
      </c>
      <c r="R405" s="41" t="s">
        <v>102</v>
      </c>
      <c r="S405" s="41" t="s">
        <v>907</v>
      </c>
      <c r="T405" s="64">
        <v>45913</v>
      </c>
      <c r="V405" s="41" t="s">
        <v>2202</v>
      </c>
      <c r="W405" s="41" t="s">
        <v>2205</v>
      </c>
      <c r="Y405" s="42" t="s">
        <v>2206</v>
      </c>
      <c r="Z405" s="41" t="s">
        <v>171</v>
      </c>
      <c r="AA405" s="41" t="s">
        <v>1400</v>
      </c>
      <c r="AC405" s="41" t="s">
        <v>2175</v>
      </c>
    </row>
    <row r="406" spans="6:29" ht="29" hidden="1" x14ac:dyDescent="0.35">
      <c r="F406" s="40" t="s">
        <v>1837</v>
      </c>
      <c r="G406" s="40" t="s">
        <v>603</v>
      </c>
      <c r="H406" s="40" t="s">
        <v>104</v>
      </c>
      <c r="I406" s="41" t="s">
        <v>104</v>
      </c>
      <c r="J406" s="41" t="s">
        <v>102</v>
      </c>
      <c r="K406" s="41" t="s">
        <v>104</v>
      </c>
      <c r="L406" s="41" t="s">
        <v>104</v>
      </c>
      <c r="M406" s="40" t="s">
        <v>923</v>
      </c>
      <c r="P406" s="40" t="s">
        <v>604</v>
      </c>
      <c r="Q406" s="41" t="s">
        <v>607</v>
      </c>
      <c r="R406" s="41" t="s">
        <v>102</v>
      </c>
      <c r="S406" s="41" t="s">
        <v>926</v>
      </c>
      <c r="T406" s="64">
        <v>45913</v>
      </c>
      <c r="V406" s="41" t="s">
        <v>2202</v>
      </c>
      <c r="W406" s="41" t="s">
        <v>2205</v>
      </c>
      <c r="Y406" s="42" t="s">
        <v>2206</v>
      </c>
      <c r="Z406" s="41" t="s">
        <v>171</v>
      </c>
      <c r="AA406" s="41" t="s">
        <v>1401</v>
      </c>
      <c r="AC406" s="41" t="s">
        <v>2175</v>
      </c>
    </row>
    <row r="407" spans="6:29" hidden="1" x14ac:dyDescent="0.35">
      <c r="F407" s="40" t="s">
        <v>1838</v>
      </c>
      <c r="G407" s="40" t="s">
        <v>603</v>
      </c>
      <c r="H407" s="40" t="s">
        <v>104</v>
      </c>
      <c r="I407" s="41" t="s">
        <v>104</v>
      </c>
      <c r="J407" s="41" t="s">
        <v>102</v>
      </c>
      <c r="K407" s="41" t="s">
        <v>104</v>
      </c>
      <c r="L407" s="41" t="s">
        <v>104</v>
      </c>
      <c r="M407" s="40" t="s">
        <v>927</v>
      </c>
      <c r="P407" s="40" t="s">
        <v>604</v>
      </c>
      <c r="Q407" s="41" t="s">
        <v>607</v>
      </c>
      <c r="R407" s="41" t="s">
        <v>102</v>
      </c>
      <c r="S407" s="41" t="s">
        <v>931</v>
      </c>
      <c r="T407" s="64">
        <v>45913</v>
      </c>
      <c r="V407" s="41" t="s">
        <v>2202</v>
      </c>
      <c r="W407" s="41" t="s">
        <v>2205</v>
      </c>
      <c r="Y407" s="42" t="s">
        <v>2206</v>
      </c>
      <c r="Z407" s="41" t="s">
        <v>171</v>
      </c>
      <c r="AA407" s="41" t="s">
        <v>1402</v>
      </c>
      <c r="AC407" s="41" t="s">
        <v>2175</v>
      </c>
    </row>
    <row r="408" spans="6:29" hidden="1" x14ac:dyDescent="0.35">
      <c r="F408" s="40" t="s">
        <v>1839</v>
      </c>
      <c r="G408" s="40" t="s">
        <v>603</v>
      </c>
      <c r="H408" s="40" t="s">
        <v>104</v>
      </c>
      <c r="I408" s="41" t="s">
        <v>104</v>
      </c>
      <c r="J408" s="41" t="s">
        <v>102</v>
      </c>
      <c r="K408" s="41" t="s">
        <v>104</v>
      </c>
      <c r="L408" s="41" t="s">
        <v>104</v>
      </c>
      <c r="M408" s="40" t="s">
        <v>923</v>
      </c>
      <c r="P408" s="40" t="s">
        <v>604</v>
      </c>
      <c r="Q408" s="41" t="s">
        <v>607</v>
      </c>
      <c r="R408" s="41" t="s">
        <v>102</v>
      </c>
      <c r="S408" s="41" t="s">
        <v>931</v>
      </c>
      <c r="T408" s="64">
        <v>45913</v>
      </c>
      <c r="V408" s="41" t="s">
        <v>2202</v>
      </c>
      <c r="W408" s="41" t="s">
        <v>2205</v>
      </c>
      <c r="Y408" s="42" t="s">
        <v>2206</v>
      </c>
      <c r="Z408" s="41" t="s">
        <v>171</v>
      </c>
      <c r="AA408" s="41" t="s">
        <v>1403</v>
      </c>
      <c r="AC408" s="41" t="s">
        <v>2175</v>
      </c>
    </row>
    <row r="409" spans="6:29" hidden="1" x14ac:dyDescent="0.35">
      <c r="F409" s="40" t="s">
        <v>1840</v>
      </c>
      <c r="G409" s="40" t="s">
        <v>603</v>
      </c>
      <c r="H409" s="40" t="s">
        <v>104</v>
      </c>
      <c r="I409" s="41" t="s">
        <v>104</v>
      </c>
      <c r="J409" s="41" t="s">
        <v>102</v>
      </c>
      <c r="K409" s="41" t="s">
        <v>104</v>
      </c>
      <c r="L409" s="41" t="s">
        <v>104</v>
      </c>
      <c r="M409" s="40" t="s">
        <v>932</v>
      </c>
      <c r="P409" s="40" t="s">
        <v>604</v>
      </c>
      <c r="Q409" s="41" t="s">
        <v>607</v>
      </c>
      <c r="R409" s="41" t="s">
        <v>102</v>
      </c>
      <c r="S409" s="41" t="s">
        <v>935</v>
      </c>
      <c r="T409" s="64">
        <v>45913</v>
      </c>
      <c r="V409" s="41" t="s">
        <v>2202</v>
      </c>
      <c r="W409" s="41" t="s">
        <v>2205</v>
      </c>
      <c r="Y409" s="42" t="s">
        <v>2206</v>
      </c>
      <c r="Z409" s="41" t="s">
        <v>171</v>
      </c>
      <c r="AA409" s="41" t="s">
        <v>1404</v>
      </c>
      <c r="AC409" s="41" t="s">
        <v>2175</v>
      </c>
    </row>
    <row r="410" spans="6:29" hidden="1" x14ac:dyDescent="0.35">
      <c r="F410" s="40" t="s">
        <v>1841</v>
      </c>
      <c r="G410" s="40" t="s">
        <v>603</v>
      </c>
      <c r="H410" s="40" t="s">
        <v>104</v>
      </c>
      <c r="I410" s="41" t="s">
        <v>104</v>
      </c>
      <c r="J410" s="41" t="s">
        <v>102</v>
      </c>
      <c r="K410" s="41" t="s">
        <v>104</v>
      </c>
      <c r="L410" s="41" t="s">
        <v>104</v>
      </c>
      <c r="M410" s="40" t="s">
        <v>936</v>
      </c>
      <c r="P410" s="40" t="s">
        <v>604</v>
      </c>
      <c r="Q410" s="41" t="s">
        <v>607</v>
      </c>
      <c r="R410" s="41" t="s">
        <v>102</v>
      </c>
      <c r="S410" s="41" t="s">
        <v>935</v>
      </c>
      <c r="T410" s="64">
        <v>45913</v>
      </c>
      <c r="V410" s="41" t="s">
        <v>2202</v>
      </c>
      <c r="W410" s="41" t="s">
        <v>2205</v>
      </c>
      <c r="Y410" s="42" t="s">
        <v>2206</v>
      </c>
      <c r="Z410" s="41" t="s">
        <v>171</v>
      </c>
      <c r="AA410" s="41" t="s">
        <v>1405</v>
      </c>
      <c r="AC410" s="41" t="s">
        <v>2175</v>
      </c>
    </row>
    <row r="411" spans="6:29" hidden="1" x14ac:dyDescent="0.35">
      <c r="F411" s="40" t="s">
        <v>1842</v>
      </c>
      <c r="G411" s="40" t="s">
        <v>603</v>
      </c>
      <c r="H411" s="40" t="s">
        <v>104</v>
      </c>
      <c r="I411" s="41" t="s">
        <v>104</v>
      </c>
      <c r="J411" s="41" t="s">
        <v>102</v>
      </c>
      <c r="K411" s="41" t="s">
        <v>104</v>
      </c>
      <c r="L411" s="41" t="s">
        <v>104</v>
      </c>
      <c r="M411" s="40" t="s">
        <v>939</v>
      </c>
      <c r="P411" s="40" t="s">
        <v>604</v>
      </c>
      <c r="Q411" s="41" t="s">
        <v>607</v>
      </c>
      <c r="R411" s="41" t="s">
        <v>102</v>
      </c>
      <c r="S411" s="41" t="s">
        <v>935</v>
      </c>
      <c r="T411" s="64">
        <v>45913</v>
      </c>
      <c r="V411" s="41" t="s">
        <v>2202</v>
      </c>
      <c r="W411" s="41" t="s">
        <v>2205</v>
      </c>
      <c r="Y411" s="42" t="s">
        <v>2206</v>
      </c>
      <c r="Z411" s="41" t="s">
        <v>171</v>
      </c>
      <c r="AA411" s="41" t="s">
        <v>1406</v>
      </c>
      <c r="AC411" s="41" t="s">
        <v>2175</v>
      </c>
    </row>
    <row r="412" spans="6:29" hidden="1" x14ac:dyDescent="0.35">
      <c r="F412" s="40" t="s">
        <v>1843</v>
      </c>
      <c r="G412" s="40" t="s">
        <v>603</v>
      </c>
      <c r="H412" s="40" t="s">
        <v>604</v>
      </c>
      <c r="I412" s="41" t="s">
        <v>605</v>
      </c>
      <c r="J412" s="41" t="s">
        <v>117</v>
      </c>
      <c r="K412" s="41" t="s">
        <v>935</v>
      </c>
      <c r="L412" s="41" t="s">
        <v>104</v>
      </c>
      <c r="M412" s="40" t="s">
        <v>942</v>
      </c>
      <c r="P412" s="40" t="s">
        <v>604</v>
      </c>
      <c r="Q412" s="41" t="s">
        <v>607</v>
      </c>
      <c r="R412" s="41" t="s">
        <v>117</v>
      </c>
      <c r="S412" s="41" t="s">
        <v>935</v>
      </c>
      <c r="T412" s="64">
        <v>45913</v>
      </c>
      <c r="V412" s="41" t="s">
        <v>2202</v>
      </c>
      <c r="W412" s="41" t="s">
        <v>2205</v>
      </c>
      <c r="Y412" s="42" t="s">
        <v>2206</v>
      </c>
      <c r="Z412" s="41" t="s">
        <v>171</v>
      </c>
      <c r="AA412" s="41" t="s">
        <v>1407</v>
      </c>
      <c r="AC412" s="41" t="s">
        <v>2175</v>
      </c>
    </row>
    <row r="413" spans="6:29" hidden="1" x14ac:dyDescent="0.35">
      <c r="F413" s="40" t="s">
        <v>1844</v>
      </c>
      <c r="G413" s="40" t="s">
        <v>603</v>
      </c>
      <c r="H413" s="40" t="s">
        <v>104</v>
      </c>
      <c r="I413" s="41" t="s">
        <v>104</v>
      </c>
      <c r="J413" s="41" t="s">
        <v>102</v>
      </c>
      <c r="K413" s="41" t="s">
        <v>104</v>
      </c>
      <c r="L413" s="41" t="s">
        <v>104</v>
      </c>
      <c r="M413" s="40" t="s">
        <v>939</v>
      </c>
      <c r="P413" s="40" t="s">
        <v>604</v>
      </c>
      <c r="Q413" s="41" t="s">
        <v>607</v>
      </c>
      <c r="R413" s="41" t="s">
        <v>102</v>
      </c>
      <c r="S413" s="41" t="s">
        <v>903</v>
      </c>
      <c r="T413" s="64">
        <v>45913</v>
      </c>
      <c r="V413" s="41" t="s">
        <v>2202</v>
      </c>
      <c r="W413" s="41" t="s">
        <v>2205</v>
      </c>
      <c r="Y413" s="42" t="s">
        <v>2206</v>
      </c>
      <c r="Z413" s="41" t="s">
        <v>171</v>
      </c>
      <c r="AA413" s="41" t="s">
        <v>1408</v>
      </c>
      <c r="AC413" s="41" t="s">
        <v>2175</v>
      </c>
    </row>
    <row r="414" spans="6:29" hidden="1" x14ac:dyDescent="0.35">
      <c r="F414" s="40" t="s">
        <v>1845</v>
      </c>
      <c r="G414" s="40" t="s">
        <v>603</v>
      </c>
      <c r="H414" s="40" t="s">
        <v>604</v>
      </c>
      <c r="I414" s="41" t="s">
        <v>605</v>
      </c>
      <c r="J414" s="41" t="s">
        <v>102</v>
      </c>
      <c r="K414" s="41" t="s">
        <v>903</v>
      </c>
      <c r="L414" s="41" t="s">
        <v>104</v>
      </c>
      <c r="M414" s="40" t="s">
        <v>942</v>
      </c>
      <c r="P414" s="40" t="s">
        <v>604</v>
      </c>
      <c r="Q414" s="41" t="s">
        <v>607</v>
      </c>
      <c r="R414" s="41" t="s">
        <v>102</v>
      </c>
      <c r="S414" s="41" t="s">
        <v>903</v>
      </c>
      <c r="T414" s="64">
        <v>45913</v>
      </c>
      <c r="V414" s="41" t="s">
        <v>2202</v>
      </c>
      <c r="W414" s="41" t="s">
        <v>2205</v>
      </c>
      <c r="Y414" s="42" t="s">
        <v>2206</v>
      </c>
      <c r="Z414" s="41" t="s">
        <v>171</v>
      </c>
      <c r="AA414" s="41" t="s">
        <v>1409</v>
      </c>
      <c r="AC414" s="41" t="s">
        <v>2175</v>
      </c>
    </row>
    <row r="415" spans="6:29" hidden="1" x14ac:dyDescent="0.35">
      <c r="F415" s="40" t="s">
        <v>1846</v>
      </c>
      <c r="G415" s="40" t="s">
        <v>603</v>
      </c>
      <c r="H415" s="40" t="s">
        <v>104</v>
      </c>
      <c r="I415" s="41" t="s">
        <v>104</v>
      </c>
      <c r="J415" s="41" t="s">
        <v>102</v>
      </c>
      <c r="K415" s="41" t="s">
        <v>104</v>
      </c>
      <c r="L415" s="41" t="s">
        <v>104</v>
      </c>
      <c r="M415" s="40" t="s">
        <v>932</v>
      </c>
      <c r="P415" s="40" t="s">
        <v>604</v>
      </c>
      <c r="Q415" s="41" t="s">
        <v>607</v>
      </c>
      <c r="R415" s="41" t="s">
        <v>102</v>
      </c>
      <c r="S415" s="41" t="s">
        <v>903</v>
      </c>
      <c r="T415" s="64">
        <v>45913</v>
      </c>
      <c r="V415" s="41" t="s">
        <v>2202</v>
      </c>
      <c r="W415" s="41" t="s">
        <v>2205</v>
      </c>
      <c r="Y415" s="42" t="s">
        <v>2206</v>
      </c>
      <c r="Z415" s="41" t="s">
        <v>171</v>
      </c>
      <c r="AA415" s="41" t="s">
        <v>1410</v>
      </c>
      <c r="AC415" s="41" t="s">
        <v>2175</v>
      </c>
    </row>
    <row r="416" spans="6:29" hidden="1" x14ac:dyDescent="0.35">
      <c r="F416" s="40" t="s">
        <v>1847</v>
      </c>
      <c r="G416" s="40" t="s">
        <v>603</v>
      </c>
      <c r="H416" s="40" t="s">
        <v>104</v>
      </c>
      <c r="I416" s="41" t="s">
        <v>104</v>
      </c>
      <c r="J416" s="41" t="s">
        <v>102</v>
      </c>
      <c r="K416" s="41" t="s">
        <v>104</v>
      </c>
      <c r="L416" s="41" t="s">
        <v>104</v>
      </c>
      <c r="M416" s="40" t="s">
        <v>936</v>
      </c>
      <c r="P416" s="40" t="s">
        <v>604</v>
      </c>
      <c r="Q416" s="41" t="s">
        <v>607</v>
      </c>
      <c r="R416" s="41" t="s">
        <v>102</v>
      </c>
      <c r="S416" s="41" t="s">
        <v>903</v>
      </c>
      <c r="T416" s="64">
        <v>45913</v>
      </c>
      <c r="V416" s="41" t="s">
        <v>2202</v>
      </c>
      <c r="W416" s="41" t="s">
        <v>2205</v>
      </c>
      <c r="Y416" s="42" t="s">
        <v>2206</v>
      </c>
      <c r="Z416" s="41" t="s">
        <v>171</v>
      </c>
      <c r="AA416" s="41" t="s">
        <v>1411</v>
      </c>
      <c r="AC416" s="41" t="s">
        <v>2175</v>
      </c>
    </row>
    <row r="417" spans="6:29" hidden="1" x14ac:dyDescent="0.35">
      <c r="F417" s="40" t="s">
        <v>1848</v>
      </c>
      <c r="G417" s="40" t="s">
        <v>603</v>
      </c>
      <c r="H417" s="40" t="s">
        <v>104</v>
      </c>
      <c r="I417" s="41" t="s">
        <v>104</v>
      </c>
      <c r="J417" s="41" t="s">
        <v>102</v>
      </c>
      <c r="K417" s="41" t="s">
        <v>104</v>
      </c>
      <c r="L417" s="41" t="s">
        <v>104</v>
      </c>
      <c r="M417" s="40" t="s">
        <v>947</v>
      </c>
      <c r="P417" s="40" t="s">
        <v>604</v>
      </c>
      <c r="Q417" s="41" t="s">
        <v>607</v>
      </c>
      <c r="R417" s="41" t="s">
        <v>102</v>
      </c>
      <c r="S417" s="41" t="s">
        <v>903</v>
      </c>
      <c r="T417" s="64">
        <v>45913</v>
      </c>
      <c r="V417" s="41" t="s">
        <v>2202</v>
      </c>
      <c r="W417" s="41" t="s">
        <v>2205</v>
      </c>
      <c r="Y417" s="42" t="s">
        <v>2206</v>
      </c>
      <c r="Z417" s="41" t="s">
        <v>171</v>
      </c>
      <c r="AA417" s="41" t="s">
        <v>1412</v>
      </c>
      <c r="AC417" s="41" t="s">
        <v>2175</v>
      </c>
    </row>
    <row r="418" spans="6:29" hidden="1" x14ac:dyDescent="0.35">
      <c r="F418" s="40" t="s">
        <v>1849</v>
      </c>
      <c r="G418" s="40" t="s">
        <v>603</v>
      </c>
      <c r="H418" s="40" t="s">
        <v>104</v>
      </c>
      <c r="I418" s="41" t="s">
        <v>104</v>
      </c>
      <c r="J418" s="41" t="s">
        <v>102</v>
      </c>
      <c r="K418" s="41" t="s">
        <v>104</v>
      </c>
      <c r="L418" s="41" t="s">
        <v>104</v>
      </c>
      <c r="M418" s="40" t="s">
        <v>939</v>
      </c>
      <c r="P418" s="40" t="s">
        <v>604</v>
      </c>
      <c r="Q418" s="41" t="s">
        <v>607</v>
      </c>
      <c r="R418" s="41" t="s">
        <v>102</v>
      </c>
      <c r="S418" s="41" t="s">
        <v>949</v>
      </c>
      <c r="T418" s="64">
        <v>45913</v>
      </c>
      <c r="V418" s="41" t="s">
        <v>2202</v>
      </c>
      <c r="W418" s="41" t="s">
        <v>2205</v>
      </c>
      <c r="Y418" s="42" t="s">
        <v>2206</v>
      </c>
      <c r="Z418" s="41" t="s">
        <v>171</v>
      </c>
      <c r="AA418" s="41" t="s">
        <v>1413</v>
      </c>
      <c r="AC418" s="41" t="s">
        <v>2175</v>
      </c>
    </row>
    <row r="419" spans="6:29" hidden="1" x14ac:dyDescent="0.35">
      <c r="F419" s="40" t="s">
        <v>1850</v>
      </c>
      <c r="G419" s="40" t="s">
        <v>603</v>
      </c>
      <c r="H419" s="40" t="s">
        <v>104</v>
      </c>
      <c r="I419" s="41" t="s">
        <v>104</v>
      </c>
      <c r="J419" s="41" t="s">
        <v>102</v>
      </c>
      <c r="K419" s="41" t="s">
        <v>104</v>
      </c>
      <c r="L419" s="41" t="s">
        <v>104</v>
      </c>
      <c r="M419" s="40" t="s">
        <v>936</v>
      </c>
      <c r="P419" s="40" t="s">
        <v>604</v>
      </c>
      <c r="Q419" s="41" t="s">
        <v>607</v>
      </c>
      <c r="R419" s="41" t="s">
        <v>102</v>
      </c>
      <c r="S419" s="41" t="s">
        <v>949</v>
      </c>
      <c r="T419" s="64">
        <v>45913</v>
      </c>
      <c r="V419" s="41" t="s">
        <v>2202</v>
      </c>
      <c r="W419" s="41" t="s">
        <v>2205</v>
      </c>
      <c r="Y419" s="42" t="s">
        <v>2206</v>
      </c>
      <c r="Z419" s="41" t="s">
        <v>171</v>
      </c>
      <c r="AA419" s="41" t="s">
        <v>1414</v>
      </c>
      <c r="AC419" s="41" t="s">
        <v>2175</v>
      </c>
    </row>
    <row r="420" spans="6:29" hidden="1" x14ac:dyDescent="0.35">
      <c r="F420" s="40" t="s">
        <v>1851</v>
      </c>
      <c r="G420" s="40" t="s">
        <v>603</v>
      </c>
      <c r="H420" s="40" t="s">
        <v>104</v>
      </c>
      <c r="I420" s="41" t="s">
        <v>104</v>
      </c>
      <c r="J420" s="41" t="s">
        <v>102</v>
      </c>
      <c r="K420" s="41" t="s">
        <v>104</v>
      </c>
      <c r="L420" s="41" t="s">
        <v>104</v>
      </c>
      <c r="M420" s="40" t="s">
        <v>936</v>
      </c>
      <c r="P420" s="40" t="s">
        <v>604</v>
      </c>
      <c r="Q420" s="41" t="s">
        <v>607</v>
      </c>
      <c r="R420" s="41" t="s">
        <v>102</v>
      </c>
      <c r="S420" s="41" t="s">
        <v>950</v>
      </c>
      <c r="T420" s="64">
        <v>45913</v>
      </c>
      <c r="V420" s="41" t="s">
        <v>2202</v>
      </c>
      <c r="W420" s="41" t="s">
        <v>2205</v>
      </c>
      <c r="Y420" s="42" t="s">
        <v>2206</v>
      </c>
      <c r="Z420" s="41" t="s">
        <v>171</v>
      </c>
      <c r="AA420" s="41" t="s">
        <v>1415</v>
      </c>
      <c r="AC420" s="41" t="s">
        <v>2175</v>
      </c>
    </row>
    <row r="421" spans="6:29" hidden="1" x14ac:dyDescent="0.35">
      <c r="F421" s="40" t="s">
        <v>1852</v>
      </c>
      <c r="G421" s="40" t="s">
        <v>603</v>
      </c>
      <c r="H421" s="40" t="s">
        <v>604</v>
      </c>
      <c r="I421" s="41" t="s">
        <v>605</v>
      </c>
      <c r="J421" s="41" t="s">
        <v>117</v>
      </c>
      <c r="K421" s="41" t="s">
        <v>950</v>
      </c>
      <c r="L421" s="41" t="s">
        <v>104</v>
      </c>
      <c r="M421" s="40" t="s">
        <v>942</v>
      </c>
      <c r="P421" s="40" t="s">
        <v>604</v>
      </c>
      <c r="Q421" s="41" t="s">
        <v>607</v>
      </c>
      <c r="R421" s="41" t="s">
        <v>117</v>
      </c>
      <c r="S421" s="41" t="s">
        <v>950</v>
      </c>
      <c r="T421" s="64">
        <v>45913</v>
      </c>
      <c r="V421" s="41" t="s">
        <v>2202</v>
      </c>
      <c r="W421" s="41" t="s">
        <v>2205</v>
      </c>
      <c r="Y421" s="42" t="s">
        <v>2206</v>
      </c>
      <c r="Z421" s="41" t="s">
        <v>171</v>
      </c>
      <c r="AA421" s="41" t="s">
        <v>1416</v>
      </c>
      <c r="AC421" s="41" t="s">
        <v>2175</v>
      </c>
    </row>
    <row r="422" spans="6:29" hidden="1" x14ac:dyDescent="0.35">
      <c r="F422" s="40" t="s">
        <v>1853</v>
      </c>
      <c r="G422" s="40" t="s">
        <v>603</v>
      </c>
      <c r="L422" s="41" t="s">
        <v>104</v>
      </c>
      <c r="M422" s="40" t="s">
        <v>951</v>
      </c>
      <c r="P422" s="40" t="s">
        <v>604</v>
      </c>
      <c r="Q422" s="41" t="s">
        <v>607</v>
      </c>
      <c r="T422" s="64">
        <v>45913</v>
      </c>
      <c r="V422" s="41" t="s">
        <v>2202</v>
      </c>
      <c r="W422" s="41" t="s">
        <v>2205</v>
      </c>
      <c r="Y422" s="42" t="s">
        <v>2206</v>
      </c>
      <c r="Z422" s="41" t="s">
        <v>171</v>
      </c>
      <c r="AA422" s="41" t="s">
        <v>1417</v>
      </c>
      <c r="AC422" s="41" t="s">
        <v>2175</v>
      </c>
    </row>
    <row r="423" spans="6:29" ht="29" hidden="1" x14ac:dyDescent="0.35">
      <c r="F423" s="40" t="s">
        <v>1854</v>
      </c>
      <c r="G423" s="40" t="s">
        <v>603</v>
      </c>
      <c r="L423" s="41" t="s">
        <v>104</v>
      </c>
      <c r="M423" s="40" t="s">
        <v>952</v>
      </c>
      <c r="P423" s="40" t="s">
        <v>604</v>
      </c>
      <c r="Q423" s="41" t="s">
        <v>607</v>
      </c>
      <c r="T423" s="64">
        <v>45913</v>
      </c>
      <c r="V423" s="41" t="s">
        <v>2202</v>
      </c>
      <c r="W423" s="41" t="s">
        <v>2205</v>
      </c>
      <c r="Y423" s="42" t="s">
        <v>2206</v>
      </c>
      <c r="Z423" s="41" t="s">
        <v>171</v>
      </c>
      <c r="AA423" s="41" t="s">
        <v>1418</v>
      </c>
      <c r="AC423" s="41" t="s">
        <v>2175</v>
      </c>
    </row>
    <row r="424" spans="6:29" hidden="1" x14ac:dyDescent="0.35">
      <c r="F424" s="40" t="s">
        <v>1855</v>
      </c>
      <c r="G424" s="40" t="s">
        <v>603</v>
      </c>
      <c r="L424" s="41" t="s">
        <v>104</v>
      </c>
      <c r="M424" s="40" t="s">
        <v>953</v>
      </c>
      <c r="P424" s="40" t="s">
        <v>604</v>
      </c>
      <c r="Q424" s="41" t="s">
        <v>607</v>
      </c>
      <c r="T424" s="64">
        <v>45913</v>
      </c>
      <c r="V424" s="41" t="s">
        <v>2202</v>
      </c>
      <c r="W424" s="41" t="s">
        <v>2205</v>
      </c>
      <c r="Y424" s="42" t="s">
        <v>2206</v>
      </c>
      <c r="Z424" s="41" t="s">
        <v>171</v>
      </c>
      <c r="AA424" s="41" t="s">
        <v>1419</v>
      </c>
      <c r="AC424" s="41" t="s">
        <v>2175</v>
      </c>
    </row>
    <row r="425" spans="6:29" hidden="1" x14ac:dyDescent="0.35">
      <c r="F425" s="40" t="s">
        <v>1856</v>
      </c>
      <c r="G425" s="40" t="s">
        <v>603</v>
      </c>
      <c r="L425" s="41" t="s">
        <v>104</v>
      </c>
      <c r="M425" s="40" t="s">
        <v>955</v>
      </c>
      <c r="P425" s="40" t="s">
        <v>604</v>
      </c>
      <c r="Q425" s="41" t="s">
        <v>607</v>
      </c>
      <c r="T425" s="64">
        <v>45913</v>
      </c>
      <c r="V425" s="41" t="s">
        <v>2202</v>
      </c>
      <c r="W425" s="41" t="s">
        <v>2205</v>
      </c>
      <c r="Y425" s="42" t="s">
        <v>2206</v>
      </c>
      <c r="Z425" s="41" t="s">
        <v>171</v>
      </c>
      <c r="AA425" s="41" t="s">
        <v>1420</v>
      </c>
      <c r="AC425" s="41" t="s">
        <v>2175</v>
      </c>
    </row>
    <row r="426" spans="6:29" hidden="1" x14ac:dyDescent="0.35">
      <c r="F426" s="40" t="s">
        <v>1857</v>
      </c>
      <c r="G426" s="40" t="s">
        <v>603</v>
      </c>
      <c r="L426" s="41" t="s">
        <v>104</v>
      </c>
      <c r="M426" s="40" t="s">
        <v>957</v>
      </c>
      <c r="P426" s="40" t="s">
        <v>604</v>
      </c>
      <c r="Q426" s="41" t="s">
        <v>607</v>
      </c>
      <c r="T426" s="64">
        <v>45913</v>
      </c>
      <c r="V426" s="41" t="s">
        <v>2202</v>
      </c>
      <c r="W426" s="41" t="s">
        <v>2205</v>
      </c>
      <c r="Y426" s="42" t="s">
        <v>2206</v>
      </c>
      <c r="Z426" s="41" t="s">
        <v>171</v>
      </c>
      <c r="AA426" s="41" t="s">
        <v>1421</v>
      </c>
      <c r="AC426" s="41" t="s">
        <v>2175</v>
      </c>
    </row>
    <row r="427" spans="6:29" hidden="1" x14ac:dyDescent="0.35">
      <c r="F427" s="40" t="s">
        <v>1858</v>
      </c>
      <c r="G427" s="40" t="s">
        <v>603</v>
      </c>
      <c r="H427" s="40" t="s">
        <v>104</v>
      </c>
      <c r="I427" s="41" t="s">
        <v>104</v>
      </c>
      <c r="J427" s="41" t="s">
        <v>102</v>
      </c>
      <c r="K427" s="41" t="s">
        <v>104</v>
      </c>
      <c r="L427" s="41" t="s">
        <v>104</v>
      </c>
      <c r="M427" s="40" t="s">
        <v>959</v>
      </c>
      <c r="P427" s="40" t="s">
        <v>604</v>
      </c>
      <c r="Q427" s="41" t="s">
        <v>607</v>
      </c>
      <c r="R427" s="41" t="s">
        <v>102</v>
      </c>
      <c r="T427" s="64">
        <v>45913</v>
      </c>
      <c r="V427" s="41" t="s">
        <v>2202</v>
      </c>
      <c r="W427" s="41" t="s">
        <v>2205</v>
      </c>
      <c r="Y427" s="42" t="s">
        <v>2206</v>
      </c>
      <c r="Z427" s="41" t="s">
        <v>171</v>
      </c>
      <c r="AA427" s="41" t="s">
        <v>1422</v>
      </c>
      <c r="AC427" s="41" t="s">
        <v>2175</v>
      </c>
    </row>
    <row r="428" spans="6:29" ht="29" hidden="1" x14ac:dyDescent="0.35">
      <c r="F428" s="40" t="s">
        <v>1859</v>
      </c>
      <c r="G428" s="40" t="s">
        <v>603</v>
      </c>
      <c r="H428" s="40" t="s">
        <v>104</v>
      </c>
      <c r="I428" s="41" t="s">
        <v>104</v>
      </c>
      <c r="J428" s="41" t="s">
        <v>120</v>
      </c>
      <c r="K428" s="41">
        <v>559</v>
      </c>
      <c r="L428" s="41" t="s">
        <v>104</v>
      </c>
      <c r="M428" s="40" t="s">
        <v>963</v>
      </c>
      <c r="P428" s="40" t="s">
        <v>604</v>
      </c>
      <c r="Q428" s="41" t="s">
        <v>607</v>
      </c>
      <c r="R428" s="41" t="s">
        <v>120</v>
      </c>
      <c r="T428" s="64">
        <v>45913</v>
      </c>
      <c r="V428" s="41" t="s">
        <v>2202</v>
      </c>
      <c r="W428" s="41" t="s">
        <v>2205</v>
      </c>
      <c r="Y428" s="42" t="s">
        <v>2206</v>
      </c>
      <c r="Z428" s="41" t="s">
        <v>171</v>
      </c>
      <c r="AA428" s="41" t="s">
        <v>1423</v>
      </c>
      <c r="AC428" s="41" t="s">
        <v>2175</v>
      </c>
    </row>
    <row r="429" spans="6:29" ht="29" hidden="1" x14ac:dyDescent="0.35">
      <c r="F429" s="40" t="s">
        <v>1860</v>
      </c>
      <c r="G429" s="40" t="s">
        <v>603</v>
      </c>
      <c r="H429" s="40" t="s">
        <v>104</v>
      </c>
      <c r="I429" s="41" t="s">
        <v>104</v>
      </c>
      <c r="J429" s="41" t="s">
        <v>125</v>
      </c>
      <c r="K429" s="41">
        <v>553</v>
      </c>
      <c r="L429" s="41" t="s">
        <v>104</v>
      </c>
      <c r="M429" s="40" t="s">
        <v>964</v>
      </c>
      <c r="P429" s="40" t="s">
        <v>604</v>
      </c>
      <c r="Q429" s="41" t="s">
        <v>607</v>
      </c>
      <c r="R429" s="41" t="s">
        <v>125</v>
      </c>
      <c r="T429" s="64">
        <v>45913</v>
      </c>
      <c r="V429" s="41" t="s">
        <v>2202</v>
      </c>
      <c r="W429" s="41" t="s">
        <v>2205</v>
      </c>
      <c r="Y429" s="42" t="s">
        <v>2206</v>
      </c>
      <c r="Z429" s="41" t="s">
        <v>171</v>
      </c>
      <c r="AA429" s="41" t="s">
        <v>1424</v>
      </c>
      <c r="AC429" s="41" t="s">
        <v>2175</v>
      </c>
    </row>
    <row r="430" spans="6:29" hidden="1" x14ac:dyDescent="0.35">
      <c r="F430" s="40" t="s">
        <v>1861</v>
      </c>
      <c r="G430" s="40" t="s">
        <v>603</v>
      </c>
      <c r="H430" s="40" t="s">
        <v>104</v>
      </c>
      <c r="I430" s="41" t="s">
        <v>104</v>
      </c>
      <c r="J430" s="41" t="s">
        <v>125</v>
      </c>
      <c r="K430" s="41">
        <v>553</v>
      </c>
      <c r="L430" s="41" t="s">
        <v>104</v>
      </c>
      <c r="M430" s="40" t="s">
        <v>965</v>
      </c>
      <c r="P430" s="40" t="s">
        <v>604</v>
      </c>
      <c r="Q430" s="41" t="s">
        <v>607</v>
      </c>
      <c r="R430" s="41" t="s">
        <v>125</v>
      </c>
      <c r="T430" s="64">
        <v>45913</v>
      </c>
      <c r="V430" s="41" t="s">
        <v>2202</v>
      </c>
      <c r="W430" s="41" t="s">
        <v>2205</v>
      </c>
      <c r="Y430" s="42" t="s">
        <v>2206</v>
      </c>
      <c r="Z430" s="41" t="s">
        <v>171</v>
      </c>
      <c r="AA430" s="41" t="s">
        <v>1425</v>
      </c>
      <c r="AC430" s="41" t="s">
        <v>2175</v>
      </c>
    </row>
    <row r="431" spans="6:29" hidden="1" x14ac:dyDescent="0.35">
      <c r="F431" s="40" t="s">
        <v>1862</v>
      </c>
      <c r="G431" s="40" t="s">
        <v>603</v>
      </c>
      <c r="H431" s="40" t="s">
        <v>104</v>
      </c>
      <c r="I431" s="41" t="s">
        <v>104</v>
      </c>
      <c r="J431" s="41" t="s">
        <v>125</v>
      </c>
      <c r="K431" s="41">
        <v>553</v>
      </c>
      <c r="L431" s="41" t="s">
        <v>104</v>
      </c>
      <c r="M431" s="40" t="s">
        <v>966</v>
      </c>
      <c r="P431" s="40" t="s">
        <v>604</v>
      </c>
      <c r="Q431" s="41" t="s">
        <v>607</v>
      </c>
      <c r="R431" s="41" t="s">
        <v>125</v>
      </c>
      <c r="T431" s="64">
        <v>45913</v>
      </c>
      <c r="V431" s="41" t="s">
        <v>2202</v>
      </c>
      <c r="W431" s="41" t="s">
        <v>2205</v>
      </c>
      <c r="Y431" s="42" t="s">
        <v>2206</v>
      </c>
      <c r="Z431" s="41" t="s">
        <v>171</v>
      </c>
      <c r="AA431" s="41" t="s">
        <v>1426</v>
      </c>
      <c r="AC431" s="41" t="s">
        <v>2175</v>
      </c>
    </row>
    <row r="432" spans="6:29" hidden="1" x14ac:dyDescent="0.35">
      <c r="F432" s="40" t="s">
        <v>1863</v>
      </c>
      <c r="G432" s="40" t="s">
        <v>603</v>
      </c>
      <c r="H432" s="40" t="s">
        <v>604</v>
      </c>
      <c r="I432" s="41" t="s">
        <v>605</v>
      </c>
      <c r="J432" s="41" t="s">
        <v>102</v>
      </c>
      <c r="L432" s="41" t="s">
        <v>104</v>
      </c>
      <c r="M432" s="40" t="s">
        <v>967</v>
      </c>
      <c r="P432" s="40" t="s">
        <v>604</v>
      </c>
      <c r="Q432" s="41" t="s">
        <v>607</v>
      </c>
      <c r="R432" s="41" t="s">
        <v>102</v>
      </c>
      <c r="T432" s="64">
        <v>45913</v>
      </c>
      <c r="V432" s="41" t="s">
        <v>2202</v>
      </c>
      <c r="W432" s="41" t="s">
        <v>2205</v>
      </c>
      <c r="Y432" s="42" t="s">
        <v>2206</v>
      </c>
      <c r="Z432" s="41" t="s">
        <v>171</v>
      </c>
      <c r="AA432" s="41" t="s">
        <v>1427</v>
      </c>
      <c r="AC432" s="41" t="s">
        <v>2175</v>
      </c>
    </row>
    <row r="433" spans="6:29" ht="29" hidden="1" x14ac:dyDescent="0.35">
      <c r="F433" s="40" t="s">
        <v>1864</v>
      </c>
      <c r="G433" s="40" t="s">
        <v>603</v>
      </c>
      <c r="L433" s="41" t="s">
        <v>104</v>
      </c>
      <c r="M433" s="40" t="s">
        <v>970</v>
      </c>
      <c r="P433" s="40" t="s">
        <v>604</v>
      </c>
      <c r="Q433" s="41" t="s">
        <v>607</v>
      </c>
      <c r="T433" s="64">
        <v>45913</v>
      </c>
      <c r="V433" s="41" t="s">
        <v>2202</v>
      </c>
      <c r="W433" s="41" t="s">
        <v>2205</v>
      </c>
      <c r="Y433" s="42" t="s">
        <v>2206</v>
      </c>
      <c r="Z433" s="41" t="s">
        <v>171</v>
      </c>
      <c r="AA433" s="41" t="s">
        <v>1428</v>
      </c>
      <c r="AC433" s="41" t="s">
        <v>2175</v>
      </c>
    </row>
    <row r="434" spans="6:29" hidden="1" x14ac:dyDescent="0.35">
      <c r="F434" s="40" t="s">
        <v>1865</v>
      </c>
      <c r="G434" s="40" t="s">
        <v>603</v>
      </c>
      <c r="L434" s="41" t="s">
        <v>104</v>
      </c>
      <c r="M434" s="40" t="s">
        <v>973</v>
      </c>
      <c r="P434" s="40" t="s">
        <v>604</v>
      </c>
      <c r="Q434" s="41" t="s">
        <v>607</v>
      </c>
      <c r="T434" s="64">
        <v>45913</v>
      </c>
      <c r="V434" s="41" t="s">
        <v>2202</v>
      </c>
      <c r="W434" s="41" t="s">
        <v>2205</v>
      </c>
      <c r="Y434" s="42" t="s">
        <v>2206</v>
      </c>
      <c r="Z434" s="41" t="s">
        <v>171</v>
      </c>
      <c r="AA434" s="41" t="s">
        <v>1429</v>
      </c>
      <c r="AC434" s="41" t="s">
        <v>2175</v>
      </c>
    </row>
    <row r="435" spans="6:29" hidden="1" x14ac:dyDescent="0.35">
      <c r="F435" s="40" t="s">
        <v>1866</v>
      </c>
      <c r="G435" s="40" t="s">
        <v>603</v>
      </c>
      <c r="L435" s="41" t="s">
        <v>104</v>
      </c>
      <c r="M435" s="40" t="s">
        <v>976</v>
      </c>
      <c r="P435" s="40" t="s">
        <v>604</v>
      </c>
      <c r="Q435" s="41" t="s">
        <v>607</v>
      </c>
      <c r="T435" s="64">
        <v>45913</v>
      </c>
      <c r="V435" s="41" t="s">
        <v>2202</v>
      </c>
      <c r="W435" s="41" t="s">
        <v>2205</v>
      </c>
      <c r="Y435" s="42" t="s">
        <v>2206</v>
      </c>
      <c r="Z435" s="41" t="s">
        <v>171</v>
      </c>
      <c r="AA435" s="41" t="s">
        <v>1430</v>
      </c>
      <c r="AC435" s="41" t="s">
        <v>2175</v>
      </c>
    </row>
    <row r="436" spans="6:29" hidden="1" x14ac:dyDescent="0.35">
      <c r="F436" s="40" t="s">
        <v>1867</v>
      </c>
      <c r="G436" s="40" t="s">
        <v>603</v>
      </c>
      <c r="K436" s="41" t="s">
        <v>979</v>
      </c>
      <c r="L436" s="41" t="s">
        <v>104</v>
      </c>
      <c r="M436" s="40" t="s">
        <v>978</v>
      </c>
      <c r="P436" s="40" t="s">
        <v>604</v>
      </c>
      <c r="Q436" s="41" t="s">
        <v>607</v>
      </c>
      <c r="T436" s="64">
        <v>45913</v>
      </c>
      <c r="V436" s="41" t="s">
        <v>2202</v>
      </c>
      <c r="W436" s="41" t="s">
        <v>2205</v>
      </c>
      <c r="Y436" s="42" t="s">
        <v>2206</v>
      </c>
      <c r="Z436" s="41" t="s">
        <v>171</v>
      </c>
      <c r="AA436" s="41" t="s">
        <v>1431</v>
      </c>
      <c r="AC436" s="41" t="s">
        <v>2175</v>
      </c>
    </row>
    <row r="437" spans="6:29" hidden="1" x14ac:dyDescent="0.35">
      <c r="F437" s="40" t="s">
        <v>1868</v>
      </c>
      <c r="G437" s="40" t="s">
        <v>603</v>
      </c>
      <c r="I437" s="41" t="s">
        <v>605</v>
      </c>
      <c r="K437" s="41" t="s">
        <v>982</v>
      </c>
      <c r="L437" s="41" t="s">
        <v>104</v>
      </c>
      <c r="M437" s="40" t="s">
        <v>980</v>
      </c>
      <c r="P437" s="40" t="s">
        <v>604</v>
      </c>
      <c r="Q437" s="41" t="s">
        <v>607</v>
      </c>
      <c r="T437" s="64">
        <v>45913</v>
      </c>
      <c r="V437" s="41" t="s">
        <v>2202</v>
      </c>
      <c r="W437" s="41" t="s">
        <v>2205</v>
      </c>
      <c r="Y437" s="42" t="s">
        <v>2206</v>
      </c>
      <c r="Z437" s="41" t="s">
        <v>171</v>
      </c>
      <c r="AA437" s="41" t="s">
        <v>1432</v>
      </c>
      <c r="AC437" s="41" t="s">
        <v>2175</v>
      </c>
    </row>
    <row r="438" spans="6:29" hidden="1" x14ac:dyDescent="0.35">
      <c r="F438" s="40" t="s">
        <v>1869</v>
      </c>
      <c r="G438" s="40" t="s">
        <v>603</v>
      </c>
      <c r="M438" s="40" t="s">
        <v>983</v>
      </c>
      <c r="P438" s="40" t="s">
        <v>987</v>
      </c>
      <c r="T438" s="64">
        <v>45913</v>
      </c>
      <c r="V438" s="41" t="s">
        <v>2202</v>
      </c>
      <c r="W438" s="41" t="s">
        <v>2205</v>
      </c>
      <c r="Y438" s="42" t="s">
        <v>2206</v>
      </c>
      <c r="Z438" s="41" t="s">
        <v>171</v>
      </c>
      <c r="AA438" s="41" t="s">
        <v>1433</v>
      </c>
      <c r="AC438" s="41" t="s">
        <v>2175</v>
      </c>
    </row>
    <row r="439" spans="6:29" hidden="1" x14ac:dyDescent="0.35">
      <c r="F439" s="40" t="s">
        <v>1870</v>
      </c>
      <c r="G439" s="40" t="s">
        <v>603</v>
      </c>
      <c r="H439" s="40" t="s">
        <v>104</v>
      </c>
      <c r="I439" s="41" t="s">
        <v>104</v>
      </c>
      <c r="J439" s="41" t="s">
        <v>104</v>
      </c>
      <c r="K439" s="41" t="s">
        <v>104</v>
      </c>
      <c r="M439" s="40" t="s">
        <v>988</v>
      </c>
      <c r="P439" s="40" t="s">
        <v>990</v>
      </c>
      <c r="Q439" s="41" t="s">
        <v>607</v>
      </c>
      <c r="T439" s="64">
        <v>45913</v>
      </c>
      <c r="V439" s="41" t="s">
        <v>2202</v>
      </c>
      <c r="W439" s="41" t="s">
        <v>2205</v>
      </c>
      <c r="Y439" s="42" t="s">
        <v>2206</v>
      </c>
      <c r="Z439" s="41" t="s">
        <v>171</v>
      </c>
      <c r="AA439" s="41" t="s">
        <v>1434</v>
      </c>
      <c r="AC439" s="41" t="s">
        <v>2175</v>
      </c>
    </row>
    <row r="440" spans="6:29" ht="29" hidden="1" x14ac:dyDescent="0.35">
      <c r="F440" s="40" t="s">
        <v>1871</v>
      </c>
      <c r="G440" s="40" t="s">
        <v>603</v>
      </c>
      <c r="M440" s="40" t="s">
        <v>991</v>
      </c>
      <c r="P440" s="40" t="s">
        <v>993</v>
      </c>
      <c r="T440" s="64">
        <v>45913</v>
      </c>
      <c r="V440" s="41" t="s">
        <v>2202</v>
      </c>
      <c r="W440" s="41" t="s">
        <v>2205</v>
      </c>
      <c r="Y440" s="42" t="s">
        <v>2206</v>
      </c>
      <c r="AA440" s="41" t="s">
        <v>1435</v>
      </c>
      <c r="AC440" s="41" t="s">
        <v>2175</v>
      </c>
    </row>
    <row r="441" spans="6:29" hidden="1" x14ac:dyDescent="0.35">
      <c r="F441" s="40" t="s">
        <v>1872</v>
      </c>
      <c r="G441" s="40" t="s">
        <v>603</v>
      </c>
      <c r="M441" s="40" t="s">
        <v>994</v>
      </c>
      <c r="P441" s="40" t="s">
        <v>996</v>
      </c>
      <c r="T441" s="64">
        <v>45913</v>
      </c>
      <c r="V441" s="41" t="s">
        <v>2202</v>
      </c>
      <c r="W441" s="41" t="s">
        <v>2205</v>
      </c>
      <c r="Y441" s="42" t="s">
        <v>2206</v>
      </c>
      <c r="AA441" s="41" t="s">
        <v>1436</v>
      </c>
      <c r="AC441" s="41" t="s">
        <v>2175</v>
      </c>
    </row>
    <row r="442" spans="6:29" hidden="1" x14ac:dyDescent="0.35">
      <c r="F442" s="40" t="s">
        <v>1873</v>
      </c>
      <c r="G442" s="40" t="s">
        <v>603</v>
      </c>
      <c r="H442" s="40" t="s">
        <v>104</v>
      </c>
      <c r="I442" s="41" t="s">
        <v>104</v>
      </c>
      <c r="K442" s="41" t="s">
        <v>104</v>
      </c>
      <c r="M442" s="40" t="s">
        <v>997</v>
      </c>
      <c r="P442" s="40" t="s">
        <v>1000</v>
      </c>
      <c r="Q442" s="41" t="s">
        <v>607</v>
      </c>
      <c r="R442" s="41" t="s">
        <v>125</v>
      </c>
      <c r="S442" s="41">
        <v>553</v>
      </c>
      <c r="T442" s="64">
        <v>45913</v>
      </c>
      <c r="V442" s="41" t="s">
        <v>2202</v>
      </c>
      <c r="W442" s="41" t="s">
        <v>2205</v>
      </c>
      <c r="Y442" s="42" t="s">
        <v>2206</v>
      </c>
      <c r="Z442" s="41" t="s">
        <v>171</v>
      </c>
      <c r="AA442" s="41" t="s">
        <v>1437</v>
      </c>
      <c r="AC442" s="41" t="s">
        <v>2175</v>
      </c>
    </row>
    <row r="443" spans="6:29" hidden="1" x14ac:dyDescent="0.35">
      <c r="F443" s="40" t="s">
        <v>1874</v>
      </c>
      <c r="G443" s="40" t="s">
        <v>603</v>
      </c>
      <c r="M443" s="40" t="s">
        <v>1001</v>
      </c>
      <c r="P443" s="40" t="s">
        <v>1003</v>
      </c>
      <c r="T443" s="64">
        <v>45913</v>
      </c>
      <c r="V443" s="41" t="s">
        <v>2202</v>
      </c>
      <c r="W443" s="41" t="s">
        <v>2205</v>
      </c>
      <c r="Y443" s="42" t="s">
        <v>2206</v>
      </c>
      <c r="AA443" s="41" t="s">
        <v>1438</v>
      </c>
      <c r="AC443" s="41" t="s">
        <v>2175</v>
      </c>
    </row>
    <row r="444" spans="6:29" hidden="1" x14ac:dyDescent="0.35">
      <c r="F444" s="40" t="s">
        <v>1875</v>
      </c>
      <c r="T444" s="64">
        <v>45913</v>
      </c>
      <c r="Y444" s="42"/>
      <c r="AA444" s="41" t="s">
        <v>1439</v>
      </c>
      <c r="AC444" s="41" t="s">
        <v>2175</v>
      </c>
    </row>
  </sheetData>
  <phoneticPr fontId="5" type="noConversion"/>
  <conditionalFormatting sqref="Z8:Z444">
    <cfRule type="cellIs" dxfId="420" priority="1" stopIfTrue="1" operator="equal">
      <formula>"Yes"</formula>
    </cfRule>
  </conditionalFormatting>
  <conditionalFormatting sqref="F8:AD444">
    <cfRule type="expression" dxfId="419" priority="2" stopIfTrue="1">
      <formula>$X8="On Track"</formula>
    </cfRule>
    <cfRule type="expression" dxfId="418" priority="3" stopIfTrue="1">
      <formula>$X8="Issue"</formula>
    </cfRule>
    <cfRule type="expression" dxfId="417" priority="4" stopIfTrue="1">
      <formula>$X8="Complete"</formula>
    </cfRule>
  </conditionalFormatting>
  <dataValidations count="4">
    <dataValidation type="list" allowBlank="1" showInputMessage="1" showErrorMessage="1" sqref="J8:J444 R8:R444" xr:uid="{5A8187D8-028E-4911-A84A-F6AAD931B476}">
      <formula1>RoomTypeList</formula1>
    </dataValidation>
    <dataValidation type="list" allowBlank="1" showInputMessage="1" showErrorMessage="1" sqref="L8:L444" xr:uid="{DDFACC39-03CC-4947-915E-287041A60496}">
      <formula1>OccupantsList</formula1>
    </dataValidation>
    <dataValidation type="list" allowBlank="1" showInputMessage="1" showErrorMessage="1" sqref="X8:X444" xr:uid="{8A61690E-630F-4D36-99A8-28679DF5B279}">
      <formula1>MoveStatusList</formula1>
    </dataValidation>
    <dataValidation type="list" allowBlank="1" showInputMessage="1" showErrorMessage="1" sqref="Z8:Z444" xr:uid="{B6ED559C-A801-4795-8CF5-FEEAD71BEA8A}">
      <formula1>SwingSpaceItemList</formula1>
    </dataValidation>
  </dataValidations>
  <pageMargins left="0.7" right="0.7" top="0.75" bottom="0.75" header="0.3" footer="0.3"/>
  <pageSetup scale="16"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4DCD1-91C3-4AE7-9932-12B6239B8A78}">
  <sheetPr codeName="Sheet7">
    <pageSetUpPr autoPageBreaks="0"/>
  </sheetPr>
  <dimension ref="F1:AK290"/>
  <sheetViews>
    <sheetView showGridLines="0" showRowColHeaders="0" zoomScaleNormal="100" workbookViewId="0">
      <pane xSplit="5" ySplit="7" topLeftCell="V8" activePane="bottomRight" state="frozen"/>
      <selection pane="topRight" activeCell="F1" sqref="F1"/>
      <selection pane="bottomLeft" activeCell="A8" sqref="A8"/>
      <selection pane="bottomRight" activeCell="AE15" sqref="AE15"/>
    </sheetView>
  </sheetViews>
  <sheetFormatPr defaultRowHeight="14.5" x14ac:dyDescent="0.35"/>
  <cols>
    <col min="5" max="5" width="3.54296875" customWidth="1"/>
    <col min="6" max="7" width="22.08984375" style="40" customWidth="1"/>
    <col min="8" max="8" width="25.453125" style="41" customWidth="1"/>
    <col min="9" max="9" width="22.54296875" style="41" customWidth="1"/>
    <col min="10" max="12" width="32.90625" style="40" customWidth="1"/>
    <col min="13" max="13" width="20.453125" style="41" customWidth="1"/>
    <col min="14" max="14" width="14.453125" style="41" customWidth="1"/>
    <col min="15" max="15" width="29.90625" style="40" customWidth="1"/>
    <col min="16" max="16" width="22.90625" style="41" customWidth="1"/>
    <col min="17" max="17" width="20.08984375" style="41" customWidth="1"/>
    <col min="18" max="18" width="17.54296875" style="41" customWidth="1"/>
    <col min="19" max="19" width="19.54296875" style="41" bestFit="1" customWidth="1"/>
    <col min="20" max="20" width="22.54296875" style="41" customWidth="1"/>
    <col min="21" max="21" width="31.453125" style="40" customWidth="1"/>
    <col min="22" max="22" width="28.54296875" style="41" customWidth="1"/>
    <col min="23" max="23" width="21.54296875" style="41" customWidth="1"/>
    <col min="24" max="24" width="25.90625" style="41" customWidth="1"/>
    <col min="25" max="25" width="19.453125" style="41" customWidth="1"/>
    <col min="26" max="26" width="15.08984375" style="41" customWidth="1"/>
    <col min="27" max="27" width="28.54296875" style="40" customWidth="1"/>
    <col min="28" max="28" width="13" style="41" bestFit="1" customWidth="1"/>
    <col min="29" max="29" width="17.453125" style="41" customWidth="1"/>
    <col min="30" max="30" width="10.54296875" style="41" bestFit="1" customWidth="1"/>
    <col min="31" max="31" width="13.08984375" style="41" bestFit="1" customWidth="1"/>
    <col min="32" max="32" width="23" style="40" customWidth="1"/>
    <col min="33" max="33" width="17.54296875" style="41" customWidth="1"/>
    <col min="34" max="34" width="21.90625" style="41" customWidth="1"/>
    <col min="35" max="35" width="16.90625" style="41" bestFit="1" customWidth="1"/>
    <col min="36" max="36" width="20.08984375" style="41" customWidth="1"/>
    <col min="37" max="37" width="36.54296875" style="40" customWidth="1"/>
  </cols>
  <sheetData>
    <row r="1" spans="6:37" x14ac:dyDescent="0.35">
      <c r="F1"/>
      <c r="G1"/>
      <c r="H1"/>
      <c r="I1"/>
      <c r="J1"/>
      <c r="K1"/>
      <c r="L1"/>
      <c r="M1"/>
      <c r="N1"/>
      <c r="O1"/>
      <c r="P1"/>
      <c r="Q1"/>
      <c r="R1"/>
      <c r="S1"/>
      <c r="T1"/>
      <c r="U1"/>
      <c r="V1"/>
      <c r="W1"/>
      <c r="X1"/>
      <c r="Y1"/>
      <c r="Z1"/>
      <c r="AA1"/>
      <c r="AB1"/>
      <c r="AC1"/>
      <c r="AD1"/>
      <c r="AE1"/>
      <c r="AF1"/>
      <c r="AG1"/>
      <c r="AH1"/>
      <c r="AI1"/>
      <c r="AJ1"/>
      <c r="AK1"/>
    </row>
    <row r="2" spans="6:37" x14ac:dyDescent="0.35">
      <c r="F2"/>
      <c r="G2"/>
      <c r="H2"/>
      <c r="I2"/>
      <c r="J2"/>
      <c r="K2"/>
      <c r="L2"/>
      <c r="M2"/>
      <c r="N2"/>
      <c r="O2"/>
      <c r="P2"/>
      <c r="Q2"/>
      <c r="R2"/>
      <c r="S2"/>
      <c r="T2"/>
      <c r="U2"/>
      <c r="V2"/>
      <c r="W2"/>
      <c r="X2"/>
      <c r="Y2"/>
      <c r="Z2"/>
      <c r="AA2"/>
      <c r="AB2"/>
      <c r="AC2"/>
      <c r="AD2"/>
      <c r="AE2"/>
      <c r="AF2"/>
      <c r="AG2"/>
      <c r="AH2"/>
      <c r="AI2"/>
      <c r="AJ2"/>
      <c r="AK2"/>
    </row>
    <row r="3" spans="6:37" x14ac:dyDescent="0.35">
      <c r="F3"/>
      <c r="G3"/>
      <c r="H3"/>
      <c r="I3"/>
      <c r="J3"/>
      <c r="K3"/>
      <c r="L3"/>
      <c r="M3"/>
      <c r="N3"/>
      <c r="O3"/>
      <c r="P3"/>
      <c r="Q3"/>
      <c r="R3"/>
      <c r="S3"/>
      <c r="T3"/>
      <c r="U3"/>
      <c r="V3"/>
      <c r="W3"/>
      <c r="X3"/>
      <c r="Y3"/>
      <c r="Z3"/>
      <c r="AA3"/>
      <c r="AB3"/>
      <c r="AC3"/>
      <c r="AD3"/>
      <c r="AE3"/>
      <c r="AF3"/>
      <c r="AG3"/>
      <c r="AH3"/>
      <c r="AI3"/>
      <c r="AJ3"/>
      <c r="AK3"/>
    </row>
    <row r="4" spans="6:37" x14ac:dyDescent="0.35">
      <c r="F4"/>
      <c r="G4"/>
      <c r="H4"/>
      <c r="I4"/>
      <c r="J4"/>
      <c r="K4"/>
      <c r="L4"/>
      <c r="M4"/>
      <c r="N4"/>
      <c r="O4"/>
      <c r="P4"/>
      <c r="Q4"/>
      <c r="R4"/>
      <c r="S4"/>
      <c r="T4"/>
      <c r="U4"/>
      <c r="V4"/>
      <c r="W4"/>
      <c r="X4"/>
      <c r="Y4"/>
      <c r="Z4"/>
      <c r="AA4"/>
      <c r="AB4"/>
      <c r="AC4"/>
      <c r="AD4"/>
      <c r="AE4"/>
      <c r="AF4"/>
      <c r="AG4"/>
      <c r="AH4"/>
      <c r="AI4"/>
      <c r="AJ4"/>
      <c r="AK4"/>
    </row>
    <row r="5" spans="6:37" x14ac:dyDescent="0.35">
      <c r="F5"/>
      <c r="G5"/>
      <c r="H5"/>
      <c r="I5"/>
      <c r="J5"/>
      <c r="K5"/>
      <c r="L5"/>
      <c r="M5"/>
      <c r="N5"/>
      <c r="O5"/>
      <c r="P5"/>
      <c r="Q5"/>
      <c r="R5"/>
      <c r="S5"/>
      <c r="T5"/>
      <c r="U5"/>
      <c r="V5"/>
      <c r="W5"/>
      <c r="X5"/>
      <c r="Y5"/>
      <c r="Z5"/>
      <c r="AA5"/>
      <c r="AB5"/>
      <c r="AC5"/>
      <c r="AD5"/>
      <c r="AE5"/>
      <c r="AF5"/>
      <c r="AG5"/>
      <c r="AH5"/>
      <c r="AI5"/>
      <c r="AJ5"/>
      <c r="AK5"/>
    </row>
    <row r="6" spans="6:37" x14ac:dyDescent="0.35">
      <c r="F6"/>
      <c r="G6"/>
      <c r="H6"/>
      <c r="I6"/>
      <c r="J6"/>
      <c r="K6"/>
      <c r="L6"/>
      <c r="M6"/>
      <c r="N6"/>
      <c r="O6"/>
      <c r="P6"/>
      <c r="Q6"/>
      <c r="R6"/>
      <c r="S6"/>
      <c r="T6"/>
      <c r="U6"/>
      <c r="V6"/>
      <c r="W6"/>
      <c r="X6"/>
      <c r="Y6"/>
      <c r="Z6"/>
      <c r="AA6"/>
      <c r="AB6"/>
      <c r="AC6"/>
      <c r="AD6"/>
      <c r="AE6"/>
      <c r="AF6"/>
      <c r="AG6"/>
      <c r="AH6"/>
      <c r="AI6"/>
      <c r="AJ6"/>
      <c r="AK6"/>
    </row>
    <row r="7" spans="6:37" ht="29" x14ac:dyDescent="0.35">
      <c r="F7" s="30" t="s">
        <v>84</v>
      </c>
      <c r="G7" s="31" t="s">
        <v>92</v>
      </c>
      <c r="H7" s="34" t="s">
        <v>89</v>
      </c>
      <c r="I7" s="34" t="s">
        <v>68</v>
      </c>
      <c r="J7" s="34" t="s">
        <v>69</v>
      </c>
      <c r="K7" s="34" t="s">
        <v>70</v>
      </c>
      <c r="L7" s="34" t="s">
        <v>71</v>
      </c>
      <c r="M7" s="32" t="s">
        <v>74</v>
      </c>
      <c r="N7" s="32" t="s">
        <v>48</v>
      </c>
      <c r="O7" s="32" t="s">
        <v>42</v>
      </c>
      <c r="P7" s="32" t="s">
        <v>43</v>
      </c>
      <c r="Q7" s="32" t="s">
        <v>38</v>
      </c>
      <c r="R7" s="32" t="s">
        <v>39</v>
      </c>
      <c r="S7" s="33" t="s">
        <v>78</v>
      </c>
      <c r="T7" s="33" t="s">
        <v>76</v>
      </c>
      <c r="U7" s="33" t="s">
        <v>72</v>
      </c>
      <c r="V7" s="33" t="s">
        <v>249</v>
      </c>
      <c r="W7" s="32" t="s">
        <v>73</v>
      </c>
      <c r="X7" s="32" t="s">
        <v>75</v>
      </c>
      <c r="Y7" s="33" t="s">
        <v>77</v>
      </c>
      <c r="Z7" s="33" t="s">
        <v>53</v>
      </c>
      <c r="AA7" s="33" t="s">
        <v>44</v>
      </c>
      <c r="AB7" s="33" t="s">
        <v>45</v>
      </c>
      <c r="AC7" s="33" t="s">
        <v>40</v>
      </c>
      <c r="AD7" s="33" t="s">
        <v>41</v>
      </c>
      <c r="AE7" s="33" t="s">
        <v>67</v>
      </c>
      <c r="AF7" s="33" t="s">
        <v>250</v>
      </c>
      <c r="AG7" s="33" t="s">
        <v>244</v>
      </c>
      <c r="AH7" s="33" t="s">
        <v>88</v>
      </c>
      <c r="AI7" s="33" t="s">
        <v>86</v>
      </c>
      <c r="AJ7" s="33" t="s">
        <v>51</v>
      </c>
      <c r="AK7" s="32" t="s">
        <v>25</v>
      </c>
    </row>
    <row r="8" spans="6:37" x14ac:dyDescent="0.35">
      <c r="F8" s="40" t="s">
        <v>245</v>
      </c>
      <c r="G8" s="40" t="s">
        <v>603</v>
      </c>
      <c r="H8" s="41" t="s">
        <v>208</v>
      </c>
      <c r="J8" s="40" t="s">
        <v>600</v>
      </c>
      <c r="O8" s="40" t="s">
        <v>604</v>
      </c>
      <c r="P8" s="41" t="s">
        <v>607</v>
      </c>
      <c r="Q8" s="41" t="s">
        <v>121</v>
      </c>
      <c r="R8" s="41">
        <v>568</v>
      </c>
      <c r="S8" s="86" t="s">
        <v>104</v>
      </c>
      <c r="T8" s="86">
        <v>45748</v>
      </c>
      <c r="U8" s="40" t="s">
        <v>604</v>
      </c>
      <c r="V8" s="41" t="s">
        <v>605</v>
      </c>
      <c r="W8" s="41" t="s">
        <v>116</v>
      </c>
      <c r="X8" s="41" t="s">
        <v>606</v>
      </c>
      <c r="Y8" s="64">
        <v>45920</v>
      </c>
      <c r="Z8" s="64"/>
      <c r="AA8" s="40" t="s">
        <v>604</v>
      </c>
      <c r="AB8" s="41" t="s">
        <v>607</v>
      </c>
      <c r="AC8" s="41" t="s">
        <v>121</v>
      </c>
      <c r="AD8" s="41">
        <v>568</v>
      </c>
      <c r="AE8" s="41" t="s">
        <v>162</v>
      </c>
      <c r="AF8" s="42"/>
      <c r="AH8" s="41" t="s">
        <v>241</v>
      </c>
      <c r="AI8" s="41" t="s">
        <v>66</v>
      </c>
      <c r="AJ8" s="41" t="s">
        <v>2175</v>
      </c>
    </row>
    <row r="9" spans="6:37" ht="29" x14ac:dyDescent="0.35">
      <c r="F9" s="40" t="s">
        <v>1876</v>
      </c>
      <c r="G9" s="40" t="s">
        <v>603</v>
      </c>
      <c r="H9" s="41" t="s">
        <v>208</v>
      </c>
      <c r="J9" s="40" t="s">
        <v>608</v>
      </c>
      <c r="O9" s="40" t="s">
        <v>604</v>
      </c>
      <c r="P9" s="41" t="s">
        <v>605</v>
      </c>
      <c r="Q9" s="41" t="s">
        <v>102</v>
      </c>
      <c r="R9" s="41" t="s">
        <v>2212</v>
      </c>
      <c r="S9" s="86" t="s">
        <v>104</v>
      </c>
      <c r="T9" s="86">
        <v>45748</v>
      </c>
      <c r="U9" s="40" t="s">
        <v>604</v>
      </c>
      <c r="V9" s="41" t="s">
        <v>605</v>
      </c>
      <c r="W9" s="41" t="s">
        <v>116</v>
      </c>
      <c r="X9" s="41" t="s">
        <v>606</v>
      </c>
      <c r="Y9" s="64">
        <v>45920</v>
      </c>
      <c r="Z9" s="64"/>
      <c r="AA9" s="40" t="s">
        <v>604</v>
      </c>
      <c r="AB9" s="41" t="s">
        <v>605</v>
      </c>
      <c r="AC9" s="41" t="s">
        <v>102</v>
      </c>
      <c r="AD9" s="41" t="s">
        <v>2212</v>
      </c>
      <c r="AE9" s="41" t="s">
        <v>162</v>
      </c>
      <c r="AF9" s="42"/>
      <c r="AH9" s="41" t="s">
        <v>1004</v>
      </c>
      <c r="AI9" s="41" t="s">
        <v>1440</v>
      </c>
      <c r="AJ9" s="41" t="s">
        <v>2175</v>
      </c>
    </row>
    <row r="10" spans="6:37" x14ac:dyDescent="0.35">
      <c r="F10" s="40" t="s">
        <v>1877</v>
      </c>
      <c r="G10" s="40" t="s">
        <v>603</v>
      </c>
      <c r="H10" s="41" t="s">
        <v>208</v>
      </c>
      <c r="J10" s="40" t="s">
        <v>609</v>
      </c>
      <c r="O10" s="40" t="s">
        <v>604</v>
      </c>
      <c r="P10" s="41" t="s">
        <v>607</v>
      </c>
      <c r="Q10" s="41" t="s">
        <v>117</v>
      </c>
      <c r="R10" s="41" t="s">
        <v>2214</v>
      </c>
      <c r="S10" s="86" t="s">
        <v>104</v>
      </c>
      <c r="T10" s="86">
        <v>45748</v>
      </c>
      <c r="U10" s="40" t="s">
        <v>604</v>
      </c>
      <c r="V10" s="41" t="s">
        <v>605</v>
      </c>
      <c r="W10" s="41" t="s">
        <v>116</v>
      </c>
      <c r="X10" s="41" t="s">
        <v>606</v>
      </c>
      <c r="Y10" s="64">
        <v>45920</v>
      </c>
      <c r="Z10" s="64"/>
      <c r="AA10" s="40" t="s">
        <v>604</v>
      </c>
      <c r="AB10" s="41" t="s">
        <v>607</v>
      </c>
      <c r="AC10" s="41" t="s">
        <v>117</v>
      </c>
      <c r="AD10" s="41" t="s">
        <v>2214</v>
      </c>
      <c r="AE10" s="41" t="s">
        <v>162</v>
      </c>
      <c r="AF10" s="42"/>
      <c r="AH10" s="41" t="s">
        <v>1005</v>
      </c>
      <c r="AI10" s="41" t="s">
        <v>1441</v>
      </c>
      <c r="AJ10" s="41" t="s">
        <v>2175</v>
      </c>
    </row>
    <row r="11" spans="6:37" ht="29" x14ac:dyDescent="0.35">
      <c r="F11" s="40" t="s">
        <v>1878</v>
      </c>
      <c r="G11" s="40" t="s">
        <v>603</v>
      </c>
      <c r="H11" s="41" t="s">
        <v>208</v>
      </c>
      <c r="J11" s="40" t="s">
        <v>610</v>
      </c>
      <c r="O11" s="40" t="s">
        <v>604</v>
      </c>
      <c r="P11" s="41" t="s">
        <v>605</v>
      </c>
      <c r="Q11" s="41" t="s">
        <v>117</v>
      </c>
      <c r="R11" s="41" t="s">
        <v>612</v>
      </c>
      <c r="S11" s="86" t="s">
        <v>104</v>
      </c>
      <c r="T11" s="86">
        <v>45748</v>
      </c>
      <c r="U11" s="40" t="s">
        <v>604</v>
      </c>
      <c r="V11" s="41" t="s">
        <v>605</v>
      </c>
      <c r="W11" s="41" t="s">
        <v>117</v>
      </c>
      <c r="X11" s="41" t="s">
        <v>2176</v>
      </c>
      <c r="Y11" s="64">
        <v>45920</v>
      </c>
      <c r="Z11" s="64"/>
      <c r="AA11" s="40" t="s">
        <v>604</v>
      </c>
      <c r="AB11" s="41" t="s">
        <v>605</v>
      </c>
      <c r="AC11" s="41" t="s">
        <v>120</v>
      </c>
      <c r="AD11" s="41" t="s">
        <v>2207</v>
      </c>
      <c r="AE11" s="41" t="s">
        <v>162</v>
      </c>
      <c r="AF11" s="42"/>
      <c r="AH11" s="41" t="s">
        <v>1006</v>
      </c>
      <c r="AI11" s="41" t="s">
        <v>1442</v>
      </c>
      <c r="AJ11" s="41" t="s">
        <v>2175</v>
      </c>
    </row>
    <row r="12" spans="6:37" ht="29" x14ac:dyDescent="0.35">
      <c r="F12" s="40" t="s">
        <v>1879</v>
      </c>
      <c r="G12" s="40" t="s">
        <v>603</v>
      </c>
      <c r="H12" s="41" t="s">
        <v>208</v>
      </c>
      <c r="J12" s="40" t="s">
        <v>613</v>
      </c>
      <c r="O12" s="40" t="s">
        <v>604</v>
      </c>
      <c r="P12" s="41" t="s">
        <v>605</v>
      </c>
      <c r="Q12" s="41" t="s">
        <v>117</v>
      </c>
      <c r="R12" s="41" t="s">
        <v>612</v>
      </c>
      <c r="S12" s="86" t="s">
        <v>104</v>
      </c>
      <c r="T12" s="86">
        <v>45748</v>
      </c>
      <c r="U12" s="40" t="s">
        <v>604</v>
      </c>
      <c r="V12" s="41" t="s">
        <v>605</v>
      </c>
      <c r="W12" s="41" t="s">
        <v>117</v>
      </c>
      <c r="X12" s="41" t="s">
        <v>2176</v>
      </c>
      <c r="Y12" s="64">
        <v>45920</v>
      </c>
      <c r="Z12" s="64"/>
      <c r="AA12" s="40" t="s">
        <v>604</v>
      </c>
      <c r="AB12" s="41" t="s">
        <v>605</v>
      </c>
      <c r="AC12" s="41" t="s">
        <v>102</v>
      </c>
      <c r="AD12" s="41" t="s">
        <v>2212</v>
      </c>
      <c r="AE12" s="41" t="s">
        <v>162</v>
      </c>
      <c r="AF12" s="42"/>
      <c r="AH12" s="41" t="s">
        <v>1007</v>
      </c>
      <c r="AI12" s="41" t="s">
        <v>1443</v>
      </c>
      <c r="AJ12" s="41" t="s">
        <v>2175</v>
      </c>
    </row>
    <row r="13" spans="6:37" x14ac:dyDescent="0.35">
      <c r="F13" s="40" t="s">
        <v>1880</v>
      </c>
      <c r="G13" s="40" t="s">
        <v>603</v>
      </c>
      <c r="H13" s="41" t="s">
        <v>208</v>
      </c>
      <c r="J13" s="40" t="s">
        <v>615</v>
      </c>
      <c r="O13" s="40" t="s">
        <v>604</v>
      </c>
      <c r="P13" s="41" t="s">
        <v>607</v>
      </c>
      <c r="Q13" s="41" t="s">
        <v>117</v>
      </c>
      <c r="R13" s="41">
        <v>503</v>
      </c>
      <c r="S13" s="86" t="s">
        <v>104</v>
      </c>
      <c r="T13" s="86">
        <v>45748</v>
      </c>
      <c r="U13" s="40" t="s">
        <v>604</v>
      </c>
      <c r="V13" s="41" t="s">
        <v>605</v>
      </c>
      <c r="W13" s="41" t="s">
        <v>102</v>
      </c>
      <c r="X13" s="41" t="s">
        <v>2176</v>
      </c>
      <c r="Y13" s="64">
        <v>45920</v>
      </c>
      <c r="Z13" s="64"/>
      <c r="AA13" s="40" t="s">
        <v>604</v>
      </c>
      <c r="AB13" s="41" t="s">
        <v>607</v>
      </c>
      <c r="AC13" s="41" t="s">
        <v>117</v>
      </c>
      <c r="AD13" s="41">
        <v>503</v>
      </c>
      <c r="AE13" s="41" t="s">
        <v>162</v>
      </c>
      <c r="AF13" s="42"/>
      <c r="AH13" s="41" t="s">
        <v>1008</v>
      </c>
      <c r="AI13" s="41" t="s">
        <v>1444</v>
      </c>
      <c r="AJ13" s="41" t="s">
        <v>2175</v>
      </c>
    </row>
    <row r="14" spans="6:37" x14ac:dyDescent="0.35">
      <c r="F14" s="40" t="s">
        <v>1881</v>
      </c>
      <c r="G14" s="40" t="s">
        <v>603</v>
      </c>
      <c r="H14" s="41" t="s">
        <v>208</v>
      </c>
      <c r="J14" s="40" t="s">
        <v>616</v>
      </c>
      <c r="O14" s="40" t="s">
        <v>604</v>
      </c>
      <c r="P14" s="41" t="s">
        <v>607</v>
      </c>
      <c r="Q14" s="41" t="s">
        <v>117</v>
      </c>
      <c r="R14" s="41">
        <v>503</v>
      </c>
      <c r="S14" s="86" t="s">
        <v>104</v>
      </c>
      <c r="T14" s="86">
        <v>45748</v>
      </c>
      <c r="U14" s="40" t="s">
        <v>604</v>
      </c>
      <c r="V14" s="41" t="s">
        <v>605</v>
      </c>
      <c r="W14" s="41" t="s">
        <v>117</v>
      </c>
      <c r="X14" s="41" t="s">
        <v>2176</v>
      </c>
      <c r="Y14" s="64">
        <v>45920</v>
      </c>
      <c r="Z14" s="64"/>
      <c r="AA14" s="40" t="s">
        <v>604</v>
      </c>
      <c r="AB14" s="41" t="s">
        <v>607</v>
      </c>
      <c r="AC14" s="41" t="s">
        <v>117</v>
      </c>
      <c r="AD14" s="41">
        <v>503</v>
      </c>
      <c r="AE14" s="41" t="s">
        <v>162</v>
      </c>
      <c r="AF14" s="42"/>
      <c r="AH14" s="41" t="s">
        <v>1009</v>
      </c>
      <c r="AI14" s="41" t="s">
        <v>1445</v>
      </c>
      <c r="AJ14" s="41" t="s">
        <v>2175</v>
      </c>
    </row>
    <row r="15" spans="6:37" x14ac:dyDescent="0.35">
      <c r="F15" s="40" t="s">
        <v>1882</v>
      </c>
      <c r="G15" s="40" t="s">
        <v>603</v>
      </c>
      <c r="H15" s="41" t="s">
        <v>208</v>
      </c>
      <c r="J15" s="40" t="s">
        <v>617</v>
      </c>
      <c r="O15" s="40" t="s">
        <v>604</v>
      </c>
      <c r="P15" s="41" t="s">
        <v>607</v>
      </c>
      <c r="Q15" s="41" t="s">
        <v>125</v>
      </c>
      <c r="R15" s="41">
        <v>553</v>
      </c>
      <c r="S15" s="86" t="s">
        <v>104</v>
      </c>
      <c r="T15" s="86">
        <v>45748</v>
      </c>
      <c r="U15" s="40" t="s">
        <v>604</v>
      </c>
      <c r="V15" s="41" t="s">
        <v>605</v>
      </c>
      <c r="W15" s="41" t="s">
        <v>125</v>
      </c>
      <c r="X15" s="41" t="s">
        <v>618</v>
      </c>
      <c r="Y15" s="64">
        <v>45920</v>
      </c>
      <c r="Z15" s="64"/>
      <c r="AA15" s="40" t="s">
        <v>604</v>
      </c>
      <c r="AB15" s="41" t="s">
        <v>607</v>
      </c>
      <c r="AC15" s="41" t="s">
        <v>125</v>
      </c>
      <c r="AD15" s="41">
        <v>553</v>
      </c>
      <c r="AE15" s="41" t="s">
        <v>162</v>
      </c>
      <c r="AF15" s="42"/>
      <c r="AH15" s="41" t="s">
        <v>1010</v>
      </c>
      <c r="AI15" s="41" t="s">
        <v>1446</v>
      </c>
      <c r="AJ15" s="41" t="s">
        <v>2175</v>
      </c>
    </row>
    <row r="16" spans="6:37" x14ac:dyDescent="0.35">
      <c r="F16" s="40" t="s">
        <v>1883</v>
      </c>
      <c r="G16" s="40" t="s">
        <v>603</v>
      </c>
      <c r="H16" s="41" t="s">
        <v>208</v>
      </c>
      <c r="J16" s="40" t="s">
        <v>619</v>
      </c>
      <c r="O16" s="40" t="s">
        <v>604</v>
      </c>
      <c r="P16" s="41" t="s">
        <v>607</v>
      </c>
      <c r="Q16" s="41" t="s">
        <v>125</v>
      </c>
      <c r="R16" s="41">
        <v>553</v>
      </c>
      <c r="S16" s="86" t="s">
        <v>104</v>
      </c>
      <c r="T16" s="86">
        <v>45748</v>
      </c>
      <c r="U16" s="40" t="s">
        <v>604</v>
      </c>
      <c r="V16" s="41" t="s">
        <v>605</v>
      </c>
      <c r="W16" s="41" t="s">
        <v>125</v>
      </c>
      <c r="X16" s="41" t="s">
        <v>618</v>
      </c>
      <c r="Y16" s="64">
        <v>45920</v>
      </c>
      <c r="Z16" s="64"/>
      <c r="AA16" s="40" t="s">
        <v>604</v>
      </c>
      <c r="AB16" s="41" t="s">
        <v>607</v>
      </c>
      <c r="AC16" s="41" t="s">
        <v>125</v>
      </c>
      <c r="AD16" s="41">
        <v>553</v>
      </c>
      <c r="AE16" s="41" t="s">
        <v>162</v>
      </c>
      <c r="AF16" s="42"/>
      <c r="AH16" s="41" t="s">
        <v>1011</v>
      </c>
      <c r="AI16" s="41" t="s">
        <v>1447</v>
      </c>
      <c r="AJ16" s="41" t="s">
        <v>2175</v>
      </c>
    </row>
    <row r="17" spans="6:36" x14ac:dyDescent="0.35">
      <c r="F17" s="40" t="s">
        <v>1884</v>
      </c>
      <c r="G17" s="40" t="s">
        <v>603</v>
      </c>
      <c r="H17" s="41" t="s">
        <v>208</v>
      </c>
      <c r="J17" s="40" t="s">
        <v>620</v>
      </c>
      <c r="O17" s="40" t="s">
        <v>604</v>
      </c>
      <c r="P17" s="41" t="s">
        <v>607</v>
      </c>
      <c r="Q17" s="41" t="s">
        <v>125</v>
      </c>
      <c r="R17" s="41">
        <v>553</v>
      </c>
      <c r="S17" s="86" t="s">
        <v>104</v>
      </c>
      <c r="T17" s="86">
        <v>45748</v>
      </c>
      <c r="U17" s="40" t="s">
        <v>604</v>
      </c>
      <c r="V17" s="41" t="s">
        <v>605</v>
      </c>
      <c r="W17" s="41" t="s">
        <v>125</v>
      </c>
      <c r="X17" s="41" t="s">
        <v>618</v>
      </c>
      <c r="Y17" s="64">
        <v>45920</v>
      </c>
      <c r="Z17" s="64"/>
      <c r="AA17" s="40" t="s">
        <v>604</v>
      </c>
      <c r="AB17" s="41" t="s">
        <v>607</v>
      </c>
      <c r="AC17" s="41" t="s">
        <v>125</v>
      </c>
      <c r="AD17" s="41">
        <v>553</v>
      </c>
      <c r="AE17" s="41" t="s">
        <v>162</v>
      </c>
      <c r="AF17" s="42"/>
      <c r="AH17" s="41" t="s">
        <v>1012</v>
      </c>
      <c r="AI17" s="41" t="s">
        <v>1448</v>
      </c>
      <c r="AJ17" s="41" t="s">
        <v>2175</v>
      </c>
    </row>
    <row r="18" spans="6:36" x14ac:dyDescent="0.35">
      <c r="F18" s="40" t="s">
        <v>1885</v>
      </c>
      <c r="G18" s="40" t="s">
        <v>603</v>
      </c>
      <c r="H18" s="41" t="s">
        <v>208</v>
      </c>
      <c r="J18" s="40" t="s">
        <v>621</v>
      </c>
      <c r="O18" s="40" t="s">
        <v>604</v>
      </c>
      <c r="P18" s="41" t="s">
        <v>607</v>
      </c>
      <c r="Q18" s="41" t="s">
        <v>118</v>
      </c>
      <c r="R18" s="41">
        <v>566</v>
      </c>
      <c r="S18" s="86" t="s">
        <v>104</v>
      </c>
      <c r="T18" s="86">
        <v>45748</v>
      </c>
      <c r="U18" s="40" t="s">
        <v>604</v>
      </c>
      <c r="V18" s="41" t="s">
        <v>605</v>
      </c>
      <c r="W18" s="41" t="s">
        <v>118</v>
      </c>
      <c r="X18" s="41" t="s">
        <v>623</v>
      </c>
      <c r="Y18" s="64">
        <v>45920</v>
      </c>
      <c r="Z18" s="64"/>
      <c r="AA18" s="40" t="s">
        <v>604</v>
      </c>
      <c r="AB18" s="41" t="s">
        <v>607</v>
      </c>
      <c r="AC18" s="41" t="s">
        <v>118</v>
      </c>
      <c r="AD18" s="41">
        <v>566</v>
      </c>
      <c r="AE18" s="41" t="s">
        <v>162</v>
      </c>
      <c r="AF18" s="42"/>
      <c r="AH18" s="41" t="s">
        <v>1013</v>
      </c>
      <c r="AI18" s="41" t="s">
        <v>1449</v>
      </c>
      <c r="AJ18" s="41" t="s">
        <v>2175</v>
      </c>
    </row>
    <row r="19" spans="6:36" ht="29" x14ac:dyDescent="0.35">
      <c r="F19" s="40" t="s">
        <v>1886</v>
      </c>
      <c r="G19" s="40" t="s">
        <v>603</v>
      </c>
      <c r="H19" s="41" t="s">
        <v>208</v>
      </c>
      <c r="J19" s="40" t="s">
        <v>624</v>
      </c>
      <c r="O19" s="40" t="s">
        <v>604</v>
      </c>
      <c r="P19" s="41" t="s">
        <v>605</v>
      </c>
      <c r="Q19" s="41" t="s">
        <v>118</v>
      </c>
      <c r="R19" s="41" t="s">
        <v>623</v>
      </c>
      <c r="S19" s="86" t="s">
        <v>104</v>
      </c>
      <c r="T19" s="86">
        <v>45748</v>
      </c>
      <c r="U19" s="40" t="s">
        <v>604</v>
      </c>
      <c r="V19" s="41" t="s">
        <v>605</v>
      </c>
      <c r="W19" s="41" t="s">
        <v>118</v>
      </c>
      <c r="X19" s="41" t="s">
        <v>623</v>
      </c>
      <c r="Y19" s="64">
        <v>45920</v>
      </c>
      <c r="Z19" s="64"/>
      <c r="AA19" s="40" t="s">
        <v>604</v>
      </c>
      <c r="AB19" s="41" t="s">
        <v>607</v>
      </c>
      <c r="AC19" s="41" t="s">
        <v>118</v>
      </c>
      <c r="AD19" s="41" t="s">
        <v>622</v>
      </c>
      <c r="AE19" s="41" t="s">
        <v>162</v>
      </c>
      <c r="AF19" s="42"/>
      <c r="AH19" s="41" t="s">
        <v>1014</v>
      </c>
      <c r="AI19" s="41" t="s">
        <v>1450</v>
      </c>
      <c r="AJ19" s="41" t="s">
        <v>2175</v>
      </c>
    </row>
    <row r="20" spans="6:36" ht="29" x14ac:dyDescent="0.35">
      <c r="F20" s="40" t="s">
        <v>1887</v>
      </c>
      <c r="G20" s="40" t="s">
        <v>603</v>
      </c>
      <c r="H20" s="41" t="s">
        <v>208</v>
      </c>
      <c r="J20" s="40" t="s">
        <v>626</v>
      </c>
      <c r="O20" s="40" t="s">
        <v>604</v>
      </c>
      <c r="P20" s="41" t="s">
        <v>605</v>
      </c>
      <c r="Q20" s="41" t="s">
        <v>118</v>
      </c>
      <c r="R20" s="41" t="s">
        <v>623</v>
      </c>
      <c r="S20" s="86" t="s">
        <v>104</v>
      </c>
      <c r="T20" s="86">
        <v>45748</v>
      </c>
      <c r="U20" s="40" t="s">
        <v>604</v>
      </c>
      <c r="V20" s="41" t="s">
        <v>605</v>
      </c>
      <c r="W20" s="41" t="s">
        <v>118</v>
      </c>
      <c r="X20" s="41" t="s">
        <v>623</v>
      </c>
      <c r="Y20" s="64">
        <v>45920</v>
      </c>
      <c r="Z20" s="64"/>
      <c r="AA20" s="40" t="s">
        <v>604</v>
      </c>
      <c r="AB20" s="41" t="s">
        <v>607</v>
      </c>
      <c r="AC20" s="41" t="s">
        <v>118</v>
      </c>
      <c r="AD20" s="41" t="s">
        <v>622</v>
      </c>
      <c r="AE20" s="41" t="s">
        <v>162</v>
      </c>
      <c r="AF20" s="42"/>
      <c r="AH20" s="41" t="s">
        <v>1015</v>
      </c>
      <c r="AI20" s="41" t="s">
        <v>1451</v>
      </c>
      <c r="AJ20" s="41" t="s">
        <v>2175</v>
      </c>
    </row>
    <row r="21" spans="6:36" ht="29" x14ac:dyDescent="0.35">
      <c r="F21" s="40" t="s">
        <v>1888</v>
      </c>
      <c r="G21" s="40" t="s">
        <v>603</v>
      </c>
      <c r="H21" s="41" t="s">
        <v>208</v>
      </c>
      <c r="J21" s="40" t="s">
        <v>628</v>
      </c>
      <c r="O21" s="40" t="s">
        <v>604</v>
      </c>
      <c r="P21" s="41" t="s">
        <v>605</v>
      </c>
      <c r="Q21" s="41" t="s">
        <v>118</v>
      </c>
      <c r="R21" s="41" t="s">
        <v>623</v>
      </c>
      <c r="S21" s="86" t="s">
        <v>104</v>
      </c>
      <c r="T21" s="86">
        <v>45748</v>
      </c>
      <c r="U21" s="40" t="s">
        <v>604</v>
      </c>
      <c r="V21" s="41" t="s">
        <v>605</v>
      </c>
      <c r="W21" s="41" t="s">
        <v>118</v>
      </c>
      <c r="X21" s="41" t="s">
        <v>623</v>
      </c>
      <c r="Y21" s="64">
        <v>45920</v>
      </c>
      <c r="Z21" s="64"/>
      <c r="AA21" s="40" t="s">
        <v>604</v>
      </c>
      <c r="AB21" s="41" t="s">
        <v>607</v>
      </c>
      <c r="AC21" s="41" t="s">
        <v>118</v>
      </c>
      <c r="AD21" s="41" t="s">
        <v>622</v>
      </c>
      <c r="AE21" s="41" t="s">
        <v>162</v>
      </c>
      <c r="AF21" s="42"/>
      <c r="AH21" s="41" t="s">
        <v>1016</v>
      </c>
      <c r="AI21" s="41" t="s">
        <v>1452</v>
      </c>
      <c r="AJ21" s="41" t="s">
        <v>2175</v>
      </c>
    </row>
    <row r="22" spans="6:36" ht="29" x14ac:dyDescent="0.35">
      <c r="F22" s="40" t="s">
        <v>1889</v>
      </c>
      <c r="G22" s="40" t="s">
        <v>603</v>
      </c>
      <c r="H22" s="41" t="s">
        <v>208</v>
      </c>
      <c r="J22" s="40" t="s">
        <v>630</v>
      </c>
      <c r="O22" s="40" t="s">
        <v>604</v>
      </c>
      <c r="P22" s="41" t="s">
        <v>605</v>
      </c>
      <c r="Q22" s="41" t="s">
        <v>118</v>
      </c>
      <c r="R22" s="41" t="s">
        <v>623</v>
      </c>
      <c r="S22" s="86" t="s">
        <v>104</v>
      </c>
      <c r="T22" s="86">
        <v>45748</v>
      </c>
      <c r="U22" s="40" t="s">
        <v>604</v>
      </c>
      <c r="V22" s="41" t="s">
        <v>605</v>
      </c>
      <c r="W22" s="41" t="s">
        <v>118</v>
      </c>
      <c r="X22" s="41" t="s">
        <v>623</v>
      </c>
      <c r="Y22" s="64">
        <v>45920</v>
      </c>
      <c r="Z22" s="64"/>
      <c r="AA22" s="40" t="s">
        <v>604</v>
      </c>
      <c r="AB22" s="41" t="s">
        <v>607</v>
      </c>
      <c r="AC22" s="41" t="s">
        <v>118</v>
      </c>
      <c r="AD22" s="41" t="s">
        <v>622</v>
      </c>
      <c r="AE22" s="41" t="s">
        <v>162</v>
      </c>
      <c r="AF22" s="42"/>
      <c r="AH22" s="41" t="s">
        <v>1017</v>
      </c>
      <c r="AI22" s="41" t="s">
        <v>1453</v>
      </c>
      <c r="AJ22" s="41" t="s">
        <v>2175</v>
      </c>
    </row>
    <row r="23" spans="6:36" ht="29" x14ac:dyDescent="0.35">
      <c r="F23" s="40" t="s">
        <v>1890</v>
      </c>
      <c r="G23" s="40" t="s">
        <v>603</v>
      </c>
      <c r="H23" s="41" t="s">
        <v>208</v>
      </c>
      <c r="J23" s="40" t="s">
        <v>631</v>
      </c>
      <c r="O23" s="40" t="s">
        <v>604</v>
      </c>
      <c r="P23" s="41" t="s">
        <v>605</v>
      </c>
      <c r="Q23" s="41" t="s">
        <v>118</v>
      </c>
      <c r="R23" s="41" t="s">
        <v>623</v>
      </c>
      <c r="S23" s="86" t="s">
        <v>104</v>
      </c>
      <c r="T23" s="86">
        <v>45748</v>
      </c>
      <c r="U23" s="40" t="s">
        <v>604</v>
      </c>
      <c r="V23" s="41" t="s">
        <v>605</v>
      </c>
      <c r="W23" s="41" t="s">
        <v>118</v>
      </c>
      <c r="X23" s="41" t="s">
        <v>623</v>
      </c>
      <c r="Y23" s="64">
        <v>45920</v>
      </c>
      <c r="Z23" s="64"/>
      <c r="AA23" s="40" t="s">
        <v>604</v>
      </c>
      <c r="AB23" s="41" t="s">
        <v>607</v>
      </c>
      <c r="AC23" s="41" t="s">
        <v>118</v>
      </c>
      <c r="AD23" s="41" t="s">
        <v>622</v>
      </c>
      <c r="AE23" s="41" t="s">
        <v>162</v>
      </c>
      <c r="AF23" s="42"/>
      <c r="AH23" s="41" t="s">
        <v>1018</v>
      </c>
      <c r="AI23" s="41" t="s">
        <v>1454</v>
      </c>
      <c r="AJ23" s="41" t="s">
        <v>2175</v>
      </c>
    </row>
    <row r="24" spans="6:36" ht="29" x14ac:dyDescent="0.35">
      <c r="F24" s="40" t="s">
        <v>1891</v>
      </c>
      <c r="G24" s="40" t="s">
        <v>603</v>
      </c>
      <c r="H24" s="41" t="s">
        <v>208</v>
      </c>
      <c r="J24" s="40" t="s">
        <v>632</v>
      </c>
      <c r="O24" s="40" t="s">
        <v>604</v>
      </c>
      <c r="P24" s="41" t="s">
        <v>605</v>
      </c>
      <c r="Q24" s="41" t="s">
        <v>118</v>
      </c>
      <c r="R24" s="41" t="s">
        <v>623</v>
      </c>
      <c r="S24" s="86" t="s">
        <v>104</v>
      </c>
      <c r="T24" s="86">
        <v>45748</v>
      </c>
      <c r="U24" s="40" t="s">
        <v>604</v>
      </c>
      <c r="V24" s="41" t="s">
        <v>605</v>
      </c>
      <c r="W24" s="41" t="s">
        <v>118</v>
      </c>
      <c r="X24" s="41" t="s">
        <v>623</v>
      </c>
      <c r="Y24" s="64">
        <v>45920</v>
      </c>
      <c r="Z24" s="64"/>
      <c r="AA24" s="40" t="s">
        <v>604</v>
      </c>
      <c r="AB24" s="41" t="s">
        <v>607</v>
      </c>
      <c r="AC24" s="41" t="s">
        <v>118</v>
      </c>
      <c r="AD24" s="41" t="s">
        <v>622</v>
      </c>
      <c r="AE24" s="41" t="s">
        <v>162</v>
      </c>
      <c r="AF24" s="42"/>
      <c r="AH24" s="41" t="s">
        <v>1019</v>
      </c>
      <c r="AI24" s="41" t="s">
        <v>1455</v>
      </c>
      <c r="AJ24" s="41" t="s">
        <v>2175</v>
      </c>
    </row>
    <row r="25" spans="6:36" ht="29" x14ac:dyDescent="0.35">
      <c r="F25" s="40" t="s">
        <v>1892</v>
      </c>
      <c r="G25" s="40" t="s">
        <v>603</v>
      </c>
      <c r="H25" s="41" t="s">
        <v>208</v>
      </c>
      <c r="J25" s="40" t="s">
        <v>633</v>
      </c>
      <c r="O25" s="40" t="s">
        <v>604</v>
      </c>
      <c r="P25" s="41" t="s">
        <v>605</v>
      </c>
      <c r="Q25" s="41" t="s">
        <v>120</v>
      </c>
      <c r="R25" s="41" t="s">
        <v>2207</v>
      </c>
      <c r="S25" s="86" t="s">
        <v>104</v>
      </c>
      <c r="T25" s="86">
        <v>45748</v>
      </c>
      <c r="U25" s="40" t="s">
        <v>604</v>
      </c>
      <c r="V25" s="41" t="s">
        <v>605</v>
      </c>
      <c r="W25" s="41" t="s">
        <v>120</v>
      </c>
      <c r="X25" s="41" t="s">
        <v>120</v>
      </c>
      <c r="Y25" s="64">
        <v>45920</v>
      </c>
      <c r="Z25" s="64"/>
      <c r="AA25" s="40" t="s">
        <v>604</v>
      </c>
      <c r="AB25" s="41" t="s">
        <v>607</v>
      </c>
      <c r="AC25" s="41" t="s">
        <v>120</v>
      </c>
      <c r="AD25" s="41" t="s">
        <v>635</v>
      </c>
      <c r="AE25" s="41" t="s">
        <v>162</v>
      </c>
      <c r="AF25" s="42"/>
      <c r="AH25" s="41" t="s">
        <v>1020</v>
      </c>
      <c r="AI25" s="41" t="s">
        <v>1456</v>
      </c>
      <c r="AJ25" s="41" t="s">
        <v>2175</v>
      </c>
    </row>
    <row r="26" spans="6:36" ht="29" x14ac:dyDescent="0.35">
      <c r="F26" s="40" t="s">
        <v>1893</v>
      </c>
      <c r="G26" s="40" t="s">
        <v>603</v>
      </c>
      <c r="H26" s="41" t="s">
        <v>208</v>
      </c>
      <c r="J26" s="40" t="s">
        <v>636</v>
      </c>
      <c r="O26" s="40" t="s">
        <v>604</v>
      </c>
      <c r="P26" s="41" t="s">
        <v>605</v>
      </c>
      <c r="Q26" s="41" t="s">
        <v>120</v>
      </c>
      <c r="R26" s="41" t="s">
        <v>2207</v>
      </c>
      <c r="S26" s="86" t="s">
        <v>104</v>
      </c>
      <c r="T26" s="86">
        <v>45748</v>
      </c>
      <c r="U26" s="40" t="s">
        <v>604</v>
      </c>
      <c r="V26" s="41" t="s">
        <v>605</v>
      </c>
      <c r="W26" s="41" t="s">
        <v>120</v>
      </c>
      <c r="X26" s="41" t="s">
        <v>120</v>
      </c>
      <c r="Y26" s="64">
        <v>45920</v>
      </c>
      <c r="Z26" s="64"/>
      <c r="AA26" s="40" t="s">
        <v>604</v>
      </c>
      <c r="AB26" s="41" t="s">
        <v>607</v>
      </c>
      <c r="AC26" s="41" t="s">
        <v>120</v>
      </c>
      <c r="AD26" s="41" t="s">
        <v>635</v>
      </c>
      <c r="AE26" s="41" t="s">
        <v>162</v>
      </c>
      <c r="AF26" s="42"/>
      <c r="AH26" s="41" t="s">
        <v>1021</v>
      </c>
      <c r="AI26" s="41" t="s">
        <v>1457</v>
      </c>
      <c r="AJ26" s="41" t="s">
        <v>2175</v>
      </c>
    </row>
    <row r="27" spans="6:36" ht="29" x14ac:dyDescent="0.35">
      <c r="F27" s="40" t="s">
        <v>1894</v>
      </c>
      <c r="G27" s="40" t="s">
        <v>603</v>
      </c>
      <c r="H27" s="41" t="s">
        <v>208</v>
      </c>
      <c r="J27" s="40" t="s">
        <v>637</v>
      </c>
      <c r="O27" s="40" t="s">
        <v>604</v>
      </c>
      <c r="P27" s="41" t="s">
        <v>605</v>
      </c>
      <c r="Q27" s="41" t="s">
        <v>120</v>
      </c>
      <c r="R27" s="41" t="s">
        <v>2207</v>
      </c>
      <c r="S27" s="86" t="s">
        <v>104</v>
      </c>
      <c r="T27" s="86">
        <v>45748</v>
      </c>
      <c r="U27" s="40" t="s">
        <v>604</v>
      </c>
      <c r="V27" s="41" t="s">
        <v>605</v>
      </c>
      <c r="W27" s="41" t="s">
        <v>120</v>
      </c>
      <c r="X27" s="41" t="s">
        <v>120</v>
      </c>
      <c r="Y27" s="64">
        <v>45920</v>
      </c>
      <c r="Z27" s="64"/>
      <c r="AA27" s="40" t="s">
        <v>604</v>
      </c>
      <c r="AB27" s="41" t="s">
        <v>605</v>
      </c>
      <c r="AC27" s="41" t="s">
        <v>120</v>
      </c>
      <c r="AD27" s="41" t="s">
        <v>2207</v>
      </c>
      <c r="AE27" s="41" t="s">
        <v>162</v>
      </c>
      <c r="AF27" s="42"/>
      <c r="AH27" s="41" t="s">
        <v>1022</v>
      </c>
      <c r="AI27" s="41" t="s">
        <v>1458</v>
      </c>
      <c r="AJ27" s="41" t="s">
        <v>2175</v>
      </c>
    </row>
    <row r="28" spans="6:36" ht="29" x14ac:dyDescent="0.35">
      <c r="F28" s="40" t="s">
        <v>1895</v>
      </c>
      <c r="G28" s="40" t="s">
        <v>603</v>
      </c>
      <c r="H28" s="41" t="s">
        <v>208</v>
      </c>
      <c r="J28" s="40" t="s">
        <v>638</v>
      </c>
      <c r="O28" s="40" t="s">
        <v>604</v>
      </c>
      <c r="P28" s="41" t="s">
        <v>605</v>
      </c>
      <c r="Q28" s="41" t="s">
        <v>120</v>
      </c>
      <c r="R28" s="41" t="s">
        <v>2207</v>
      </c>
      <c r="S28" s="86" t="s">
        <v>104</v>
      </c>
      <c r="T28" s="86">
        <v>45748</v>
      </c>
      <c r="U28" s="40" t="s">
        <v>604</v>
      </c>
      <c r="V28" s="41" t="s">
        <v>605</v>
      </c>
      <c r="W28" s="41" t="s">
        <v>120</v>
      </c>
      <c r="X28" s="41" t="s">
        <v>120</v>
      </c>
      <c r="Y28" s="64">
        <v>45920</v>
      </c>
      <c r="Z28" s="64"/>
      <c r="AA28" s="40" t="s">
        <v>604</v>
      </c>
      <c r="AB28" s="41" t="s">
        <v>607</v>
      </c>
      <c r="AC28" s="41" t="s">
        <v>120</v>
      </c>
      <c r="AD28" s="41" t="s">
        <v>635</v>
      </c>
      <c r="AE28" s="41" t="s">
        <v>162</v>
      </c>
      <c r="AF28" s="42"/>
      <c r="AH28" s="41" t="s">
        <v>1023</v>
      </c>
      <c r="AI28" s="41" t="s">
        <v>1459</v>
      </c>
      <c r="AJ28" s="41" t="s">
        <v>2175</v>
      </c>
    </row>
    <row r="29" spans="6:36" ht="29" x14ac:dyDescent="0.35">
      <c r="F29" s="40" t="s">
        <v>1896</v>
      </c>
      <c r="G29" s="40" t="s">
        <v>603</v>
      </c>
      <c r="H29" s="41" t="s">
        <v>208</v>
      </c>
      <c r="J29" s="40" t="s">
        <v>639</v>
      </c>
      <c r="O29" s="40" t="s">
        <v>604</v>
      </c>
      <c r="P29" s="41" t="s">
        <v>605</v>
      </c>
      <c r="Q29" s="41" t="s">
        <v>120</v>
      </c>
      <c r="R29" s="41" t="s">
        <v>2207</v>
      </c>
      <c r="S29" s="86" t="s">
        <v>104</v>
      </c>
      <c r="T29" s="86">
        <v>45748</v>
      </c>
      <c r="U29" s="40" t="s">
        <v>604</v>
      </c>
      <c r="V29" s="41" t="s">
        <v>605</v>
      </c>
      <c r="W29" s="41" t="s">
        <v>120</v>
      </c>
      <c r="X29" s="41" t="s">
        <v>120</v>
      </c>
      <c r="Y29" s="64">
        <v>45920</v>
      </c>
      <c r="Z29" s="64"/>
      <c r="AA29" s="40" t="s">
        <v>604</v>
      </c>
      <c r="AB29" s="41" t="s">
        <v>607</v>
      </c>
      <c r="AC29" s="41" t="s">
        <v>120</v>
      </c>
      <c r="AD29" s="41" t="s">
        <v>635</v>
      </c>
      <c r="AE29" s="41" t="s">
        <v>162</v>
      </c>
      <c r="AF29" s="42"/>
      <c r="AH29" s="41" t="s">
        <v>1024</v>
      </c>
      <c r="AI29" s="41" t="s">
        <v>1460</v>
      </c>
      <c r="AJ29" s="41" t="s">
        <v>2175</v>
      </c>
    </row>
    <row r="30" spans="6:36" ht="29" x14ac:dyDescent="0.35">
      <c r="F30" s="40" t="s">
        <v>1897</v>
      </c>
      <c r="G30" s="40" t="s">
        <v>603</v>
      </c>
      <c r="H30" s="41" t="s">
        <v>208</v>
      </c>
      <c r="J30" s="40" t="s">
        <v>640</v>
      </c>
      <c r="O30" s="40" t="s">
        <v>604</v>
      </c>
      <c r="P30" s="41" t="s">
        <v>605</v>
      </c>
      <c r="Q30" s="41" t="s">
        <v>120</v>
      </c>
      <c r="R30" s="41" t="s">
        <v>2207</v>
      </c>
      <c r="S30" s="86" t="s">
        <v>104</v>
      </c>
      <c r="T30" s="86">
        <v>45748</v>
      </c>
      <c r="U30" s="40" t="s">
        <v>604</v>
      </c>
      <c r="V30" s="41" t="s">
        <v>605</v>
      </c>
      <c r="W30" s="41" t="s">
        <v>120</v>
      </c>
      <c r="X30" s="41" t="s">
        <v>120</v>
      </c>
      <c r="Y30" s="64">
        <v>45920</v>
      </c>
      <c r="Z30" s="64"/>
      <c r="AA30" s="40" t="s">
        <v>604</v>
      </c>
      <c r="AB30" s="41" t="s">
        <v>607</v>
      </c>
      <c r="AC30" s="41" t="s">
        <v>120</v>
      </c>
      <c r="AD30" s="41" t="s">
        <v>635</v>
      </c>
      <c r="AE30" s="41" t="s">
        <v>162</v>
      </c>
      <c r="AF30" s="42"/>
      <c r="AH30" s="41" t="s">
        <v>1025</v>
      </c>
      <c r="AI30" s="41" t="s">
        <v>1461</v>
      </c>
      <c r="AJ30" s="41" t="s">
        <v>2175</v>
      </c>
    </row>
    <row r="31" spans="6:36" ht="29" x14ac:dyDescent="0.35">
      <c r="F31" s="40" t="s">
        <v>1898</v>
      </c>
      <c r="G31" s="40" t="s">
        <v>603</v>
      </c>
      <c r="H31" s="41" t="s">
        <v>208</v>
      </c>
      <c r="J31" s="40" t="s">
        <v>641</v>
      </c>
      <c r="O31" s="40" t="s">
        <v>604</v>
      </c>
      <c r="P31" s="41" t="s">
        <v>605</v>
      </c>
      <c r="Q31" s="41" t="s">
        <v>120</v>
      </c>
      <c r="R31" s="41" t="s">
        <v>2207</v>
      </c>
      <c r="S31" s="86" t="s">
        <v>104</v>
      </c>
      <c r="T31" s="86">
        <v>45748</v>
      </c>
      <c r="U31" s="40" t="s">
        <v>604</v>
      </c>
      <c r="V31" s="41" t="s">
        <v>605</v>
      </c>
      <c r="W31" s="41" t="s">
        <v>120</v>
      </c>
      <c r="X31" s="41" t="s">
        <v>120</v>
      </c>
      <c r="Y31" s="64">
        <v>45920</v>
      </c>
      <c r="Z31" s="64"/>
      <c r="AA31" s="40" t="s">
        <v>604</v>
      </c>
      <c r="AB31" s="41" t="s">
        <v>607</v>
      </c>
      <c r="AC31" s="41" t="s">
        <v>120</v>
      </c>
      <c r="AD31" s="41" t="s">
        <v>635</v>
      </c>
      <c r="AE31" s="41" t="s">
        <v>162</v>
      </c>
      <c r="AF31" s="42"/>
      <c r="AH31" s="41" t="s">
        <v>1026</v>
      </c>
      <c r="AI31" s="41" t="s">
        <v>1462</v>
      </c>
      <c r="AJ31" s="41" t="s">
        <v>2175</v>
      </c>
    </row>
    <row r="32" spans="6:36" ht="29" x14ac:dyDescent="0.35">
      <c r="F32" s="40" t="s">
        <v>1899</v>
      </c>
      <c r="G32" s="40" t="s">
        <v>603</v>
      </c>
      <c r="H32" s="41" t="s">
        <v>208</v>
      </c>
      <c r="J32" s="40" t="s">
        <v>642</v>
      </c>
      <c r="O32" s="40" t="s">
        <v>604</v>
      </c>
      <c r="P32" s="41" t="s">
        <v>605</v>
      </c>
      <c r="Q32" s="41" t="s">
        <v>120</v>
      </c>
      <c r="R32" s="41" t="s">
        <v>2207</v>
      </c>
      <c r="S32" s="86" t="s">
        <v>104</v>
      </c>
      <c r="T32" s="86">
        <v>45748</v>
      </c>
      <c r="U32" s="40" t="s">
        <v>604</v>
      </c>
      <c r="V32" s="41" t="s">
        <v>605</v>
      </c>
      <c r="W32" s="41" t="s">
        <v>120</v>
      </c>
      <c r="X32" s="41" t="s">
        <v>120</v>
      </c>
      <c r="Y32" s="64">
        <v>45920</v>
      </c>
      <c r="Z32" s="64"/>
      <c r="AA32" s="40" t="s">
        <v>604</v>
      </c>
      <c r="AB32" s="41" t="s">
        <v>605</v>
      </c>
      <c r="AC32" s="41" t="s">
        <v>120</v>
      </c>
      <c r="AD32" s="41" t="s">
        <v>2207</v>
      </c>
      <c r="AE32" s="41" t="s">
        <v>162</v>
      </c>
      <c r="AF32" s="42"/>
      <c r="AH32" s="41" t="s">
        <v>1027</v>
      </c>
      <c r="AI32" s="41" t="s">
        <v>1463</v>
      </c>
      <c r="AJ32" s="41" t="s">
        <v>2175</v>
      </c>
    </row>
    <row r="33" spans="6:36" ht="29" x14ac:dyDescent="0.35">
      <c r="F33" s="40" t="s">
        <v>1900</v>
      </c>
      <c r="G33" s="40" t="s">
        <v>603</v>
      </c>
      <c r="H33" s="41" t="s">
        <v>208</v>
      </c>
      <c r="J33" s="40" t="s">
        <v>643</v>
      </c>
      <c r="O33" s="40" t="s">
        <v>604</v>
      </c>
      <c r="P33" s="41" t="s">
        <v>605</v>
      </c>
      <c r="Q33" s="41" t="s">
        <v>120</v>
      </c>
      <c r="R33" s="41" t="s">
        <v>2207</v>
      </c>
      <c r="S33" s="86" t="s">
        <v>104</v>
      </c>
      <c r="T33" s="86">
        <v>45748</v>
      </c>
      <c r="U33" s="40" t="s">
        <v>604</v>
      </c>
      <c r="V33" s="41" t="s">
        <v>605</v>
      </c>
      <c r="W33" s="41" t="s">
        <v>120</v>
      </c>
      <c r="X33" s="41" t="s">
        <v>120</v>
      </c>
      <c r="Y33" s="64">
        <v>45920</v>
      </c>
      <c r="Z33" s="64"/>
      <c r="AA33" s="40" t="s">
        <v>604</v>
      </c>
      <c r="AB33" s="41" t="s">
        <v>607</v>
      </c>
      <c r="AC33" s="41" t="s">
        <v>120</v>
      </c>
      <c r="AD33" s="41" t="s">
        <v>635</v>
      </c>
      <c r="AE33" s="41" t="s">
        <v>162</v>
      </c>
      <c r="AF33" s="42"/>
      <c r="AH33" s="41" t="s">
        <v>1028</v>
      </c>
      <c r="AI33" s="41" t="s">
        <v>1464</v>
      </c>
      <c r="AJ33" s="41" t="s">
        <v>2175</v>
      </c>
    </row>
    <row r="34" spans="6:36" ht="29" x14ac:dyDescent="0.35">
      <c r="F34" s="40" t="s">
        <v>1901</v>
      </c>
      <c r="G34" s="40" t="s">
        <v>603</v>
      </c>
      <c r="H34" s="41" t="s">
        <v>208</v>
      </c>
      <c r="J34" s="40" t="s">
        <v>644</v>
      </c>
      <c r="O34" s="40" t="s">
        <v>604</v>
      </c>
      <c r="P34" s="41" t="s">
        <v>605</v>
      </c>
      <c r="Q34" s="41" t="s">
        <v>117</v>
      </c>
      <c r="R34" s="41" t="s">
        <v>646</v>
      </c>
      <c r="S34" s="86" t="s">
        <v>104</v>
      </c>
      <c r="T34" s="86">
        <v>45748</v>
      </c>
      <c r="U34" s="40" t="s">
        <v>604</v>
      </c>
      <c r="V34" s="41" t="s">
        <v>605</v>
      </c>
      <c r="W34" s="41" t="s">
        <v>117</v>
      </c>
      <c r="X34" s="41" t="s">
        <v>646</v>
      </c>
      <c r="Y34" s="64">
        <v>45920</v>
      </c>
      <c r="Z34" s="64"/>
      <c r="AA34" s="40" t="s">
        <v>604</v>
      </c>
      <c r="AB34" s="41" t="s">
        <v>607</v>
      </c>
      <c r="AC34" s="41" t="s">
        <v>117</v>
      </c>
      <c r="AD34" s="41" t="s">
        <v>647</v>
      </c>
      <c r="AE34" s="41" t="s">
        <v>162</v>
      </c>
      <c r="AF34" s="42"/>
      <c r="AH34" s="41" t="s">
        <v>1029</v>
      </c>
      <c r="AI34" s="41" t="s">
        <v>1465</v>
      </c>
      <c r="AJ34" s="41" t="s">
        <v>2175</v>
      </c>
    </row>
    <row r="35" spans="6:36" ht="29" x14ac:dyDescent="0.35">
      <c r="F35" s="40" t="s">
        <v>1902</v>
      </c>
      <c r="G35" s="40" t="s">
        <v>603</v>
      </c>
      <c r="H35" s="41" t="s">
        <v>208</v>
      </c>
      <c r="J35" s="40" t="s">
        <v>648</v>
      </c>
      <c r="O35" s="40" t="s">
        <v>604</v>
      </c>
      <c r="P35" s="41" t="s">
        <v>605</v>
      </c>
      <c r="Q35" s="41" t="s">
        <v>117</v>
      </c>
      <c r="R35" s="41" t="s">
        <v>646</v>
      </c>
      <c r="S35" s="86" t="s">
        <v>104</v>
      </c>
      <c r="T35" s="86">
        <v>45748</v>
      </c>
      <c r="U35" s="40" t="s">
        <v>604</v>
      </c>
      <c r="V35" s="41" t="s">
        <v>605</v>
      </c>
      <c r="W35" s="41" t="s">
        <v>117</v>
      </c>
      <c r="X35" s="41" t="s">
        <v>646</v>
      </c>
      <c r="Y35" s="64">
        <v>45920</v>
      </c>
      <c r="Z35" s="64"/>
      <c r="AA35" s="40" t="s">
        <v>604</v>
      </c>
      <c r="AB35" s="41" t="s">
        <v>605</v>
      </c>
      <c r="AC35" s="41" t="s">
        <v>117</v>
      </c>
      <c r="AD35" s="41" t="s">
        <v>646</v>
      </c>
      <c r="AE35" s="41" t="s">
        <v>162</v>
      </c>
      <c r="AF35" s="42"/>
      <c r="AH35" s="41" t="s">
        <v>1030</v>
      </c>
      <c r="AI35" s="41" t="s">
        <v>1466</v>
      </c>
      <c r="AJ35" s="41" t="s">
        <v>2175</v>
      </c>
    </row>
    <row r="36" spans="6:36" ht="29" x14ac:dyDescent="0.35">
      <c r="F36" s="40" t="s">
        <v>1903</v>
      </c>
      <c r="G36" s="40" t="s">
        <v>603</v>
      </c>
      <c r="H36" s="41" t="s">
        <v>208</v>
      </c>
      <c r="J36" s="40" t="s">
        <v>650</v>
      </c>
      <c r="O36" s="40" t="s">
        <v>604</v>
      </c>
      <c r="P36" s="41" t="s">
        <v>605</v>
      </c>
      <c r="Q36" s="41" t="s">
        <v>117</v>
      </c>
      <c r="R36" s="41" t="s">
        <v>646</v>
      </c>
      <c r="S36" s="86" t="s">
        <v>104</v>
      </c>
      <c r="T36" s="86">
        <v>45748</v>
      </c>
      <c r="U36" s="40" t="s">
        <v>604</v>
      </c>
      <c r="V36" s="41" t="s">
        <v>605</v>
      </c>
      <c r="W36" s="41" t="s">
        <v>117</v>
      </c>
      <c r="X36" s="41" t="s">
        <v>646</v>
      </c>
      <c r="Y36" s="64">
        <v>45920</v>
      </c>
      <c r="Z36" s="64"/>
      <c r="AA36" s="40" t="s">
        <v>604</v>
      </c>
      <c r="AB36" s="41" t="s">
        <v>605</v>
      </c>
      <c r="AC36" s="41" t="s">
        <v>102</v>
      </c>
      <c r="AD36" s="41" t="s">
        <v>2212</v>
      </c>
      <c r="AE36" s="41" t="s">
        <v>162</v>
      </c>
      <c r="AF36" s="42"/>
      <c r="AH36" s="41" t="s">
        <v>1031</v>
      </c>
      <c r="AI36" s="41" t="s">
        <v>1467</v>
      </c>
      <c r="AJ36" s="41" t="s">
        <v>2175</v>
      </c>
    </row>
    <row r="37" spans="6:36" ht="29" x14ac:dyDescent="0.35">
      <c r="F37" s="40" t="s">
        <v>1904</v>
      </c>
      <c r="G37" s="40" t="s">
        <v>603</v>
      </c>
      <c r="H37" s="41" t="s">
        <v>208</v>
      </c>
      <c r="J37" s="40" t="s">
        <v>651</v>
      </c>
      <c r="O37" s="40" t="s">
        <v>604</v>
      </c>
      <c r="P37" s="41" t="s">
        <v>605</v>
      </c>
      <c r="Q37" s="41" t="s">
        <v>117</v>
      </c>
      <c r="R37" s="41" t="s">
        <v>646</v>
      </c>
      <c r="S37" s="86" t="s">
        <v>104</v>
      </c>
      <c r="T37" s="86">
        <v>45748</v>
      </c>
      <c r="U37" s="40" t="s">
        <v>604</v>
      </c>
      <c r="V37" s="41" t="s">
        <v>605</v>
      </c>
      <c r="W37" s="41" t="s">
        <v>117</v>
      </c>
      <c r="X37" s="41" t="s">
        <v>646</v>
      </c>
      <c r="Y37" s="64">
        <v>45920</v>
      </c>
      <c r="Z37" s="64"/>
      <c r="AA37" s="40" t="s">
        <v>604</v>
      </c>
      <c r="AB37" s="41" t="s">
        <v>607</v>
      </c>
      <c r="AC37" s="41" t="s">
        <v>117</v>
      </c>
      <c r="AD37" s="41" t="s">
        <v>647</v>
      </c>
      <c r="AE37" s="41" t="s">
        <v>162</v>
      </c>
      <c r="AF37" s="42"/>
      <c r="AH37" s="41" t="s">
        <v>1032</v>
      </c>
      <c r="AI37" s="41" t="s">
        <v>1468</v>
      </c>
      <c r="AJ37" s="41" t="s">
        <v>2175</v>
      </c>
    </row>
    <row r="38" spans="6:36" ht="29" x14ac:dyDescent="0.35">
      <c r="F38" s="40" t="s">
        <v>1905</v>
      </c>
      <c r="G38" s="40" t="s">
        <v>603</v>
      </c>
      <c r="H38" s="41" t="s">
        <v>208</v>
      </c>
      <c r="J38" s="40" t="s">
        <v>652</v>
      </c>
      <c r="O38" s="40" t="s">
        <v>604</v>
      </c>
      <c r="P38" s="41" t="s">
        <v>605</v>
      </c>
      <c r="Q38" s="41" t="s">
        <v>117</v>
      </c>
      <c r="R38" s="41" t="s">
        <v>646</v>
      </c>
      <c r="S38" s="86" t="s">
        <v>104</v>
      </c>
      <c r="T38" s="86">
        <v>45748</v>
      </c>
      <c r="U38" s="40" t="s">
        <v>604</v>
      </c>
      <c r="V38" s="41" t="s">
        <v>605</v>
      </c>
      <c r="W38" s="41" t="s">
        <v>117</v>
      </c>
      <c r="X38" s="41" t="s">
        <v>646</v>
      </c>
      <c r="Y38" s="64">
        <v>45920</v>
      </c>
      <c r="Z38" s="64"/>
      <c r="AA38" s="40" t="s">
        <v>604</v>
      </c>
      <c r="AB38" s="41" t="s">
        <v>607</v>
      </c>
      <c r="AC38" s="41" t="s">
        <v>117</v>
      </c>
      <c r="AD38" s="41" t="s">
        <v>647</v>
      </c>
      <c r="AE38" s="41" t="s">
        <v>162</v>
      </c>
      <c r="AF38" s="42"/>
      <c r="AH38" s="41" t="s">
        <v>1033</v>
      </c>
      <c r="AI38" s="41" t="s">
        <v>1469</v>
      </c>
      <c r="AJ38" s="41" t="s">
        <v>2175</v>
      </c>
    </row>
    <row r="39" spans="6:36" ht="29" x14ac:dyDescent="0.35">
      <c r="F39" s="40" t="s">
        <v>1906</v>
      </c>
      <c r="G39" s="40" t="s">
        <v>603</v>
      </c>
      <c r="H39" s="41" t="s">
        <v>208</v>
      </c>
      <c r="J39" s="40" t="s">
        <v>616</v>
      </c>
      <c r="O39" s="40" t="s">
        <v>604</v>
      </c>
      <c r="P39" s="41" t="s">
        <v>605</v>
      </c>
      <c r="Q39" s="41" t="s">
        <v>117</v>
      </c>
      <c r="R39" s="41" t="s">
        <v>646</v>
      </c>
      <c r="S39" s="86" t="s">
        <v>104</v>
      </c>
      <c r="T39" s="86">
        <v>45748</v>
      </c>
      <c r="U39" s="40" t="s">
        <v>604</v>
      </c>
      <c r="V39" s="41" t="s">
        <v>605</v>
      </c>
      <c r="W39" s="41" t="s">
        <v>117</v>
      </c>
      <c r="X39" s="41" t="s">
        <v>646</v>
      </c>
      <c r="Y39" s="64">
        <v>45920</v>
      </c>
      <c r="Z39" s="64"/>
      <c r="AA39" s="40" t="s">
        <v>604</v>
      </c>
      <c r="AB39" s="41" t="s">
        <v>607</v>
      </c>
      <c r="AC39" s="41" t="s">
        <v>117</v>
      </c>
      <c r="AD39" s="41" t="s">
        <v>647</v>
      </c>
      <c r="AE39" s="41" t="s">
        <v>162</v>
      </c>
      <c r="AF39" s="42"/>
      <c r="AH39" s="41" t="s">
        <v>1034</v>
      </c>
      <c r="AI39" s="41" t="s">
        <v>1470</v>
      </c>
      <c r="AJ39" s="41" t="s">
        <v>2175</v>
      </c>
    </row>
    <row r="40" spans="6:36" ht="29" x14ac:dyDescent="0.35">
      <c r="F40" s="40" t="s">
        <v>1907</v>
      </c>
      <c r="G40" s="40" t="s">
        <v>603</v>
      </c>
      <c r="H40" s="41" t="s">
        <v>208</v>
      </c>
      <c r="J40" s="40" t="s">
        <v>653</v>
      </c>
      <c r="O40" s="40" t="s">
        <v>604</v>
      </c>
      <c r="P40" s="41" t="s">
        <v>605</v>
      </c>
      <c r="Q40" s="41" t="s">
        <v>117</v>
      </c>
      <c r="R40" s="41" t="s">
        <v>646</v>
      </c>
      <c r="S40" s="86" t="s">
        <v>104</v>
      </c>
      <c r="T40" s="86">
        <v>45748</v>
      </c>
      <c r="U40" s="40" t="s">
        <v>604</v>
      </c>
      <c r="V40" s="41" t="s">
        <v>605</v>
      </c>
      <c r="W40" s="41" t="s">
        <v>117</v>
      </c>
      <c r="X40" s="41" t="s">
        <v>646</v>
      </c>
      <c r="Y40" s="64">
        <v>45920</v>
      </c>
      <c r="Z40" s="64"/>
      <c r="AA40" s="40" t="s">
        <v>604</v>
      </c>
      <c r="AB40" s="41" t="s">
        <v>605</v>
      </c>
      <c r="AC40" s="41" t="s">
        <v>117</v>
      </c>
      <c r="AD40" s="41" t="s">
        <v>646</v>
      </c>
      <c r="AE40" s="41" t="s">
        <v>162</v>
      </c>
      <c r="AF40" s="42"/>
      <c r="AH40" s="41" t="s">
        <v>1035</v>
      </c>
      <c r="AI40" s="41" t="s">
        <v>1471</v>
      </c>
      <c r="AJ40" s="41" t="s">
        <v>2175</v>
      </c>
    </row>
    <row r="41" spans="6:36" ht="29" x14ac:dyDescent="0.35">
      <c r="F41" s="40" t="s">
        <v>1908</v>
      </c>
      <c r="G41" s="40" t="s">
        <v>603</v>
      </c>
      <c r="H41" s="41" t="s">
        <v>208</v>
      </c>
      <c r="J41" s="40" t="s">
        <v>654</v>
      </c>
      <c r="O41" s="40" t="s">
        <v>604</v>
      </c>
      <c r="P41" s="41" t="s">
        <v>605</v>
      </c>
      <c r="Q41" s="41" t="s">
        <v>117</v>
      </c>
      <c r="R41" s="41" t="s">
        <v>646</v>
      </c>
      <c r="S41" s="86" t="s">
        <v>104</v>
      </c>
      <c r="T41" s="86">
        <v>45748</v>
      </c>
      <c r="U41" s="40" t="s">
        <v>604</v>
      </c>
      <c r="V41" s="41" t="s">
        <v>605</v>
      </c>
      <c r="W41" s="41" t="s">
        <v>117</v>
      </c>
      <c r="X41" s="41" t="s">
        <v>646</v>
      </c>
      <c r="Y41" s="64">
        <v>45920</v>
      </c>
      <c r="Z41" s="64"/>
      <c r="AA41" s="40" t="s">
        <v>604</v>
      </c>
      <c r="AB41" s="41" t="s">
        <v>607</v>
      </c>
      <c r="AC41" s="41" t="s">
        <v>117</v>
      </c>
      <c r="AD41" s="41" t="s">
        <v>647</v>
      </c>
      <c r="AE41" s="41" t="s">
        <v>162</v>
      </c>
      <c r="AF41" s="42"/>
      <c r="AH41" s="41" t="s">
        <v>1036</v>
      </c>
      <c r="AI41" s="41" t="s">
        <v>1472</v>
      </c>
      <c r="AJ41" s="41" t="s">
        <v>2175</v>
      </c>
    </row>
    <row r="42" spans="6:36" ht="29" x14ac:dyDescent="0.35">
      <c r="F42" s="40" t="s">
        <v>1909</v>
      </c>
      <c r="G42" s="40" t="s">
        <v>603</v>
      </c>
      <c r="H42" s="41" t="s">
        <v>208</v>
      </c>
      <c r="J42" s="40" t="s">
        <v>655</v>
      </c>
      <c r="O42" s="40" t="s">
        <v>604</v>
      </c>
      <c r="P42" s="41" t="s">
        <v>605</v>
      </c>
      <c r="Q42" s="41" t="s">
        <v>117</v>
      </c>
      <c r="R42" s="41" t="s">
        <v>646</v>
      </c>
      <c r="S42" s="86" t="s">
        <v>104</v>
      </c>
      <c r="T42" s="86">
        <v>45748</v>
      </c>
      <c r="U42" s="40" t="s">
        <v>604</v>
      </c>
      <c r="V42" s="41" t="s">
        <v>605</v>
      </c>
      <c r="W42" s="41" t="s">
        <v>117</v>
      </c>
      <c r="X42" s="41" t="s">
        <v>646</v>
      </c>
      <c r="Y42" s="64">
        <v>45920</v>
      </c>
      <c r="Z42" s="64"/>
      <c r="AA42" s="40" t="s">
        <v>604</v>
      </c>
      <c r="AB42" s="41" t="s">
        <v>607</v>
      </c>
      <c r="AC42" s="41" t="s">
        <v>117</v>
      </c>
      <c r="AD42" s="41" t="s">
        <v>647</v>
      </c>
      <c r="AE42" s="41" t="s">
        <v>162</v>
      </c>
      <c r="AF42" s="42"/>
      <c r="AH42" s="41" t="s">
        <v>1037</v>
      </c>
      <c r="AI42" s="41" t="s">
        <v>1473</v>
      </c>
      <c r="AJ42" s="41" t="s">
        <v>2175</v>
      </c>
    </row>
    <row r="43" spans="6:36" ht="29" x14ac:dyDescent="0.35">
      <c r="F43" s="40" t="s">
        <v>1910</v>
      </c>
      <c r="G43" s="40" t="s">
        <v>603</v>
      </c>
      <c r="H43" s="41" t="s">
        <v>208</v>
      </c>
      <c r="J43" s="40" t="s">
        <v>656</v>
      </c>
      <c r="O43" s="40" t="s">
        <v>604</v>
      </c>
      <c r="P43" s="41" t="s">
        <v>605</v>
      </c>
      <c r="Q43" s="41" t="s">
        <v>117</v>
      </c>
      <c r="R43" s="41" t="s">
        <v>646</v>
      </c>
      <c r="S43" s="86" t="s">
        <v>104</v>
      </c>
      <c r="T43" s="86">
        <v>45748</v>
      </c>
      <c r="U43" s="40" t="s">
        <v>604</v>
      </c>
      <c r="V43" s="41" t="s">
        <v>605</v>
      </c>
      <c r="W43" s="41" t="s">
        <v>117</v>
      </c>
      <c r="X43" s="41" t="s">
        <v>646</v>
      </c>
      <c r="Y43" s="64">
        <v>45920</v>
      </c>
      <c r="Z43" s="64"/>
      <c r="AA43" s="40" t="s">
        <v>604</v>
      </c>
      <c r="AB43" s="41" t="s">
        <v>607</v>
      </c>
      <c r="AC43" s="41" t="s">
        <v>117</v>
      </c>
      <c r="AD43" s="41" t="s">
        <v>647</v>
      </c>
      <c r="AE43" s="41" t="s">
        <v>162</v>
      </c>
      <c r="AF43" s="42"/>
      <c r="AH43" s="41" t="s">
        <v>1038</v>
      </c>
      <c r="AI43" s="41" t="s">
        <v>1474</v>
      </c>
      <c r="AJ43" s="41" t="s">
        <v>2175</v>
      </c>
    </row>
    <row r="44" spans="6:36" ht="29" x14ac:dyDescent="0.35">
      <c r="F44" s="40" t="s">
        <v>1911</v>
      </c>
      <c r="G44" s="40" t="s">
        <v>603</v>
      </c>
      <c r="H44" s="41" t="s">
        <v>208</v>
      </c>
      <c r="J44" s="40" t="s">
        <v>628</v>
      </c>
      <c r="O44" s="40" t="s">
        <v>604</v>
      </c>
      <c r="P44" s="41" t="s">
        <v>605</v>
      </c>
      <c r="Q44" s="41" t="s">
        <v>117</v>
      </c>
      <c r="R44" s="41" t="s">
        <v>646</v>
      </c>
      <c r="S44" s="86" t="s">
        <v>104</v>
      </c>
      <c r="T44" s="86">
        <v>45748</v>
      </c>
      <c r="U44" s="40" t="s">
        <v>604</v>
      </c>
      <c r="V44" s="41" t="s">
        <v>605</v>
      </c>
      <c r="W44" s="41" t="s">
        <v>117</v>
      </c>
      <c r="X44" s="41" t="s">
        <v>646</v>
      </c>
      <c r="Y44" s="64">
        <v>45920</v>
      </c>
      <c r="Z44" s="64"/>
      <c r="AA44" s="40" t="s">
        <v>604</v>
      </c>
      <c r="AB44" s="41" t="s">
        <v>607</v>
      </c>
      <c r="AC44" s="41" t="s">
        <v>117</v>
      </c>
      <c r="AD44" s="41" t="s">
        <v>647</v>
      </c>
      <c r="AE44" s="41" t="s">
        <v>162</v>
      </c>
      <c r="AF44" s="42"/>
      <c r="AH44" s="41" t="s">
        <v>1039</v>
      </c>
      <c r="AI44" s="41" t="s">
        <v>1475</v>
      </c>
      <c r="AJ44" s="41" t="s">
        <v>2175</v>
      </c>
    </row>
    <row r="45" spans="6:36" ht="43.5" x14ac:dyDescent="0.35">
      <c r="F45" s="40" t="s">
        <v>1912</v>
      </c>
      <c r="G45" s="40" t="s">
        <v>603</v>
      </c>
      <c r="H45" s="41" t="s">
        <v>208</v>
      </c>
      <c r="J45" s="40" t="s">
        <v>658</v>
      </c>
      <c r="O45" s="40" t="s">
        <v>604</v>
      </c>
      <c r="P45" s="41" t="s">
        <v>605</v>
      </c>
      <c r="Q45" s="41" t="s">
        <v>117</v>
      </c>
      <c r="R45" s="41" t="s">
        <v>660</v>
      </c>
      <c r="S45" s="86" t="s">
        <v>104</v>
      </c>
      <c r="T45" s="86">
        <v>45748</v>
      </c>
      <c r="U45" s="40" t="s">
        <v>604</v>
      </c>
      <c r="V45" s="41" t="s">
        <v>605</v>
      </c>
      <c r="W45" s="41" t="s">
        <v>117</v>
      </c>
      <c r="X45" s="41" t="s">
        <v>660</v>
      </c>
      <c r="Y45" s="64">
        <v>45920</v>
      </c>
      <c r="Z45" s="64"/>
      <c r="AA45" s="40" t="s">
        <v>604</v>
      </c>
      <c r="AB45" s="41" t="s">
        <v>607</v>
      </c>
      <c r="AC45" s="41" t="s">
        <v>117</v>
      </c>
      <c r="AD45" s="41" t="s">
        <v>661</v>
      </c>
      <c r="AE45" s="41" t="s">
        <v>162</v>
      </c>
      <c r="AF45" s="42"/>
      <c r="AH45" s="41" t="s">
        <v>1040</v>
      </c>
      <c r="AI45" s="41" t="s">
        <v>1476</v>
      </c>
      <c r="AJ45" s="41" t="s">
        <v>2175</v>
      </c>
    </row>
    <row r="46" spans="6:36" ht="43.5" x14ac:dyDescent="0.35">
      <c r="F46" s="40" t="s">
        <v>1913</v>
      </c>
      <c r="G46" s="40" t="s">
        <v>603</v>
      </c>
      <c r="H46" s="41" t="s">
        <v>208</v>
      </c>
      <c r="J46" s="40" t="s">
        <v>662</v>
      </c>
      <c r="O46" s="40" t="s">
        <v>604</v>
      </c>
      <c r="P46" s="41" t="s">
        <v>605</v>
      </c>
      <c r="Q46" s="41" t="s">
        <v>117</v>
      </c>
      <c r="R46" s="41" t="s">
        <v>660</v>
      </c>
      <c r="S46" s="86" t="s">
        <v>104</v>
      </c>
      <c r="T46" s="86">
        <v>45748</v>
      </c>
      <c r="U46" s="40" t="s">
        <v>604</v>
      </c>
      <c r="V46" s="41" t="s">
        <v>605</v>
      </c>
      <c r="W46" s="41" t="s">
        <v>117</v>
      </c>
      <c r="X46" s="41" t="s">
        <v>660</v>
      </c>
      <c r="Y46" s="64">
        <v>45920</v>
      </c>
      <c r="Z46" s="64"/>
      <c r="AA46" s="40" t="s">
        <v>604</v>
      </c>
      <c r="AB46" s="41" t="s">
        <v>607</v>
      </c>
      <c r="AC46" s="41" t="s">
        <v>117</v>
      </c>
      <c r="AD46" s="41" t="s">
        <v>661</v>
      </c>
      <c r="AE46" s="41" t="s">
        <v>162</v>
      </c>
      <c r="AF46" s="42"/>
      <c r="AH46" s="41" t="s">
        <v>1041</v>
      </c>
      <c r="AI46" s="41" t="s">
        <v>1477</v>
      </c>
      <c r="AJ46" s="41" t="s">
        <v>2175</v>
      </c>
    </row>
    <row r="47" spans="6:36" ht="43.5" x14ac:dyDescent="0.35">
      <c r="F47" s="40" t="s">
        <v>1914</v>
      </c>
      <c r="G47" s="40" t="s">
        <v>603</v>
      </c>
      <c r="H47" s="41" t="s">
        <v>208</v>
      </c>
      <c r="J47" s="40" t="s">
        <v>616</v>
      </c>
      <c r="O47" s="40" t="s">
        <v>604</v>
      </c>
      <c r="P47" s="41" t="s">
        <v>605</v>
      </c>
      <c r="Q47" s="41" t="s">
        <v>117</v>
      </c>
      <c r="R47" s="41" t="s">
        <v>660</v>
      </c>
      <c r="S47" s="86" t="s">
        <v>104</v>
      </c>
      <c r="T47" s="86">
        <v>45748</v>
      </c>
      <c r="U47" s="40" t="s">
        <v>604</v>
      </c>
      <c r="V47" s="41" t="s">
        <v>605</v>
      </c>
      <c r="W47" s="41" t="s">
        <v>117</v>
      </c>
      <c r="X47" s="41" t="s">
        <v>660</v>
      </c>
      <c r="Y47" s="64">
        <v>45920</v>
      </c>
      <c r="Z47" s="64"/>
      <c r="AA47" s="40" t="s">
        <v>604</v>
      </c>
      <c r="AB47" s="41" t="s">
        <v>607</v>
      </c>
      <c r="AC47" s="41" t="s">
        <v>117</v>
      </c>
      <c r="AD47" s="41" t="s">
        <v>661</v>
      </c>
      <c r="AE47" s="41" t="s">
        <v>162</v>
      </c>
      <c r="AF47" s="42"/>
      <c r="AH47" s="41" t="s">
        <v>1042</v>
      </c>
      <c r="AI47" s="41" t="s">
        <v>1478</v>
      </c>
      <c r="AJ47" s="41" t="s">
        <v>2175</v>
      </c>
    </row>
    <row r="48" spans="6:36" ht="43.5" x14ac:dyDescent="0.35">
      <c r="F48" s="40" t="s">
        <v>1915</v>
      </c>
      <c r="G48" s="40" t="s">
        <v>603</v>
      </c>
      <c r="H48" s="41" t="s">
        <v>208</v>
      </c>
      <c r="J48" s="40" t="s">
        <v>664</v>
      </c>
      <c r="O48" s="40" t="s">
        <v>604</v>
      </c>
      <c r="P48" s="41" t="s">
        <v>605</v>
      </c>
      <c r="Q48" s="41" t="s">
        <v>117</v>
      </c>
      <c r="R48" s="41" t="s">
        <v>660</v>
      </c>
      <c r="S48" s="86" t="s">
        <v>104</v>
      </c>
      <c r="T48" s="86">
        <v>45748</v>
      </c>
      <c r="U48" s="40" t="s">
        <v>604</v>
      </c>
      <c r="V48" s="41" t="s">
        <v>605</v>
      </c>
      <c r="W48" s="41" t="s">
        <v>117</v>
      </c>
      <c r="X48" s="41" t="s">
        <v>660</v>
      </c>
      <c r="Y48" s="64">
        <v>45920</v>
      </c>
      <c r="Z48" s="64"/>
      <c r="AA48" s="40" t="s">
        <v>604</v>
      </c>
      <c r="AB48" s="41" t="s">
        <v>607</v>
      </c>
      <c r="AC48" s="41" t="s">
        <v>117</v>
      </c>
      <c r="AD48" s="41" t="s">
        <v>661</v>
      </c>
      <c r="AE48" s="41" t="s">
        <v>162</v>
      </c>
      <c r="AF48" s="42"/>
      <c r="AH48" s="41" t="s">
        <v>1043</v>
      </c>
      <c r="AI48" s="41" t="s">
        <v>1479</v>
      </c>
      <c r="AJ48" s="41" t="s">
        <v>2175</v>
      </c>
    </row>
    <row r="49" spans="6:36" ht="43.5" x14ac:dyDescent="0.35">
      <c r="F49" s="40" t="s">
        <v>1916</v>
      </c>
      <c r="G49" s="40" t="s">
        <v>603</v>
      </c>
      <c r="H49" s="41" t="s">
        <v>208</v>
      </c>
      <c r="J49" s="40" t="s">
        <v>666</v>
      </c>
      <c r="O49" s="40" t="s">
        <v>604</v>
      </c>
      <c r="P49" s="41" t="s">
        <v>605</v>
      </c>
      <c r="Q49" s="41" t="s">
        <v>117</v>
      </c>
      <c r="R49" s="41" t="s">
        <v>660</v>
      </c>
      <c r="S49" s="86" t="s">
        <v>104</v>
      </c>
      <c r="T49" s="86">
        <v>45748</v>
      </c>
      <c r="U49" s="40" t="s">
        <v>604</v>
      </c>
      <c r="V49" s="41" t="s">
        <v>605</v>
      </c>
      <c r="W49" s="41" t="s">
        <v>117</v>
      </c>
      <c r="X49" s="41" t="s">
        <v>660</v>
      </c>
      <c r="Y49" s="64">
        <v>45920</v>
      </c>
      <c r="Z49" s="64"/>
      <c r="AA49" s="40" t="s">
        <v>604</v>
      </c>
      <c r="AB49" s="41" t="s">
        <v>607</v>
      </c>
      <c r="AC49" s="41" t="s">
        <v>117</v>
      </c>
      <c r="AD49" s="41" t="s">
        <v>661</v>
      </c>
      <c r="AE49" s="41" t="s">
        <v>162</v>
      </c>
      <c r="AF49" s="42"/>
      <c r="AH49" s="41" t="s">
        <v>1044</v>
      </c>
      <c r="AI49" s="41" t="s">
        <v>1480</v>
      </c>
      <c r="AJ49" s="41" t="s">
        <v>2175</v>
      </c>
    </row>
    <row r="50" spans="6:36" ht="43.5" x14ac:dyDescent="0.35">
      <c r="F50" s="40" t="s">
        <v>1917</v>
      </c>
      <c r="G50" s="40" t="s">
        <v>603</v>
      </c>
      <c r="H50" s="41" t="s">
        <v>208</v>
      </c>
      <c r="J50" s="40" t="s">
        <v>667</v>
      </c>
      <c r="O50" s="40" t="s">
        <v>604</v>
      </c>
      <c r="P50" s="41" t="s">
        <v>605</v>
      </c>
      <c r="Q50" s="41" t="s">
        <v>117</v>
      </c>
      <c r="R50" s="41" t="s">
        <v>660</v>
      </c>
      <c r="S50" s="86" t="s">
        <v>104</v>
      </c>
      <c r="T50" s="86">
        <v>45748</v>
      </c>
      <c r="U50" s="40" t="s">
        <v>604</v>
      </c>
      <c r="V50" s="41" t="s">
        <v>605</v>
      </c>
      <c r="W50" s="41" t="s">
        <v>117</v>
      </c>
      <c r="X50" s="41" t="s">
        <v>660</v>
      </c>
      <c r="Y50" s="64">
        <v>45920</v>
      </c>
      <c r="Z50" s="64"/>
      <c r="AA50" s="40" t="s">
        <v>604</v>
      </c>
      <c r="AB50" s="41" t="s">
        <v>607</v>
      </c>
      <c r="AC50" s="41" t="s">
        <v>117</v>
      </c>
      <c r="AD50" s="41" t="s">
        <v>661</v>
      </c>
      <c r="AE50" s="41" t="s">
        <v>162</v>
      </c>
      <c r="AF50" s="42"/>
      <c r="AH50" s="41" t="s">
        <v>1045</v>
      </c>
      <c r="AI50" s="41" t="s">
        <v>1481</v>
      </c>
      <c r="AJ50" s="41" t="s">
        <v>2175</v>
      </c>
    </row>
    <row r="51" spans="6:36" ht="43.5" x14ac:dyDescent="0.35">
      <c r="F51" s="40" t="s">
        <v>1918</v>
      </c>
      <c r="G51" s="40" t="s">
        <v>603</v>
      </c>
      <c r="H51" s="41" t="s">
        <v>208</v>
      </c>
      <c r="J51" s="40" t="s">
        <v>654</v>
      </c>
      <c r="O51" s="40" t="s">
        <v>604</v>
      </c>
      <c r="P51" s="41" t="s">
        <v>605</v>
      </c>
      <c r="Q51" s="41" t="s">
        <v>117</v>
      </c>
      <c r="R51" s="41" t="s">
        <v>660</v>
      </c>
      <c r="S51" s="86" t="s">
        <v>104</v>
      </c>
      <c r="T51" s="86">
        <v>45748</v>
      </c>
      <c r="U51" s="40" t="s">
        <v>604</v>
      </c>
      <c r="V51" s="41" t="s">
        <v>605</v>
      </c>
      <c r="W51" s="41" t="s">
        <v>117</v>
      </c>
      <c r="X51" s="41" t="s">
        <v>660</v>
      </c>
      <c r="Y51" s="64">
        <v>45920</v>
      </c>
      <c r="Z51" s="64"/>
      <c r="AA51" s="40" t="s">
        <v>604</v>
      </c>
      <c r="AB51" s="41" t="s">
        <v>607</v>
      </c>
      <c r="AC51" s="41" t="s">
        <v>117</v>
      </c>
      <c r="AD51" s="41" t="s">
        <v>661</v>
      </c>
      <c r="AE51" s="41" t="s">
        <v>162</v>
      </c>
      <c r="AF51" s="42"/>
      <c r="AH51" s="41" t="s">
        <v>1046</v>
      </c>
      <c r="AI51" s="41" t="s">
        <v>1482</v>
      </c>
      <c r="AJ51" s="41" t="s">
        <v>2175</v>
      </c>
    </row>
    <row r="52" spans="6:36" ht="43.5" x14ac:dyDescent="0.35">
      <c r="F52" s="40" t="s">
        <v>1919</v>
      </c>
      <c r="G52" s="40" t="s">
        <v>603</v>
      </c>
      <c r="H52" s="41" t="s">
        <v>208</v>
      </c>
      <c r="J52" s="40" t="s">
        <v>628</v>
      </c>
      <c r="O52" s="40" t="s">
        <v>604</v>
      </c>
      <c r="P52" s="41" t="s">
        <v>605</v>
      </c>
      <c r="Q52" s="41" t="s">
        <v>117</v>
      </c>
      <c r="R52" s="41" t="s">
        <v>668</v>
      </c>
      <c r="S52" s="86" t="s">
        <v>104</v>
      </c>
      <c r="T52" s="86">
        <v>45748</v>
      </c>
      <c r="U52" s="40" t="s">
        <v>604</v>
      </c>
      <c r="V52" s="41" t="s">
        <v>605</v>
      </c>
      <c r="W52" s="41" t="s">
        <v>117</v>
      </c>
      <c r="X52" s="41" t="s">
        <v>668</v>
      </c>
      <c r="Y52" s="64">
        <v>45920</v>
      </c>
      <c r="Z52" s="64"/>
      <c r="AA52" s="40" t="s">
        <v>604</v>
      </c>
      <c r="AB52" s="41" t="s">
        <v>607</v>
      </c>
      <c r="AC52" s="41" t="s">
        <v>117</v>
      </c>
      <c r="AD52" s="41" t="s">
        <v>669</v>
      </c>
      <c r="AE52" s="41" t="s">
        <v>162</v>
      </c>
      <c r="AF52" s="42"/>
      <c r="AH52" s="41" t="s">
        <v>1047</v>
      </c>
      <c r="AI52" s="41" t="s">
        <v>1483</v>
      </c>
      <c r="AJ52" s="41" t="s">
        <v>2175</v>
      </c>
    </row>
    <row r="53" spans="6:36" ht="43.5" x14ac:dyDescent="0.35">
      <c r="F53" s="40" t="s">
        <v>1920</v>
      </c>
      <c r="G53" s="40" t="s">
        <v>603</v>
      </c>
      <c r="H53" s="41" t="s">
        <v>208</v>
      </c>
      <c r="J53" s="40" t="s">
        <v>658</v>
      </c>
      <c r="O53" s="40" t="s">
        <v>604</v>
      </c>
      <c r="P53" s="41" t="s">
        <v>605</v>
      </c>
      <c r="Q53" s="41" t="s">
        <v>117</v>
      </c>
      <c r="R53" s="41" t="s">
        <v>668</v>
      </c>
      <c r="S53" s="86" t="s">
        <v>104</v>
      </c>
      <c r="T53" s="86">
        <v>45748</v>
      </c>
      <c r="U53" s="40" t="s">
        <v>604</v>
      </c>
      <c r="V53" s="41" t="s">
        <v>605</v>
      </c>
      <c r="W53" s="41" t="s">
        <v>117</v>
      </c>
      <c r="X53" s="41" t="s">
        <v>668</v>
      </c>
      <c r="Y53" s="64">
        <v>45920</v>
      </c>
      <c r="Z53" s="64"/>
      <c r="AA53" s="40" t="s">
        <v>604</v>
      </c>
      <c r="AB53" s="41" t="s">
        <v>607</v>
      </c>
      <c r="AC53" s="41" t="s">
        <v>117</v>
      </c>
      <c r="AD53" s="41" t="s">
        <v>669</v>
      </c>
      <c r="AE53" s="41" t="s">
        <v>162</v>
      </c>
      <c r="AF53" s="42"/>
      <c r="AH53" s="41" t="s">
        <v>1048</v>
      </c>
      <c r="AI53" s="41" t="s">
        <v>1484</v>
      </c>
      <c r="AJ53" s="41" t="s">
        <v>2175</v>
      </c>
    </row>
    <row r="54" spans="6:36" ht="43.5" x14ac:dyDescent="0.35">
      <c r="F54" s="40" t="s">
        <v>1921</v>
      </c>
      <c r="G54" s="40" t="s">
        <v>603</v>
      </c>
      <c r="H54" s="41" t="s">
        <v>208</v>
      </c>
      <c r="J54" s="40" t="s">
        <v>616</v>
      </c>
      <c r="O54" s="40" t="s">
        <v>604</v>
      </c>
      <c r="P54" s="41" t="s">
        <v>605</v>
      </c>
      <c r="Q54" s="41" t="s">
        <v>117</v>
      </c>
      <c r="R54" s="41" t="s">
        <v>668</v>
      </c>
      <c r="S54" s="86" t="s">
        <v>104</v>
      </c>
      <c r="T54" s="86">
        <v>45748</v>
      </c>
      <c r="U54" s="40" t="s">
        <v>604</v>
      </c>
      <c r="V54" s="41" t="s">
        <v>605</v>
      </c>
      <c r="W54" s="41" t="s">
        <v>117</v>
      </c>
      <c r="X54" s="41" t="s">
        <v>668</v>
      </c>
      <c r="Y54" s="64">
        <v>45920</v>
      </c>
      <c r="Z54" s="64"/>
      <c r="AA54" s="40" t="s">
        <v>604</v>
      </c>
      <c r="AB54" s="41" t="s">
        <v>607</v>
      </c>
      <c r="AC54" s="41" t="s">
        <v>117</v>
      </c>
      <c r="AD54" s="41" t="s">
        <v>669</v>
      </c>
      <c r="AE54" s="41" t="s">
        <v>162</v>
      </c>
      <c r="AF54" s="42"/>
      <c r="AH54" s="41" t="s">
        <v>1049</v>
      </c>
      <c r="AI54" s="41" t="s">
        <v>1485</v>
      </c>
      <c r="AJ54" s="41" t="s">
        <v>2175</v>
      </c>
    </row>
    <row r="55" spans="6:36" ht="43.5" x14ac:dyDescent="0.35">
      <c r="F55" s="40" t="s">
        <v>1922</v>
      </c>
      <c r="G55" s="40" t="s">
        <v>603</v>
      </c>
      <c r="H55" s="41" t="s">
        <v>208</v>
      </c>
      <c r="J55" s="40" t="s">
        <v>670</v>
      </c>
      <c r="O55" s="40" t="s">
        <v>604</v>
      </c>
      <c r="P55" s="41" t="s">
        <v>605</v>
      </c>
      <c r="Q55" s="41" t="s">
        <v>117</v>
      </c>
      <c r="R55" s="41" t="s">
        <v>668</v>
      </c>
      <c r="S55" s="86" t="s">
        <v>104</v>
      </c>
      <c r="T55" s="86">
        <v>45748</v>
      </c>
      <c r="U55" s="40" t="s">
        <v>604</v>
      </c>
      <c r="V55" s="41" t="s">
        <v>605</v>
      </c>
      <c r="W55" s="41" t="s">
        <v>117</v>
      </c>
      <c r="X55" s="41" t="s">
        <v>668</v>
      </c>
      <c r="Y55" s="64">
        <v>45920</v>
      </c>
      <c r="Z55" s="64"/>
      <c r="AA55" s="40" t="s">
        <v>604</v>
      </c>
      <c r="AB55" s="41" t="s">
        <v>607</v>
      </c>
      <c r="AC55" s="41" t="s">
        <v>117</v>
      </c>
      <c r="AD55" s="41" t="s">
        <v>669</v>
      </c>
      <c r="AE55" s="41" t="s">
        <v>162</v>
      </c>
      <c r="AF55" s="42"/>
      <c r="AH55" s="41" t="s">
        <v>1050</v>
      </c>
      <c r="AI55" s="41" t="s">
        <v>1486</v>
      </c>
      <c r="AJ55" s="41" t="s">
        <v>2175</v>
      </c>
    </row>
    <row r="56" spans="6:36" ht="43.5" x14ac:dyDescent="0.35">
      <c r="F56" s="40" t="s">
        <v>1923</v>
      </c>
      <c r="G56" s="40" t="s">
        <v>603</v>
      </c>
      <c r="H56" s="41" t="s">
        <v>208</v>
      </c>
      <c r="J56" s="40" t="s">
        <v>671</v>
      </c>
      <c r="O56" s="40" t="s">
        <v>604</v>
      </c>
      <c r="P56" s="41" t="s">
        <v>605</v>
      </c>
      <c r="Q56" s="41" t="s">
        <v>117</v>
      </c>
      <c r="R56" s="41" t="s">
        <v>668</v>
      </c>
      <c r="S56" s="86" t="s">
        <v>104</v>
      </c>
      <c r="T56" s="86">
        <v>45748</v>
      </c>
      <c r="U56" s="40" t="s">
        <v>604</v>
      </c>
      <c r="V56" s="41" t="s">
        <v>605</v>
      </c>
      <c r="W56" s="41" t="s">
        <v>117</v>
      </c>
      <c r="X56" s="41" t="s">
        <v>668</v>
      </c>
      <c r="Y56" s="64">
        <v>45920</v>
      </c>
      <c r="Z56" s="64"/>
      <c r="AA56" s="40" t="s">
        <v>604</v>
      </c>
      <c r="AB56" s="41" t="s">
        <v>607</v>
      </c>
      <c r="AC56" s="41" t="s">
        <v>117</v>
      </c>
      <c r="AD56" s="41" t="s">
        <v>669</v>
      </c>
      <c r="AE56" s="41" t="s">
        <v>162</v>
      </c>
      <c r="AF56" s="42"/>
      <c r="AH56" s="41" t="s">
        <v>1051</v>
      </c>
      <c r="AI56" s="41" t="s">
        <v>1487</v>
      </c>
      <c r="AJ56" s="41" t="s">
        <v>2175</v>
      </c>
    </row>
    <row r="57" spans="6:36" ht="43.5" x14ac:dyDescent="0.35">
      <c r="F57" s="40" t="s">
        <v>1924</v>
      </c>
      <c r="G57" s="40" t="s">
        <v>603</v>
      </c>
      <c r="H57" s="41" t="s">
        <v>208</v>
      </c>
      <c r="J57" s="40" t="s">
        <v>655</v>
      </c>
      <c r="O57" s="40" t="s">
        <v>604</v>
      </c>
      <c r="P57" s="41" t="s">
        <v>605</v>
      </c>
      <c r="Q57" s="41" t="s">
        <v>117</v>
      </c>
      <c r="R57" s="41" t="s">
        <v>668</v>
      </c>
      <c r="S57" s="86" t="s">
        <v>104</v>
      </c>
      <c r="T57" s="86">
        <v>45748</v>
      </c>
      <c r="U57" s="40" t="s">
        <v>604</v>
      </c>
      <c r="V57" s="41" t="s">
        <v>605</v>
      </c>
      <c r="W57" s="41" t="s">
        <v>117</v>
      </c>
      <c r="X57" s="41" t="s">
        <v>668</v>
      </c>
      <c r="Y57" s="64">
        <v>45920</v>
      </c>
      <c r="Z57" s="64"/>
      <c r="AA57" s="40" t="s">
        <v>604</v>
      </c>
      <c r="AB57" s="41" t="s">
        <v>607</v>
      </c>
      <c r="AC57" s="41" t="s">
        <v>117</v>
      </c>
      <c r="AD57" s="41" t="s">
        <v>669</v>
      </c>
      <c r="AE57" s="41" t="s">
        <v>162</v>
      </c>
      <c r="AF57" s="42"/>
      <c r="AH57" s="41" t="s">
        <v>1052</v>
      </c>
      <c r="AI57" s="41" t="s">
        <v>1488</v>
      </c>
      <c r="AJ57" s="41" t="s">
        <v>2175</v>
      </c>
    </row>
    <row r="58" spans="6:36" ht="29" x14ac:dyDescent="0.35">
      <c r="F58" s="40" t="s">
        <v>1925</v>
      </c>
      <c r="G58" s="40" t="s">
        <v>603</v>
      </c>
      <c r="H58" s="41" t="s">
        <v>208</v>
      </c>
      <c r="J58" s="40" t="s">
        <v>624</v>
      </c>
      <c r="O58" s="40" t="s">
        <v>604</v>
      </c>
      <c r="P58" s="41" t="s">
        <v>605</v>
      </c>
      <c r="Q58" s="41" t="s">
        <v>117</v>
      </c>
      <c r="R58" s="41" t="s">
        <v>668</v>
      </c>
      <c r="S58" s="86" t="s">
        <v>104</v>
      </c>
      <c r="T58" s="86">
        <v>45748</v>
      </c>
      <c r="U58" s="40" t="s">
        <v>604</v>
      </c>
      <c r="V58" s="41" t="s">
        <v>605</v>
      </c>
      <c r="W58" s="41" t="s">
        <v>117</v>
      </c>
      <c r="X58" s="41" t="s">
        <v>668</v>
      </c>
      <c r="Y58" s="64">
        <v>45920</v>
      </c>
      <c r="Z58" s="64"/>
      <c r="AA58" s="40" t="s">
        <v>2213</v>
      </c>
      <c r="AB58" s="41">
        <v>3</v>
      </c>
      <c r="AC58" s="41" t="s">
        <v>117</v>
      </c>
      <c r="AD58" s="41">
        <v>310</v>
      </c>
      <c r="AE58" s="41" t="s">
        <v>162</v>
      </c>
      <c r="AF58" s="42"/>
      <c r="AH58" s="41" t="s">
        <v>1053</v>
      </c>
      <c r="AI58" s="41" t="s">
        <v>1489</v>
      </c>
      <c r="AJ58" s="41" t="s">
        <v>2175</v>
      </c>
    </row>
    <row r="59" spans="6:36" ht="29" x14ac:dyDescent="0.35">
      <c r="F59" s="40" t="s">
        <v>1926</v>
      </c>
      <c r="G59" s="40" t="s">
        <v>603</v>
      </c>
      <c r="H59" s="41" t="s">
        <v>208</v>
      </c>
      <c r="J59" s="40" t="s">
        <v>621</v>
      </c>
      <c r="O59" s="40" t="s">
        <v>604</v>
      </c>
      <c r="P59" s="41" t="s">
        <v>605</v>
      </c>
      <c r="Q59" s="41" t="s">
        <v>117</v>
      </c>
      <c r="R59" s="41" t="s">
        <v>668</v>
      </c>
      <c r="S59" s="86" t="s">
        <v>104</v>
      </c>
      <c r="T59" s="86">
        <v>45748</v>
      </c>
      <c r="U59" s="40" t="s">
        <v>604</v>
      </c>
      <c r="V59" s="41" t="s">
        <v>605</v>
      </c>
      <c r="W59" s="41" t="s">
        <v>117</v>
      </c>
      <c r="X59" s="41" t="s">
        <v>668</v>
      </c>
      <c r="Y59" s="64">
        <v>45920</v>
      </c>
      <c r="Z59" s="64"/>
      <c r="AA59" s="40" t="s">
        <v>2213</v>
      </c>
      <c r="AB59" s="41">
        <v>3</v>
      </c>
      <c r="AC59" s="41" t="s">
        <v>117</v>
      </c>
      <c r="AD59" s="41">
        <v>310</v>
      </c>
      <c r="AE59" s="41" t="s">
        <v>162</v>
      </c>
      <c r="AF59" s="42"/>
      <c r="AH59" s="41" t="s">
        <v>1054</v>
      </c>
      <c r="AI59" s="41" t="s">
        <v>1490</v>
      </c>
      <c r="AJ59" s="41" t="s">
        <v>2175</v>
      </c>
    </row>
    <row r="60" spans="6:36" ht="43.5" x14ac:dyDescent="0.35">
      <c r="F60" s="40" t="s">
        <v>1927</v>
      </c>
      <c r="G60" s="40" t="s">
        <v>603</v>
      </c>
      <c r="H60" s="41" t="s">
        <v>208</v>
      </c>
      <c r="J60" s="40" t="s">
        <v>672</v>
      </c>
      <c r="O60" s="40" t="s">
        <v>604</v>
      </c>
      <c r="P60" s="41" t="s">
        <v>605</v>
      </c>
      <c r="Q60" s="41" t="s">
        <v>117</v>
      </c>
      <c r="R60" s="41" t="s">
        <v>668</v>
      </c>
      <c r="S60" s="86" t="s">
        <v>104</v>
      </c>
      <c r="T60" s="86">
        <v>45748</v>
      </c>
      <c r="U60" s="40" t="s">
        <v>604</v>
      </c>
      <c r="V60" s="41" t="s">
        <v>605</v>
      </c>
      <c r="W60" s="41" t="s">
        <v>117</v>
      </c>
      <c r="X60" s="41" t="s">
        <v>668</v>
      </c>
      <c r="Y60" s="64">
        <v>45920</v>
      </c>
      <c r="Z60" s="64"/>
      <c r="AA60" s="40" t="s">
        <v>604</v>
      </c>
      <c r="AB60" s="41" t="s">
        <v>607</v>
      </c>
      <c r="AC60" s="41" t="s">
        <v>117</v>
      </c>
      <c r="AD60" s="41" t="s">
        <v>669</v>
      </c>
      <c r="AE60" s="41" t="s">
        <v>162</v>
      </c>
      <c r="AF60" s="42"/>
      <c r="AH60" s="41" t="s">
        <v>1055</v>
      </c>
      <c r="AI60" s="41" t="s">
        <v>1491</v>
      </c>
      <c r="AJ60" s="41" t="s">
        <v>2175</v>
      </c>
    </row>
    <row r="61" spans="6:36" ht="43.5" x14ac:dyDescent="0.35">
      <c r="F61" s="40" t="s">
        <v>1928</v>
      </c>
      <c r="G61" s="40" t="s">
        <v>603</v>
      </c>
      <c r="H61" s="41" t="s">
        <v>208</v>
      </c>
      <c r="J61" s="40" t="s">
        <v>630</v>
      </c>
      <c r="O61" s="40" t="s">
        <v>604</v>
      </c>
      <c r="P61" s="41" t="s">
        <v>605</v>
      </c>
      <c r="Q61" s="41" t="s">
        <v>117</v>
      </c>
      <c r="R61" s="41" t="s">
        <v>668</v>
      </c>
      <c r="S61" s="86" t="s">
        <v>104</v>
      </c>
      <c r="T61" s="86">
        <v>45748</v>
      </c>
      <c r="U61" s="40" t="s">
        <v>604</v>
      </c>
      <c r="V61" s="41" t="s">
        <v>605</v>
      </c>
      <c r="W61" s="41" t="s">
        <v>117</v>
      </c>
      <c r="X61" s="41" t="s">
        <v>668</v>
      </c>
      <c r="Y61" s="64">
        <v>45920</v>
      </c>
      <c r="Z61" s="64"/>
      <c r="AA61" s="40" t="s">
        <v>604</v>
      </c>
      <c r="AB61" s="41" t="s">
        <v>607</v>
      </c>
      <c r="AC61" s="41" t="s">
        <v>117</v>
      </c>
      <c r="AD61" s="41" t="s">
        <v>669</v>
      </c>
      <c r="AE61" s="41" t="s">
        <v>162</v>
      </c>
      <c r="AF61" s="42"/>
      <c r="AH61" s="41" t="s">
        <v>1056</v>
      </c>
      <c r="AI61" s="41" t="s">
        <v>1492</v>
      </c>
      <c r="AJ61" s="41" t="s">
        <v>2175</v>
      </c>
    </row>
    <row r="62" spans="6:36" ht="43.5" x14ac:dyDescent="0.35">
      <c r="F62" s="40" t="s">
        <v>1929</v>
      </c>
      <c r="G62" s="40" t="s">
        <v>603</v>
      </c>
      <c r="H62" s="41" t="s">
        <v>208</v>
      </c>
      <c r="J62" s="40" t="s">
        <v>674</v>
      </c>
      <c r="O62" s="40" t="s">
        <v>604</v>
      </c>
      <c r="P62" s="41" t="s">
        <v>605</v>
      </c>
      <c r="Q62" s="41" t="s">
        <v>117</v>
      </c>
      <c r="R62" s="41" t="s">
        <v>668</v>
      </c>
      <c r="S62" s="86" t="s">
        <v>104</v>
      </c>
      <c r="T62" s="86">
        <v>45748</v>
      </c>
      <c r="U62" s="40" t="s">
        <v>604</v>
      </c>
      <c r="V62" s="41" t="s">
        <v>605</v>
      </c>
      <c r="W62" s="41" t="s">
        <v>117</v>
      </c>
      <c r="X62" s="41" t="s">
        <v>668</v>
      </c>
      <c r="Y62" s="64">
        <v>45920</v>
      </c>
      <c r="Z62" s="64"/>
      <c r="AA62" s="40" t="s">
        <v>604</v>
      </c>
      <c r="AB62" s="41" t="s">
        <v>607</v>
      </c>
      <c r="AC62" s="41" t="s">
        <v>117</v>
      </c>
      <c r="AD62" s="41" t="s">
        <v>669</v>
      </c>
      <c r="AE62" s="41" t="s">
        <v>162</v>
      </c>
      <c r="AF62" s="42"/>
      <c r="AH62" s="41" t="s">
        <v>1057</v>
      </c>
      <c r="AI62" s="41" t="s">
        <v>1493</v>
      </c>
      <c r="AJ62" s="41" t="s">
        <v>2175</v>
      </c>
    </row>
    <row r="63" spans="6:36" ht="43.5" x14ac:dyDescent="0.35">
      <c r="F63" s="40" t="s">
        <v>1930</v>
      </c>
      <c r="G63" s="40" t="s">
        <v>603</v>
      </c>
      <c r="H63" s="41" t="s">
        <v>208</v>
      </c>
      <c r="J63" s="40" t="s">
        <v>662</v>
      </c>
      <c r="O63" s="40" t="s">
        <v>604</v>
      </c>
      <c r="P63" s="41" t="s">
        <v>605</v>
      </c>
      <c r="Q63" s="41" t="s">
        <v>117</v>
      </c>
      <c r="R63" s="41" t="s">
        <v>668</v>
      </c>
      <c r="S63" s="86" t="s">
        <v>104</v>
      </c>
      <c r="T63" s="86">
        <v>45748</v>
      </c>
      <c r="U63" s="40" t="s">
        <v>604</v>
      </c>
      <c r="V63" s="41" t="s">
        <v>605</v>
      </c>
      <c r="W63" s="41" t="s">
        <v>117</v>
      </c>
      <c r="X63" s="41" t="s">
        <v>668</v>
      </c>
      <c r="Y63" s="64">
        <v>45920</v>
      </c>
      <c r="Z63" s="64"/>
      <c r="AA63" s="40" t="s">
        <v>604</v>
      </c>
      <c r="AB63" s="41" t="s">
        <v>607</v>
      </c>
      <c r="AC63" s="41" t="s">
        <v>117</v>
      </c>
      <c r="AD63" s="41" t="s">
        <v>669</v>
      </c>
      <c r="AE63" s="41" t="s">
        <v>162</v>
      </c>
      <c r="AF63" s="42"/>
      <c r="AH63" s="41" t="s">
        <v>1058</v>
      </c>
      <c r="AI63" s="41" t="s">
        <v>1494</v>
      </c>
      <c r="AJ63" s="41" t="s">
        <v>2175</v>
      </c>
    </row>
    <row r="64" spans="6:36" ht="43.5" x14ac:dyDescent="0.35">
      <c r="F64" s="40" t="s">
        <v>1931</v>
      </c>
      <c r="G64" s="40" t="s">
        <v>603</v>
      </c>
      <c r="H64" s="41" t="s">
        <v>208</v>
      </c>
      <c r="J64" s="40" t="s">
        <v>675</v>
      </c>
      <c r="O64" s="40" t="s">
        <v>604</v>
      </c>
      <c r="P64" s="41" t="s">
        <v>605</v>
      </c>
      <c r="Q64" s="41" t="s">
        <v>117</v>
      </c>
      <c r="R64" s="41" t="s">
        <v>668</v>
      </c>
      <c r="S64" s="86" t="s">
        <v>104</v>
      </c>
      <c r="T64" s="86">
        <v>45748</v>
      </c>
      <c r="U64" s="40" t="s">
        <v>604</v>
      </c>
      <c r="V64" s="41" t="s">
        <v>605</v>
      </c>
      <c r="W64" s="41" t="s">
        <v>117</v>
      </c>
      <c r="X64" s="41" t="s">
        <v>668</v>
      </c>
      <c r="Y64" s="64">
        <v>45920</v>
      </c>
      <c r="Z64" s="64"/>
      <c r="AA64" s="40" t="s">
        <v>604</v>
      </c>
      <c r="AB64" s="41" t="s">
        <v>607</v>
      </c>
      <c r="AC64" s="41" t="s">
        <v>117</v>
      </c>
      <c r="AD64" s="41" t="s">
        <v>669</v>
      </c>
      <c r="AE64" s="41" t="s">
        <v>162</v>
      </c>
      <c r="AF64" s="42"/>
      <c r="AH64" s="41" t="s">
        <v>1059</v>
      </c>
      <c r="AI64" s="41" t="s">
        <v>1495</v>
      </c>
      <c r="AJ64" s="41" t="s">
        <v>2175</v>
      </c>
    </row>
    <row r="65" spans="6:36" ht="29" x14ac:dyDescent="0.35">
      <c r="F65" s="40" t="s">
        <v>1932</v>
      </c>
      <c r="G65" s="40" t="s">
        <v>603</v>
      </c>
      <c r="H65" s="41" t="s">
        <v>208</v>
      </c>
      <c r="J65" s="40" t="s">
        <v>662</v>
      </c>
      <c r="O65" s="40" t="s">
        <v>604</v>
      </c>
      <c r="P65" s="41" t="s">
        <v>605</v>
      </c>
      <c r="Q65" s="41" t="s">
        <v>117</v>
      </c>
      <c r="R65" s="41" t="s">
        <v>676</v>
      </c>
      <c r="S65" s="86" t="s">
        <v>104</v>
      </c>
      <c r="T65" s="86">
        <v>45748</v>
      </c>
      <c r="U65" s="40" t="s">
        <v>604</v>
      </c>
      <c r="V65" s="41" t="s">
        <v>605</v>
      </c>
      <c r="W65" s="41" t="s">
        <v>117</v>
      </c>
      <c r="X65" s="41" t="s">
        <v>676</v>
      </c>
      <c r="Y65" s="64">
        <v>45920</v>
      </c>
      <c r="Z65" s="64"/>
      <c r="AA65" s="40" t="s">
        <v>604</v>
      </c>
      <c r="AB65" s="41" t="s">
        <v>607</v>
      </c>
      <c r="AC65" s="41" t="s">
        <v>117</v>
      </c>
      <c r="AD65" s="41" t="s">
        <v>677</v>
      </c>
      <c r="AE65" s="41" t="s">
        <v>162</v>
      </c>
      <c r="AF65" s="42"/>
      <c r="AH65" s="41" t="s">
        <v>1060</v>
      </c>
      <c r="AI65" s="41" t="s">
        <v>1496</v>
      </c>
      <c r="AJ65" s="41" t="s">
        <v>2175</v>
      </c>
    </row>
    <row r="66" spans="6:36" ht="29" x14ac:dyDescent="0.35">
      <c r="F66" s="40" t="s">
        <v>1933</v>
      </c>
      <c r="G66" s="40" t="s">
        <v>603</v>
      </c>
      <c r="H66" s="41" t="s">
        <v>208</v>
      </c>
      <c r="J66" s="40" t="s">
        <v>658</v>
      </c>
      <c r="O66" s="40" t="s">
        <v>604</v>
      </c>
      <c r="P66" s="41" t="s">
        <v>605</v>
      </c>
      <c r="Q66" s="41" t="s">
        <v>117</v>
      </c>
      <c r="R66" s="41" t="s">
        <v>676</v>
      </c>
      <c r="S66" s="86" t="s">
        <v>104</v>
      </c>
      <c r="T66" s="86">
        <v>45748</v>
      </c>
      <c r="U66" s="40" t="s">
        <v>604</v>
      </c>
      <c r="V66" s="41" t="s">
        <v>605</v>
      </c>
      <c r="W66" s="41" t="s">
        <v>117</v>
      </c>
      <c r="X66" s="41" t="s">
        <v>676</v>
      </c>
      <c r="Y66" s="64">
        <v>45920</v>
      </c>
      <c r="Z66" s="64"/>
      <c r="AA66" s="40" t="s">
        <v>604</v>
      </c>
      <c r="AB66" s="41" t="s">
        <v>607</v>
      </c>
      <c r="AC66" s="41" t="s">
        <v>117</v>
      </c>
      <c r="AD66" s="41" t="s">
        <v>677</v>
      </c>
      <c r="AE66" s="41" t="s">
        <v>162</v>
      </c>
      <c r="AF66" s="42"/>
      <c r="AH66" s="41" t="s">
        <v>1061</v>
      </c>
      <c r="AI66" s="41" t="s">
        <v>1497</v>
      </c>
      <c r="AJ66" s="41" t="s">
        <v>2175</v>
      </c>
    </row>
    <row r="67" spans="6:36" ht="29" x14ac:dyDescent="0.35">
      <c r="F67" s="40" t="s">
        <v>1934</v>
      </c>
      <c r="G67" s="40" t="s">
        <v>603</v>
      </c>
      <c r="H67" s="41" t="s">
        <v>208</v>
      </c>
      <c r="J67" s="40" t="s">
        <v>616</v>
      </c>
      <c r="O67" s="40" t="s">
        <v>604</v>
      </c>
      <c r="P67" s="41" t="s">
        <v>605</v>
      </c>
      <c r="Q67" s="41" t="s">
        <v>117</v>
      </c>
      <c r="R67" s="41" t="s">
        <v>676</v>
      </c>
      <c r="S67" s="86" t="s">
        <v>104</v>
      </c>
      <c r="T67" s="86">
        <v>45748</v>
      </c>
      <c r="U67" s="40" t="s">
        <v>604</v>
      </c>
      <c r="V67" s="41" t="s">
        <v>605</v>
      </c>
      <c r="W67" s="41" t="s">
        <v>117</v>
      </c>
      <c r="X67" s="41" t="s">
        <v>676</v>
      </c>
      <c r="Y67" s="64">
        <v>45920</v>
      </c>
      <c r="Z67" s="64"/>
      <c r="AA67" s="40" t="s">
        <v>604</v>
      </c>
      <c r="AB67" s="41" t="s">
        <v>607</v>
      </c>
      <c r="AC67" s="41" t="s">
        <v>117</v>
      </c>
      <c r="AD67" s="41" t="s">
        <v>677</v>
      </c>
      <c r="AE67" s="41" t="s">
        <v>162</v>
      </c>
      <c r="AF67" s="42"/>
      <c r="AH67" s="41" t="s">
        <v>1062</v>
      </c>
      <c r="AI67" s="41" t="s">
        <v>1498</v>
      </c>
      <c r="AJ67" s="41" t="s">
        <v>2175</v>
      </c>
    </row>
    <row r="68" spans="6:36" ht="29" x14ac:dyDescent="0.35">
      <c r="F68" s="40" t="s">
        <v>1935</v>
      </c>
      <c r="G68" s="40" t="s">
        <v>603</v>
      </c>
      <c r="H68" s="41" t="s">
        <v>208</v>
      </c>
      <c r="J68" s="40" t="s">
        <v>608</v>
      </c>
      <c r="O68" s="40" t="s">
        <v>604</v>
      </c>
      <c r="P68" s="41" t="s">
        <v>605</v>
      </c>
      <c r="Q68" s="41" t="s">
        <v>102</v>
      </c>
      <c r="R68" s="41" t="s">
        <v>2212</v>
      </c>
      <c r="S68" s="86" t="s">
        <v>104</v>
      </c>
      <c r="T68" s="86">
        <v>45748</v>
      </c>
      <c r="U68" s="40" t="s">
        <v>604</v>
      </c>
      <c r="V68" s="41" t="s">
        <v>605</v>
      </c>
      <c r="W68" s="41" t="s">
        <v>117</v>
      </c>
      <c r="X68" s="41" t="s">
        <v>676</v>
      </c>
      <c r="Y68" s="64">
        <v>45920</v>
      </c>
      <c r="Z68" s="64"/>
      <c r="AA68" s="40" t="s">
        <v>604</v>
      </c>
      <c r="AB68" s="41" t="s">
        <v>605</v>
      </c>
      <c r="AC68" s="41" t="s">
        <v>102</v>
      </c>
      <c r="AD68" s="41" t="s">
        <v>2212</v>
      </c>
      <c r="AE68" s="41" t="s">
        <v>162</v>
      </c>
      <c r="AF68" s="42"/>
      <c r="AH68" s="41" t="s">
        <v>1063</v>
      </c>
      <c r="AI68" s="41" t="s">
        <v>1499</v>
      </c>
      <c r="AJ68" s="41" t="s">
        <v>2175</v>
      </c>
    </row>
    <row r="69" spans="6:36" ht="29" x14ac:dyDescent="0.35">
      <c r="F69" s="40" t="s">
        <v>1936</v>
      </c>
      <c r="G69" s="40" t="s">
        <v>603</v>
      </c>
      <c r="H69" s="41" t="s">
        <v>208</v>
      </c>
      <c r="J69" s="40" t="s">
        <v>664</v>
      </c>
      <c r="O69" s="40" t="s">
        <v>604</v>
      </c>
      <c r="P69" s="41" t="s">
        <v>605</v>
      </c>
      <c r="Q69" s="41" t="s">
        <v>117</v>
      </c>
      <c r="R69" s="41" t="s">
        <v>676</v>
      </c>
      <c r="S69" s="86" t="s">
        <v>104</v>
      </c>
      <c r="T69" s="86">
        <v>45748</v>
      </c>
      <c r="U69" s="40" t="s">
        <v>604</v>
      </c>
      <c r="V69" s="41" t="s">
        <v>605</v>
      </c>
      <c r="W69" s="41" t="s">
        <v>117</v>
      </c>
      <c r="X69" s="41" t="s">
        <v>676</v>
      </c>
      <c r="Y69" s="64">
        <v>45920</v>
      </c>
      <c r="Z69" s="64"/>
      <c r="AA69" s="40" t="s">
        <v>604</v>
      </c>
      <c r="AB69" s="41" t="s">
        <v>607</v>
      </c>
      <c r="AC69" s="41" t="s">
        <v>117</v>
      </c>
      <c r="AD69" s="41" t="s">
        <v>677</v>
      </c>
      <c r="AE69" s="41" t="s">
        <v>162</v>
      </c>
      <c r="AF69" s="42"/>
      <c r="AH69" s="41" t="s">
        <v>1064</v>
      </c>
      <c r="AI69" s="41" t="s">
        <v>1500</v>
      </c>
      <c r="AJ69" s="41" t="s">
        <v>2175</v>
      </c>
    </row>
    <row r="70" spans="6:36" ht="29" x14ac:dyDescent="0.35">
      <c r="F70" s="40" t="s">
        <v>1937</v>
      </c>
      <c r="G70" s="40" t="s">
        <v>603</v>
      </c>
      <c r="H70" s="41" t="s">
        <v>208</v>
      </c>
      <c r="J70" s="40" t="s">
        <v>678</v>
      </c>
      <c r="O70" s="40" t="s">
        <v>604</v>
      </c>
      <c r="P70" s="41" t="s">
        <v>605</v>
      </c>
      <c r="Q70" s="41" t="s">
        <v>117</v>
      </c>
      <c r="R70" s="41" t="s">
        <v>676</v>
      </c>
      <c r="S70" s="86" t="s">
        <v>104</v>
      </c>
      <c r="T70" s="86">
        <v>45748</v>
      </c>
      <c r="U70" s="40" t="s">
        <v>604</v>
      </c>
      <c r="V70" s="41" t="s">
        <v>605</v>
      </c>
      <c r="W70" s="41" t="s">
        <v>117</v>
      </c>
      <c r="X70" s="41" t="s">
        <v>676</v>
      </c>
      <c r="Y70" s="64">
        <v>45920</v>
      </c>
      <c r="Z70" s="64"/>
      <c r="AA70" s="40" t="s">
        <v>604</v>
      </c>
      <c r="AB70" s="41" t="s">
        <v>607</v>
      </c>
      <c r="AC70" s="41" t="s">
        <v>117</v>
      </c>
      <c r="AD70" s="41" t="s">
        <v>677</v>
      </c>
      <c r="AE70" s="41" t="s">
        <v>162</v>
      </c>
      <c r="AF70" s="42"/>
      <c r="AH70" s="41" t="s">
        <v>1065</v>
      </c>
      <c r="AI70" s="41" t="s">
        <v>1501</v>
      </c>
      <c r="AJ70" s="41" t="s">
        <v>2175</v>
      </c>
    </row>
    <row r="71" spans="6:36" ht="29" x14ac:dyDescent="0.35">
      <c r="F71" s="40" t="s">
        <v>1938</v>
      </c>
      <c r="G71" s="40" t="s">
        <v>603</v>
      </c>
      <c r="H71" s="41" t="s">
        <v>208</v>
      </c>
      <c r="J71" s="40" t="s">
        <v>679</v>
      </c>
      <c r="O71" s="40" t="s">
        <v>604</v>
      </c>
      <c r="P71" s="41" t="s">
        <v>605</v>
      </c>
      <c r="Q71" s="41" t="s">
        <v>117</v>
      </c>
      <c r="R71" s="41" t="s">
        <v>676</v>
      </c>
      <c r="S71" s="86" t="s">
        <v>104</v>
      </c>
      <c r="T71" s="86">
        <v>45748</v>
      </c>
      <c r="U71" s="40" t="s">
        <v>604</v>
      </c>
      <c r="V71" s="41" t="s">
        <v>605</v>
      </c>
      <c r="W71" s="41" t="s">
        <v>117</v>
      </c>
      <c r="X71" s="41" t="s">
        <v>676</v>
      </c>
      <c r="Y71" s="64">
        <v>45920</v>
      </c>
      <c r="Z71" s="64"/>
      <c r="AA71" s="40" t="s">
        <v>604</v>
      </c>
      <c r="AB71" s="41" t="s">
        <v>607</v>
      </c>
      <c r="AC71" s="41" t="s">
        <v>117</v>
      </c>
      <c r="AD71" s="41" t="s">
        <v>677</v>
      </c>
      <c r="AE71" s="41" t="s">
        <v>162</v>
      </c>
      <c r="AF71" s="42"/>
      <c r="AH71" s="41" t="s">
        <v>1066</v>
      </c>
      <c r="AI71" s="41" t="s">
        <v>1502</v>
      </c>
      <c r="AJ71" s="41" t="s">
        <v>2175</v>
      </c>
    </row>
    <row r="72" spans="6:36" ht="29" x14ac:dyDescent="0.35">
      <c r="F72" s="40" t="s">
        <v>1939</v>
      </c>
      <c r="G72" s="40" t="s">
        <v>603</v>
      </c>
      <c r="H72" s="41" t="s">
        <v>208</v>
      </c>
      <c r="J72" s="40" t="s">
        <v>658</v>
      </c>
      <c r="O72" s="40" t="s">
        <v>604</v>
      </c>
      <c r="P72" s="41" t="s">
        <v>605</v>
      </c>
      <c r="Q72" s="41" t="s">
        <v>117</v>
      </c>
      <c r="R72" s="41" t="s">
        <v>680</v>
      </c>
      <c r="S72" s="86" t="s">
        <v>104</v>
      </c>
      <c r="T72" s="86">
        <v>45748</v>
      </c>
      <c r="U72" s="40" t="s">
        <v>604</v>
      </c>
      <c r="V72" s="41" t="s">
        <v>605</v>
      </c>
      <c r="W72" s="41" t="s">
        <v>117</v>
      </c>
      <c r="X72" s="41" t="s">
        <v>680</v>
      </c>
      <c r="Y72" s="64">
        <v>45920</v>
      </c>
      <c r="Z72" s="64"/>
      <c r="AA72" s="40" t="s">
        <v>604</v>
      </c>
      <c r="AB72" s="41" t="s">
        <v>607</v>
      </c>
      <c r="AC72" s="41" t="s">
        <v>117</v>
      </c>
      <c r="AD72" s="41" t="s">
        <v>681</v>
      </c>
      <c r="AE72" s="41" t="s">
        <v>162</v>
      </c>
      <c r="AF72" s="42"/>
      <c r="AH72" s="41" t="s">
        <v>1067</v>
      </c>
      <c r="AI72" s="41" t="s">
        <v>1503</v>
      </c>
      <c r="AJ72" s="41" t="s">
        <v>2175</v>
      </c>
    </row>
    <row r="73" spans="6:36" ht="29" x14ac:dyDescent="0.35">
      <c r="F73" s="40" t="s">
        <v>1940</v>
      </c>
      <c r="G73" s="40" t="s">
        <v>603</v>
      </c>
      <c r="H73" s="41" t="s">
        <v>208</v>
      </c>
      <c r="J73" s="40" t="s">
        <v>616</v>
      </c>
      <c r="O73" s="40" t="s">
        <v>604</v>
      </c>
      <c r="P73" s="41" t="s">
        <v>605</v>
      </c>
      <c r="Q73" s="41" t="s">
        <v>117</v>
      </c>
      <c r="R73" s="41" t="s">
        <v>680</v>
      </c>
      <c r="S73" s="86" t="s">
        <v>104</v>
      </c>
      <c r="T73" s="86">
        <v>45748</v>
      </c>
      <c r="U73" s="40" t="s">
        <v>604</v>
      </c>
      <c r="V73" s="41" t="s">
        <v>605</v>
      </c>
      <c r="W73" s="41" t="s">
        <v>117</v>
      </c>
      <c r="X73" s="41" t="s">
        <v>680</v>
      </c>
      <c r="Y73" s="64">
        <v>45920</v>
      </c>
      <c r="Z73" s="64"/>
      <c r="AA73" s="40" t="s">
        <v>604</v>
      </c>
      <c r="AB73" s="41" t="s">
        <v>607</v>
      </c>
      <c r="AC73" s="41" t="s">
        <v>117</v>
      </c>
      <c r="AD73" s="41" t="s">
        <v>681</v>
      </c>
      <c r="AE73" s="41" t="s">
        <v>162</v>
      </c>
      <c r="AF73" s="42"/>
      <c r="AH73" s="41" t="s">
        <v>1068</v>
      </c>
      <c r="AI73" s="41" t="s">
        <v>1504</v>
      </c>
      <c r="AJ73" s="41" t="s">
        <v>2175</v>
      </c>
    </row>
    <row r="74" spans="6:36" ht="29" x14ac:dyDescent="0.35">
      <c r="F74" s="40" t="s">
        <v>1941</v>
      </c>
      <c r="G74" s="40" t="s">
        <v>603</v>
      </c>
      <c r="H74" s="41" t="s">
        <v>208</v>
      </c>
      <c r="J74" s="40" t="s">
        <v>608</v>
      </c>
      <c r="O74" s="40" t="s">
        <v>604</v>
      </c>
      <c r="P74" s="41" t="s">
        <v>605</v>
      </c>
      <c r="Q74" s="41" t="s">
        <v>102</v>
      </c>
      <c r="R74" s="41" t="s">
        <v>2212</v>
      </c>
      <c r="S74" s="86" t="s">
        <v>104</v>
      </c>
      <c r="T74" s="86">
        <v>45748</v>
      </c>
      <c r="U74" s="40" t="s">
        <v>604</v>
      </c>
      <c r="V74" s="41" t="s">
        <v>605</v>
      </c>
      <c r="W74" s="41" t="s">
        <v>117</v>
      </c>
      <c r="X74" s="41" t="s">
        <v>680</v>
      </c>
      <c r="Y74" s="64">
        <v>45920</v>
      </c>
      <c r="Z74" s="64"/>
      <c r="AA74" s="40" t="s">
        <v>604</v>
      </c>
      <c r="AB74" s="41" t="s">
        <v>605</v>
      </c>
      <c r="AC74" s="41" t="s">
        <v>102</v>
      </c>
      <c r="AD74" s="41" t="s">
        <v>2212</v>
      </c>
      <c r="AE74" s="41" t="s">
        <v>162</v>
      </c>
      <c r="AF74" s="42"/>
      <c r="AH74" s="41" t="s">
        <v>1069</v>
      </c>
      <c r="AI74" s="41" t="s">
        <v>1505</v>
      </c>
      <c r="AJ74" s="41" t="s">
        <v>2175</v>
      </c>
    </row>
    <row r="75" spans="6:36" ht="29" x14ac:dyDescent="0.35">
      <c r="F75" s="40" t="s">
        <v>1942</v>
      </c>
      <c r="G75" s="40" t="s">
        <v>603</v>
      </c>
      <c r="H75" s="41" t="s">
        <v>208</v>
      </c>
      <c r="J75" s="40" t="s">
        <v>655</v>
      </c>
      <c r="O75" s="40" t="s">
        <v>604</v>
      </c>
      <c r="P75" s="41" t="s">
        <v>605</v>
      </c>
      <c r="Q75" s="41" t="s">
        <v>117</v>
      </c>
      <c r="R75" s="41" t="s">
        <v>680</v>
      </c>
      <c r="S75" s="86" t="s">
        <v>104</v>
      </c>
      <c r="T75" s="86">
        <v>45748</v>
      </c>
      <c r="U75" s="40" t="s">
        <v>604</v>
      </c>
      <c r="V75" s="41" t="s">
        <v>605</v>
      </c>
      <c r="W75" s="41" t="s">
        <v>117</v>
      </c>
      <c r="X75" s="41" t="s">
        <v>680</v>
      </c>
      <c r="Y75" s="64">
        <v>45920</v>
      </c>
      <c r="Z75" s="64"/>
      <c r="AA75" s="40" t="s">
        <v>604</v>
      </c>
      <c r="AB75" s="41" t="s">
        <v>607</v>
      </c>
      <c r="AC75" s="41" t="s">
        <v>117</v>
      </c>
      <c r="AD75" s="41" t="s">
        <v>681</v>
      </c>
      <c r="AE75" s="41" t="s">
        <v>162</v>
      </c>
      <c r="AF75" s="42"/>
      <c r="AH75" s="41" t="s">
        <v>1070</v>
      </c>
      <c r="AI75" s="41" t="s">
        <v>1506</v>
      </c>
      <c r="AJ75" s="41" t="s">
        <v>2175</v>
      </c>
    </row>
    <row r="76" spans="6:36" ht="29" x14ac:dyDescent="0.35">
      <c r="F76" s="40" t="s">
        <v>1943</v>
      </c>
      <c r="G76" s="40" t="s">
        <v>603</v>
      </c>
      <c r="H76" s="41" t="s">
        <v>208</v>
      </c>
      <c r="J76" s="40" t="s">
        <v>654</v>
      </c>
      <c r="O76" s="40" t="s">
        <v>604</v>
      </c>
      <c r="P76" s="41" t="s">
        <v>605</v>
      </c>
      <c r="Q76" s="41" t="s">
        <v>117</v>
      </c>
      <c r="R76" s="41" t="s">
        <v>680</v>
      </c>
      <c r="S76" s="86" t="s">
        <v>104</v>
      </c>
      <c r="T76" s="86">
        <v>45748</v>
      </c>
      <c r="U76" s="40" t="s">
        <v>604</v>
      </c>
      <c r="V76" s="41" t="s">
        <v>605</v>
      </c>
      <c r="W76" s="41" t="s">
        <v>117</v>
      </c>
      <c r="X76" s="41" t="s">
        <v>680</v>
      </c>
      <c r="Y76" s="64">
        <v>45920</v>
      </c>
      <c r="Z76" s="64"/>
      <c r="AA76" s="40" t="s">
        <v>604</v>
      </c>
      <c r="AB76" s="41" t="s">
        <v>607</v>
      </c>
      <c r="AC76" s="41" t="s">
        <v>117</v>
      </c>
      <c r="AD76" s="41" t="s">
        <v>681</v>
      </c>
      <c r="AE76" s="41" t="s">
        <v>162</v>
      </c>
      <c r="AF76" s="42"/>
      <c r="AH76" s="41" t="s">
        <v>1071</v>
      </c>
      <c r="AI76" s="41" t="s">
        <v>1507</v>
      </c>
      <c r="AJ76" s="41" t="s">
        <v>2175</v>
      </c>
    </row>
    <row r="77" spans="6:36" ht="29" x14ac:dyDescent="0.35">
      <c r="F77" s="40" t="s">
        <v>1944</v>
      </c>
      <c r="G77" s="40" t="s">
        <v>603</v>
      </c>
      <c r="H77" s="41" t="s">
        <v>208</v>
      </c>
      <c r="J77" s="40" t="s">
        <v>656</v>
      </c>
      <c r="O77" s="40" t="s">
        <v>604</v>
      </c>
      <c r="P77" s="41" t="s">
        <v>605</v>
      </c>
      <c r="Q77" s="41" t="s">
        <v>117</v>
      </c>
      <c r="R77" s="41" t="s">
        <v>680</v>
      </c>
      <c r="S77" s="86" t="s">
        <v>104</v>
      </c>
      <c r="T77" s="86">
        <v>45748</v>
      </c>
      <c r="U77" s="40" t="s">
        <v>604</v>
      </c>
      <c r="V77" s="41" t="s">
        <v>605</v>
      </c>
      <c r="W77" s="41" t="s">
        <v>117</v>
      </c>
      <c r="X77" s="41" t="s">
        <v>680</v>
      </c>
      <c r="Y77" s="64">
        <v>45920</v>
      </c>
      <c r="Z77" s="64"/>
      <c r="AA77" s="40" t="s">
        <v>604</v>
      </c>
      <c r="AB77" s="41" t="s">
        <v>607</v>
      </c>
      <c r="AC77" s="41" t="s">
        <v>117</v>
      </c>
      <c r="AD77" s="41" t="s">
        <v>681</v>
      </c>
      <c r="AE77" s="41" t="s">
        <v>162</v>
      </c>
      <c r="AF77" s="42"/>
      <c r="AH77" s="41" t="s">
        <v>1072</v>
      </c>
      <c r="AI77" s="41" t="s">
        <v>1508</v>
      </c>
      <c r="AJ77" s="41" t="s">
        <v>2175</v>
      </c>
    </row>
    <row r="78" spans="6:36" ht="29" x14ac:dyDescent="0.35">
      <c r="F78" s="40" t="s">
        <v>1945</v>
      </c>
      <c r="G78" s="40" t="s">
        <v>603</v>
      </c>
      <c r="H78" s="41" t="s">
        <v>208</v>
      </c>
      <c r="J78" s="40" t="s">
        <v>653</v>
      </c>
      <c r="O78" s="40" t="s">
        <v>604</v>
      </c>
      <c r="P78" s="41" t="s">
        <v>605</v>
      </c>
      <c r="Q78" s="41" t="s">
        <v>117</v>
      </c>
      <c r="R78" s="41" t="s">
        <v>680</v>
      </c>
      <c r="S78" s="86" t="s">
        <v>104</v>
      </c>
      <c r="T78" s="86">
        <v>45748</v>
      </c>
      <c r="U78" s="40" t="s">
        <v>604</v>
      </c>
      <c r="V78" s="41" t="s">
        <v>605</v>
      </c>
      <c r="W78" s="41" t="s">
        <v>117</v>
      </c>
      <c r="X78" s="41" t="s">
        <v>680</v>
      </c>
      <c r="Y78" s="64">
        <v>45920</v>
      </c>
      <c r="Z78" s="64"/>
      <c r="AA78" s="40" t="s">
        <v>604</v>
      </c>
      <c r="AB78" s="41" t="s">
        <v>605</v>
      </c>
      <c r="AC78" s="41" t="s">
        <v>117</v>
      </c>
      <c r="AD78" s="41" t="s">
        <v>695</v>
      </c>
      <c r="AE78" s="41" t="s">
        <v>162</v>
      </c>
      <c r="AF78" s="42"/>
      <c r="AH78" s="41" t="s">
        <v>1073</v>
      </c>
      <c r="AI78" s="41" t="s">
        <v>1509</v>
      </c>
      <c r="AJ78" s="41" t="s">
        <v>2175</v>
      </c>
    </row>
    <row r="79" spans="6:36" ht="29" x14ac:dyDescent="0.35">
      <c r="F79" s="40" t="s">
        <v>1946</v>
      </c>
      <c r="G79" s="40" t="s">
        <v>603</v>
      </c>
      <c r="H79" s="41" t="s">
        <v>208</v>
      </c>
      <c r="J79" s="40" t="s">
        <v>671</v>
      </c>
      <c r="O79" s="40" t="s">
        <v>604</v>
      </c>
      <c r="P79" s="41" t="s">
        <v>605</v>
      </c>
      <c r="Q79" s="41" t="s">
        <v>117</v>
      </c>
      <c r="R79" s="41" t="s">
        <v>680</v>
      </c>
      <c r="S79" s="86" t="s">
        <v>104</v>
      </c>
      <c r="T79" s="86">
        <v>45748</v>
      </c>
      <c r="U79" s="40" t="s">
        <v>604</v>
      </c>
      <c r="V79" s="41" t="s">
        <v>605</v>
      </c>
      <c r="W79" s="41" t="s">
        <v>117</v>
      </c>
      <c r="X79" s="41" t="s">
        <v>680</v>
      </c>
      <c r="Y79" s="64">
        <v>45920</v>
      </c>
      <c r="Z79" s="64"/>
      <c r="AA79" s="40" t="s">
        <v>604</v>
      </c>
      <c r="AB79" s="41" t="s">
        <v>607</v>
      </c>
      <c r="AC79" s="41" t="s">
        <v>117</v>
      </c>
      <c r="AD79" s="41" t="s">
        <v>681</v>
      </c>
      <c r="AE79" s="41" t="s">
        <v>162</v>
      </c>
      <c r="AF79" s="42"/>
      <c r="AH79" s="41" t="s">
        <v>1074</v>
      </c>
      <c r="AI79" s="41" t="s">
        <v>1510</v>
      </c>
      <c r="AJ79" s="41" t="s">
        <v>2175</v>
      </c>
    </row>
    <row r="80" spans="6:36" ht="29" x14ac:dyDescent="0.35">
      <c r="F80" s="40" t="s">
        <v>1947</v>
      </c>
      <c r="G80" s="40" t="s">
        <v>603</v>
      </c>
      <c r="H80" s="41" t="s">
        <v>208</v>
      </c>
      <c r="J80" s="40" t="s">
        <v>682</v>
      </c>
      <c r="O80" s="40" t="s">
        <v>604</v>
      </c>
      <c r="P80" s="41" t="s">
        <v>605</v>
      </c>
      <c r="Q80" s="41" t="s">
        <v>117</v>
      </c>
      <c r="R80" s="41" t="s">
        <v>680</v>
      </c>
      <c r="S80" s="86" t="s">
        <v>104</v>
      </c>
      <c r="T80" s="86">
        <v>45748</v>
      </c>
      <c r="U80" s="40" t="s">
        <v>604</v>
      </c>
      <c r="V80" s="41" t="s">
        <v>605</v>
      </c>
      <c r="W80" s="41" t="s">
        <v>117</v>
      </c>
      <c r="X80" s="41" t="s">
        <v>680</v>
      </c>
      <c r="Y80" s="64">
        <v>45920</v>
      </c>
      <c r="Z80" s="64"/>
      <c r="AA80" s="40" t="s">
        <v>604</v>
      </c>
      <c r="AB80" s="41" t="s">
        <v>607</v>
      </c>
      <c r="AC80" s="41" t="s">
        <v>117</v>
      </c>
      <c r="AD80" s="41" t="s">
        <v>681</v>
      </c>
      <c r="AE80" s="41" t="s">
        <v>162</v>
      </c>
      <c r="AF80" s="42"/>
      <c r="AH80" s="41" t="s">
        <v>1075</v>
      </c>
      <c r="AI80" s="41" t="s">
        <v>1511</v>
      </c>
      <c r="AJ80" s="41" t="s">
        <v>2175</v>
      </c>
    </row>
    <row r="81" spans="6:36" ht="29" x14ac:dyDescent="0.35">
      <c r="F81" s="40" t="s">
        <v>1948</v>
      </c>
      <c r="G81" s="40" t="s">
        <v>603</v>
      </c>
      <c r="H81" s="41" t="s">
        <v>208</v>
      </c>
      <c r="J81" s="40" t="s">
        <v>678</v>
      </c>
      <c r="O81" s="40" t="s">
        <v>604</v>
      </c>
      <c r="P81" s="41" t="s">
        <v>605</v>
      </c>
      <c r="Q81" s="41" t="s">
        <v>117</v>
      </c>
      <c r="R81" s="41" t="s">
        <v>680</v>
      </c>
      <c r="S81" s="86" t="s">
        <v>104</v>
      </c>
      <c r="T81" s="86">
        <v>45748</v>
      </c>
      <c r="U81" s="40" t="s">
        <v>604</v>
      </c>
      <c r="V81" s="41" t="s">
        <v>605</v>
      </c>
      <c r="W81" s="41" t="s">
        <v>117</v>
      </c>
      <c r="X81" s="41" t="s">
        <v>680</v>
      </c>
      <c r="Y81" s="64">
        <v>45920</v>
      </c>
      <c r="Z81" s="64"/>
      <c r="AA81" s="40" t="s">
        <v>604</v>
      </c>
      <c r="AB81" s="41" t="s">
        <v>607</v>
      </c>
      <c r="AC81" s="41" t="s">
        <v>117</v>
      </c>
      <c r="AD81" s="41" t="s">
        <v>681</v>
      </c>
      <c r="AE81" s="41" t="s">
        <v>162</v>
      </c>
      <c r="AF81" s="42"/>
      <c r="AH81" s="41" t="s">
        <v>1076</v>
      </c>
      <c r="AI81" s="41" t="s">
        <v>1512</v>
      </c>
      <c r="AJ81" s="41" t="s">
        <v>2175</v>
      </c>
    </row>
    <row r="82" spans="6:36" ht="29" x14ac:dyDescent="0.35">
      <c r="F82" s="40" t="s">
        <v>1949</v>
      </c>
      <c r="G82" s="40" t="s">
        <v>603</v>
      </c>
      <c r="H82" s="41" t="s">
        <v>208</v>
      </c>
      <c r="J82" s="40" t="s">
        <v>658</v>
      </c>
      <c r="O82" s="40" t="s">
        <v>604</v>
      </c>
      <c r="P82" s="41" t="s">
        <v>605</v>
      </c>
      <c r="Q82" s="41" t="s">
        <v>117</v>
      </c>
      <c r="R82" s="41" t="s">
        <v>683</v>
      </c>
      <c r="S82" s="86" t="s">
        <v>104</v>
      </c>
      <c r="T82" s="86">
        <v>45748</v>
      </c>
      <c r="U82" s="40" t="s">
        <v>604</v>
      </c>
      <c r="V82" s="41" t="s">
        <v>605</v>
      </c>
      <c r="W82" s="41" t="s">
        <v>117</v>
      </c>
      <c r="X82" s="41" t="s">
        <v>683</v>
      </c>
      <c r="Y82" s="64">
        <v>45920</v>
      </c>
      <c r="Z82" s="64"/>
      <c r="AA82" s="40" t="s">
        <v>604</v>
      </c>
      <c r="AB82" s="41" t="s">
        <v>607</v>
      </c>
      <c r="AC82" s="41" t="s">
        <v>117</v>
      </c>
      <c r="AD82" s="41" t="s">
        <v>684</v>
      </c>
      <c r="AE82" s="41" t="s">
        <v>162</v>
      </c>
      <c r="AF82" s="42"/>
      <c r="AH82" s="41" t="s">
        <v>1077</v>
      </c>
      <c r="AI82" s="41" t="s">
        <v>1513</v>
      </c>
      <c r="AJ82" s="41" t="s">
        <v>2175</v>
      </c>
    </row>
    <row r="83" spans="6:36" ht="29" x14ac:dyDescent="0.35">
      <c r="F83" s="40" t="s">
        <v>1950</v>
      </c>
      <c r="G83" s="40" t="s">
        <v>603</v>
      </c>
      <c r="H83" s="41" t="s">
        <v>208</v>
      </c>
      <c r="J83" s="40" t="s">
        <v>685</v>
      </c>
      <c r="O83" s="40" t="s">
        <v>604</v>
      </c>
      <c r="P83" s="41" t="s">
        <v>605</v>
      </c>
      <c r="Q83" s="41" t="s">
        <v>117</v>
      </c>
      <c r="R83" s="41" t="s">
        <v>683</v>
      </c>
      <c r="S83" s="86" t="s">
        <v>104</v>
      </c>
      <c r="T83" s="86">
        <v>45748</v>
      </c>
      <c r="U83" s="40" t="s">
        <v>604</v>
      </c>
      <c r="V83" s="41" t="s">
        <v>605</v>
      </c>
      <c r="W83" s="41" t="s">
        <v>117</v>
      </c>
      <c r="X83" s="41" t="s">
        <v>683</v>
      </c>
      <c r="Y83" s="64">
        <v>45920</v>
      </c>
      <c r="Z83" s="64"/>
      <c r="AA83" s="40" t="s">
        <v>604</v>
      </c>
      <c r="AB83" s="41" t="s">
        <v>607</v>
      </c>
      <c r="AC83" s="41" t="s">
        <v>117</v>
      </c>
      <c r="AD83" s="41" t="s">
        <v>684</v>
      </c>
      <c r="AE83" s="41" t="s">
        <v>162</v>
      </c>
      <c r="AF83" s="42"/>
      <c r="AH83" s="41" t="s">
        <v>1078</v>
      </c>
      <c r="AI83" s="41" t="s">
        <v>1514</v>
      </c>
      <c r="AJ83" s="41" t="s">
        <v>2175</v>
      </c>
    </row>
    <row r="84" spans="6:36" ht="29" x14ac:dyDescent="0.35">
      <c r="F84" s="40" t="s">
        <v>1951</v>
      </c>
      <c r="G84" s="40" t="s">
        <v>603</v>
      </c>
      <c r="H84" s="41" t="s">
        <v>208</v>
      </c>
      <c r="J84" s="40" t="s">
        <v>687</v>
      </c>
      <c r="O84" s="40" t="s">
        <v>604</v>
      </c>
      <c r="P84" s="41" t="s">
        <v>605</v>
      </c>
      <c r="Q84" s="41" t="s">
        <v>117</v>
      </c>
      <c r="R84" s="41" t="s">
        <v>683</v>
      </c>
      <c r="S84" s="86" t="s">
        <v>104</v>
      </c>
      <c r="T84" s="86">
        <v>45748</v>
      </c>
      <c r="U84" s="40" t="s">
        <v>604</v>
      </c>
      <c r="V84" s="41" t="s">
        <v>605</v>
      </c>
      <c r="W84" s="41" t="s">
        <v>117</v>
      </c>
      <c r="X84" s="41" t="s">
        <v>683</v>
      </c>
      <c r="Y84" s="64">
        <v>45920</v>
      </c>
      <c r="Z84" s="64"/>
      <c r="AA84" s="40" t="s">
        <v>604</v>
      </c>
      <c r="AB84" s="41" t="s">
        <v>607</v>
      </c>
      <c r="AC84" s="41" t="s">
        <v>117</v>
      </c>
      <c r="AD84" s="41" t="s">
        <v>684</v>
      </c>
      <c r="AE84" s="41" t="s">
        <v>162</v>
      </c>
      <c r="AF84" s="42"/>
      <c r="AH84" s="41" t="s">
        <v>1079</v>
      </c>
      <c r="AI84" s="41" t="s">
        <v>1515</v>
      </c>
      <c r="AJ84" s="41" t="s">
        <v>2175</v>
      </c>
    </row>
    <row r="85" spans="6:36" ht="29" x14ac:dyDescent="0.35">
      <c r="F85" s="40" t="s">
        <v>1952</v>
      </c>
      <c r="G85" s="40" t="s">
        <v>603</v>
      </c>
      <c r="H85" s="41" t="s">
        <v>208</v>
      </c>
      <c r="J85" s="40" t="s">
        <v>616</v>
      </c>
      <c r="O85" s="40" t="s">
        <v>604</v>
      </c>
      <c r="P85" s="41" t="s">
        <v>605</v>
      </c>
      <c r="Q85" s="41" t="s">
        <v>117</v>
      </c>
      <c r="R85" s="41" t="s">
        <v>683</v>
      </c>
      <c r="S85" s="86" t="s">
        <v>104</v>
      </c>
      <c r="T85" s="86">
        <v>45748</v>
      </c>
      <c r="U85" s="40" t="s">
        <v>604</v>
      </c>
      <c r="V85" s="41" t="s">
        <v>605</v>
      </c>
      <c r="W85" s="41" t="s">
        <v>117</v>
      </c>
      <c r="X85" s="41" t="s">
        <v>683</v>
      </c>
      <c r="Y85" s="64">
        <v>45920</v>
      </c>
      <c r="Z85" s="64"/>
      <c r="AA85" s="40" t="s">
        <v>604</v>
      </c>
      <c r="AB85" s="41" t="s">
        <v>607</v>
      </c>
      <c r="AC85" s="41" t="s">
        <v>117</v>
      </c>
      <c r="AD85" s="41" t="s">
        <v>684</v>
      </c>
      <c r="AE85" s="41" t="s">
        <v>162</v>
      </c>
      <c r="AF85" s="42"/>
      <c r="AH85" s="41" t="s">
        <v>1080</v>
      </c>
      <c r="AI85" s="41" t="s">
        <v>1516</v>
      </c>
      <c r="AJ85" s="41" t="s">
        <v>2175</v>
      </c>
    </row>
    <row r="86" spans="6:36" ht="29" x14ac:dyDescent="0.35">
      <c r="F86" s="40" t="s">
        <v>1953</v>
      </c>
      <c r="G86" s="40" t="s">
        <v>603</v>
      </c>
      <c r="H86" s="41" t="s">
        <v>208</v>
      </c>
      <c r="J86" s="40" t="s">
        <v>608</v>
      </c>
      <c r="O86" s="40" t="s">
        <v>604</v>
      </c>
      <c r="P86" s="41" t="s">
        <v>605</v>
      </c>
      <c r="Q86" s="41" t="s">
        <v>102</v>
      </c>
      <c r="R86" s="41" t="s">
        <v>2212</v>
      </c>
      <c r="S86" s="86" t="s">
        <v>104</v>
      </c>
      <c r="T86" s="86">
        <v>45748</v>
      </c>
      <c r="U86" s="40" t="s">
        <v>604</v>
      </c>
      <c r="V86" s="41" t="s">
        <v>605</v>
      </c>
      <c r="W86" s="41" t="s">
        <v>117</v>
      </c>
      <c r="X86" s="41" t="s">
        <v>683</v>
      </c>
      <c r="Y86" s="64">
        <v>45920</v>
      </c>
      <c r="Z86" s="64"/>
      <c r="AA86" s="40" t="s">
        <v>604</v>
      </c>
      <c r="AB86" s="41" t="s">
        <v>605</v>
      </c>
      <c r="AC86" s="41" t="s">
        <v>102</v>
      </c>
      <c r="AD86" s="41" t="s">
        <v>2212</v>
      </c>
      <c r="AE86" s="41" t="s">
        <v>162</v>
      </c>
      <c r="AF86" s="42"/>
      <c r="AH86" s="41" t="s">
        <v>1081</v>
      </c>
      <c r="AI86" s="41" t="s">
        <v>1517</v>
      </c>
      <c r="AJ86" s="41" t="s">
        <v>2175</v>
      </c>
    </row>
    <row r="87" spans="6:36" ht="29" x14ac:dyDescent="0.35">
      <c r="F87" s="40" t="s">
        <v>1954</v>
      </c>
      <c r="G87" s="40" t="s">
        <v>603</v>
      </c>
      <c r="H87" s="41" t="s">
        <v>208</v>
      </c>
      <c r="J87" s="40" t="s">
        <v>654</v>
      </c>
      <c r="O87" s="40" t="s">
        <v>604</v>
      </c>
      <c r="P87" s="41" t="s">
        <v>605</v>
      </c>
      <c r="Q87" s="41" t="s">
        <v>117</v>
      </c>
      <c r="R87" s="41" t="s">
        <v>683</v>
      </c>
      <c r="S87" s="86" t="s">
        <v>104</v>
      </c>
      <c r="T87" s="86">
        <v>45748</v>
      </c>
      <c r="U87" s="40" t="s">
        <v>604</v>
      </c>
      <c r="V87" s="41" t="s">
        <v>605</v>
      </c>
      <c r="W87" s="41" t="s">
        <v>117</v>
      </c>
      <c r="X87" s="41" t="s">
        <v>683</v>
      </c>
      <c r="Y87" s="64">
        <v>45920</v>
      </c>
      <c r="Z87" s="64"/>
      <c r="AA87" s="40" t="s">
        <v>604</v>
      </c>
      <c r="AB87" s="41" t="s">
        <v>607</v>
      </c>
      <c r="AC87" s="41" t="s">
        <v>117</v>
      </c>
      <c r="AD87" s="41" t="s">
        <v>684</v>
      </c>
      <c r="AE87" s="41" t="s">
        <v>162</v>
      </c>
      <c r="AF87" s="42"/>
      <c r="AH87" s="41" t="s">
        <v>1082</v>
      </c>
      <c r="AI87" s="41" t="s">
        <v>1518</v>
      </c>
      <c r="AJ87" s="41" t="s">
        <v>2175</v>
      </c>
    </row>
    <row r="88" spans="6:36" ht="29" x14ac:dyDescent="0.35">
      <c r="F88" s="40" t="s">
        <v>1955</v>
      </c>
      <c r="G88" s="40" t="s">
        <v>603</v>
      </c>
      <c r="H88" s="41" t="s">
        <v>208</v>
      </c>
      <c r="J88" s="40" t="s">
        <v>678</v>
      </c>
      <c r="O88" s="40" t="s">
        <v>604</v>
      </c>
      <c r="P88" s="41" t="s">
        <v>605</v>
      </c>
      <c r="Q88" s="41" t="s">
        <v>117</v>
      </c>
      <c r="R88" s="41" t="s">
        <v>683</v>
      </c>
      <c r="S88" s="86" t="s">
        <v>104</v>
      </c>
      <c r="T88" s="86">
        <v>45748</v>
      </c>
      <c r="U88" s="40" t="s">
        <v>604</v>
      </c>
      <c r="V88" s="41" t="s">
        <v>605</v>
      </c>
      <c r="W88" s="41" t="s">
        <v>117</v>
      </c>
      <c r="X88" s="41" t="s">
        <v>683</v>
      </c>
      <c r="Y88" s="64">
        <v>45920</v>
      </c>
      <c r="Z88" s="64"/>
      <c r="AA88" s="40" t="s">
        <v>604</v>
      </c>
      <c r="AB88" s="41" t="s">
        <v>607</v>
      </c>
      <c r="AC88" s="41" t="s">
        <v>117</v>
      </c>
      <c r="AD88" s="41" t="s">
        <v>684</v>
      </c>
      <c r="AE88" s="41" t="s">
        <v>162</v>
      </c>
      <c r="AF88" s="42"/>
      <c r="AH88" s="41" t="s">
        <v>1083</v>
      </c>
      <c r="AI88" s="41" t="s">
        <v>1519</v>
      </c>
      <c r="AJ88" s="41" t="s">
        <v>2175</v>
      </c>
    </row>
    <row r="89" spans="6:36" ht="29" x14ac:dyDescent="0.35">
      <c r="F89" s="40" t="s">
        <v>1956</v>
      </c>
      <c r="G89" s="40" t="s">
        <v>603</v>
      </c>
      <c r="H89" s="41" t="s">
        <v>208</v>
      </c>
      <c r="J89" s="40" t="s">
        <v>653</v>
      </c>
      <c r="O89" s="40" t="s">
        <v>604</v>
      </c>
      <c r="P89" s="41" t="s">
        <v>605</v>
      </c>
      <c r="Q89" s="41" t="s">
        <v>117</v>
      </c>
      <c r="R89" s="41" t="s">
        <v>683</v>
      </c>
      <c r="S89" s="86" t="s">
        <v>104</v>
      </c>
      <c r="T89" s="86">
        <v>45748</v>
      </c>
      <c r="U89" s="40" t="s">
        <v>604</v>
      </c>
      <c r="V89" s="41" t="s">
        <v>605</v>
      </c>
      <c r="W89" s="41" t="s">
        <v>117</v>
      </c>
      <c r="X89" s="41" t="s">
        <v>683</v>
      </c>
      <c r="Y89" s="64">
        <v>45920</v>
      </c>
      <c r="Z89" s="64"/>
      <c r="AA89" s="40" t="s">
        <v>604</v>
      </c>
      <c r="AB89" s="41" t="s">
        <v>605</v>
      </c>
      <c r="AC89" s="41" t="s">
        <v>117</v>
      </c>
      <c r="AD89" s="41" t="s">
        <v>707</v>
      </c>
      <c r="AE89" s="41" t="s">
        <v>162</v>
      </c>
      <c r="AF89" s="42"/>
      <c r="AH89" s="41" t="s">
        <v>1084</v>
      </c>
      <c r="AI89" s="41" t="s">
        <v>1520</v>
      </c>
      <c r="AJ89" s="41" t="s">
        <v>2175</v>
      </c>
    </row>
    <row r="90" spans="6:36" ht="29" x14ac:dyDescent="0.35">
      <c r="F90" s="40" t="s">
        <v>1957</v>
      </c>
      <c r="G90" s="40" t="s">
        <v>603</v>
      </c>
      <c r="H90" s="41" t="s">
        <v>208</v>
      </c>
      <c r="J90" s="40" t="s">
        <v>689</v>
      </c>
      <c r="O90" s="40" t="s">
        <v>604</v>
      </c>
      <c r="P90" s="41" t="s">
        <v>605</v>
      </c>
      <c r="Q90" s="41" t="s">
        <v>117</v>
      </c>
      <c r="R90" s="41" t="s">
        <v>683</v>
      </c>
      <c r="S90" s="86" t="s">
        <v>104</v>
      </c>
      <c r="T90" s="86">
        <v>45748</v>
      </c>
      <c r="U90" s="40" t="s">
        <v>604</v>
      </c>
      <c r="V90" s="41" t="s">
        <v>605</v>
      </c>
      <c r="W90" s="41" t="s">
        <v>117</v>
      </c>
      <c r="X90" s="41" t="s">
        <v>683</v>
      </c>
      <c r="Y90" s="64">
        <v>45920</v>
      </c>
      <c r="Z90" s="64"/>
      <c r="AA90" s="40" t="s">
        <v>604</v>
      </c>
      <c r="AB90" s="41" t="s">
        <v>607</v>
      </c>
      <c r="AC90" s="41" t="s">
        <v>117</v>
      </c>
      <c r="AD90" s="41" t="s">
        <v>684</v>
      </c>
      <c r="AE90" s="41" t="s">
        <v>162</v>
      </c>
      <c r="AF90" s="42"/>
      <c r="AH90" s="41" t="s">
        <v>1085</v>
      </c>
      <c r="AI90" s="41" t="s">
        <v>1521</v>
      </c>
      <c r="AJ90" s="41" t="s">
        <v>2175</v>
      </c>
    </row>
    <row r="91" spans="6:36" ht="29" x14ac:dyDescent="0.35">
      <c r="F91" s="40" t="s">
        <v>1958</v>
      </c>
      <c r="G91" s="40" t="s">
        <v>603</v>
      </c>
      <c r="H91" s="41" t="s">
        <v>208</v>
      </c>
      <c r="J91" s="40" t="s">
        <v>690</v>
      </c>
      <c r="O91" s="40" t="s">
        <v>604</v>
      </c>
      <c r="P91" s="41" t="s">
        <v>605</v>
      </c>
      <c r="Q91" s="41" t="s">
        <v>117</v>
      </c>
      <c r="R91" s="41" t="s">
        <v>683</v>
      </c>
      <c r="S91" s="86" t="s">
        <v>104</v>
      </c>
      <c r="T91" s="86">
        <v>45748</v>
      </c>
      <c r="U91" s="40" t="s">
        <v>604</v>
      </c>
      <c r="V91" s="41" t="s">
        <v>605</v>
      </c>
      <c r="W91" s="41" t="s">
        <v>117</v>
      </c>
      <c r="X91" s="41" t="s">
        <v>683</v>
      </c>
      <c r="Y91" s="64">
        <v>45920</v>
      </c>
      <c r="Z91" s="64"/>
      <c r="AA91" s="40" t="s">
        <v>604</v>
      </c>
      <c r="AB91" s="41" t="s">
        <v>607</v>
      </c>
      <c r="AC91" s="41" t="s">
        <v>117</v>
      </c>
      <c r="AD91" s="41" t="s">
        <v>684</v>
      </c>
      <c r="AE91" s="41" t="s">
        <v>162</v>
      </c>
      <c r="AF91" s="42"/>
      <c r="AH91" s="41" t="s">
        <v>1086</v>
      </c>
      <c r="AI91" s="41" t="s">
        <v>1522</v>
      </c>
      <c r="AJ91" s="41" t="s">
        <v>2175</v>
      </c>
    </row>
    <row r="92" spans="6:36" ht="43.5" x14ac:dyDescent="0.35">
      <c r="F92" s="40" t="s">
        <v>1959</v>
      </c>
      <c r="G92" s="40" t="s">
        <v>603</v>
      </c>
      <c r="H92" s="41" t="s">
        <v>208</v>
      </c>
      <c r="J92" s="40" t="s">
        <v>616</v>
      </c>
      <c r="O92" s="40" t="s">
        <v>604</v>
      </c>
      <c r="P92" s="41" t="s">
        <v>605</v>
      </c>
      <c r="Q92" s="41" t="s">
        <v>117</v>
      </c>
      <c r="R92" s="41" t="s">
        <v>691</v>
      </c>
      <c r="S92" s="86" t="s">
        <v>104</v>
      </c>
      <c r="T92" s="86">
        <v>45748</v>
      </c>
      <c r="U92" s="40" t="s">
        <v>604</v>
      </c>
      <c r="V92" s="41" t="s">
        <v>605</v>
      </c>
      <c r="W92" s="41" t="s">
        <v>117</v>
      </c>
      <c r="X92" s="41" t="s">
        <v>2177</v>
      </c>
      <c r="Y92" s="64">
        <v>45920</v>
      </c>
      <c r="Z92" s="64"/>
      <c r="AA92" s="40" t="s">
        <v>604</v>
      </c>
      <c r="AB92" s="41" t="s">
        <v>607</v>
      </c>
      <c r="AC92" s="41" t="s">
        <v>117</v>
      </c>
      <c r="AD92" s="41" t="s">
        <v>692</v>
      </c>
      <c r="AE92" s="41" t="s">
        <v>162</v>
      </c>
      <c r="AF92" s="42"/>
      <c r="AH92" s="41" t="s">
        <v>1087</v>
      </c>
      <c r="AI92" s="41" t="s">
        <v>1523</v>
      </c>
      <c r="AJ92" s="41" t="s">
        <v>2175</v>
      </c>
    </row>
    <row r="93" spans="6:36" ht="43.5" x14ac:dyDescent="0.35">
      <c r="F93" s="40" t="s">
        <v>1960</v>
      </c>
      <c r="G93" s="40" t="s">
        <v>603</v>
      </c>
      <c r="H93" s="41" t="s">
        <v>208</v>
      </c>
      <c r="J93" s="40" t="s">
        <v>662</v>
      </c>
      <c r="O93" s="40" t="s">
        <v>604</v>
      </c>
      <c r="P93" s="41" t="s">
        <v>605</v>
      </c>
      <c r="Q93" s="41" t="s">
        <v>117</v>
      </c>
      <c r="R93" s="41" t="s">
        <v>691</v>
      </c>
      <c r="S93" s="86" t="s">
        <v>104</v>
      </c>
      <c r="T93" s="86">
        <v>45748</v>
      </c>
      <c r="U93" s="40" t="s">
        <v>604</v>
      </c>
      <c r="V93" s="41" t="s">
        <v>605</v>
      </c>
      <c r="W93" s="41" t="s">
        <v>117</v>
      </c>
      <c r="X93" s="41" t="s">
        <v>2177</v>
      </c>
      <c r="Y93" s="64">
        <v>45920</v>
      </c>
      <c r="Z93" s="64"/>
      <c r="AA93" s="40" t="s">
        <v>604</v>
      </c>
      <c r="AB93" s="41" t="s">
        <v>607</v>
      </c>
      <c r="AC93" s="41" t="s">
        <v>117</v>
      </c>
      <c r="AD93" s="41" t="s">
        <v>692</v>
      </c>
      <c r="AE93" s="41" t="s">
        <v>162</v>
      </c>
      <c r="AF93" s="42"/>
      <c r="AH93" s="41" t="s">
        <v>1088</v>
      </c>
      <c r="AI93" s="41" t="s">
        <v>1524</v>
      </c>
      <c r="AJ93" s="41" t="s">
        <v>2175</v>
      </c>
    </row>
    <row r="94" spans="6:36" ht="43.5" x14ac:dyDescent="0.35">
      <c r="F94" s="40" t="s">
        <v>1961</v>
      </c>
      <c r="G94" s="40" t="s">
        <v>603</v>
      </c>
      <c r="H94" s="41" t="s">
        <v>208</v>
      </c>
      <c r="J94" s="40" t="s">
        <v>674</v>
      </c>
      <c r="O94" s="40" t="s">
        <v>604</v>
      </c>
      <c r="P94" s="41" t="s">
        <v>605</v>
      </c>
      <c r="Q94" s="41" t="s">
        <v>117</v>
      </c>
      <c r="R94" s="41" t="s">
        <v>691</v>
      </c>
      <c r="S94" s="86" t="s">
        <v>104</v>
      </c>
      <c r="T94" s="86">
        <v>45748</v>
      </c>
      <c r="U94" s="40" t="s">
        <v>604</v>
      </c>
      <c r="V94" s="41" t="s">
        <v>605</v>
      </c>
      <c r="W94" s="41" t="s">
        <v>117</v>
      </c>
      <c r="X94" s="41" t="s">
        <v>2177</v>
      </c>
      <c r="Y94" s="64">
        <v>45920</v>
      </c>
      <c r="Z94" s="64"/>
      <c r="AA94" s="40" t="s">
        <v>604</v>
      </c>
      <c r="AB94" s="41" t="s">
        <v>607</v>
      </c>
      <c r="AC94" s="41" t="s">
        <v>117</v>
      </c>
      <c r="AD94" s="41" t="s">
        <v>692</v>
      </c>
      <c r="AE94" s="41" t="s">
        <v>162</v>
      </c>
      <c r="AF94" s="42"/>
      <c r="AH94" s="41" t="s">
        <v>1089</v>
      </c>
      <c r="AI94" s="41" t="s">
        <v>1525</v>
      </c>
      <c r="AJ94" s="41" t="s">
        <v>2175</v>
      </c>
    </row>
    <row r="95" spans="6:36" ht="43.5" x14ac:dyDescent="0.35">
      <c r="F95" s="40" t="s">
        <v>1962</v>
      </c>
      <c r="G95" s="40" t="s">
        <v>603</v>
      </c>
      <c r="H95" s="41" t="s">
        <v>208</v>
      </c>
      <c r="J95" s="40" t="s">
        <v>658</v>
      </c>
      <c r="O95" s="40" t="s">
        <v>604</v>
      </c>
      <c r="P95" s="41" t="s">
        <v>605</v>
      </c>
      <c r="Q95" s="41" t="s">
        <v>117</v>
      </c>
      <c r="R95" s="41" t="s">
        <v>691</v>
      </c>
      <c r="S95" s="86" t="s">
        <v>104</v>
      </c>
      <c r="T95" s="86">
        <v>45748</v>
      </c>
      <c r="U95" s="40" t="s">
        <v>604</v>
      </c>
      <c r="V95" s="41" t="s">
        <v>605</v>
      </c>
      <c r="W95" s="41" t="s">
        <v>117</v>
      </c>
      <c r="X95" s="41" t="s">
        <v>2177</v>
      </c>
      <c r="Y95" s="64">
        <v>45920</v>
      </c>
      <c r="Z95" s="64"/>
      <c r="AA95" s="40" t="s">
        <v>604</v>
      </c>
      <c r="AB95" s="41" t="s">
        <v>607</v>
      </c>
      <c r="AC95" s="41" t="s">
        <v>117</v>
      </c>
      <c r="AD95" s="41" t="s">
        <v>692</v>
      </c>
      <c r="AE95" s="41" t="s">
        <v>162</v>
      </c>
      <c r="AF95" s="42"/>
      <c r="AH95" s="41" t="s">
        <v>1090</v>
      </c>
      <c r="AI95" s="41" t="s">
        <v>1526</v>
      </c>
      <c r="AJ95" s="41" t="s">
        <v>2175</v>
      </c>
    </row>
    <row r="96" spans="6:36" ht="43.5" x14ac:dyDescent="0.35">
      <c r="F96" s="40" t="s">
        <v>1963</v>
      </c>
      <c r="G96" s="40" t="s">
        <v>603</v>
      </c>
      <c r="H96" s="41" t="s">
        <v>208</v>
      </c>
      <c r="J96" s="40" t="s">
        <v>694</v>
      </c>
      <c r="O96" s="40" t="s">
        <v>604</v>
      </c>
      <c r="P96" s="41" t="s">
        <v>605</v>
      </c>
      <c r="Q96" s="41" t="s">
        <v>117</v>
      </c>
      <c r="R96" s="41" t="s">
        <v>691</v>
      </c>
      <c r="S96" s="86" t="s">
        <v>104</v>
      </c>
      <c r="T96" s="86">
        <v>45748</v>
      </c>
      <c r="U96" s="40" t="s">
        <v>604</v>
      </c>
      <c r="V96" s="41" t="s">
        <v>605</v>
      </c>
      <c r="W96" s="41" t="s">
        <v>117</v>
      </c>
      <c r="X96" s="41" t="s">
        <v>2177</v>
      </c>
      <c r="Y96" s="64">
        <v>45920</v>
      </c>
      <c r="Z96" s="64"/>
      <c r="AA96" s="40" t="s">
        <v>604</v>
      </c>
      <c r="AB96" s="41" t="s">
        <v>607</v>
      </c>
      <c r="AC96" s="41" t="s">
        <v>117</v>
      </c>
      <c r="AD96" s="41" t="s">
        <v>692</v>
      </c>
      <c r="AE96" s="41" t="s">
        <v>162</v>
      </c>
      <c r="AF96" s="42"/>
      <c r="AH96" s="41" t="s">
        <v>1091</v>
      </c>
      <c r="AI96" s="41" t="s">
        <v>1527</v>
      </c>
      <c r="AJ96" s="41" t="s">
        <v>2175</v>
      </c>
    </row>
    <row r="97" spans="6:36" ht="43.5" x14ac:dyDescent="0.35">
      <c r="F97" s="40" t="s">
        <v>1964</v>
      </c>
      <c r="G97" s="40" t="s">
        <v>603</v>
      </c>
      <c r="H97" s="41" t="s">
        <v>208</v>
      </c>
      <c r="J97" s="40" t="s">
        <v>653</v>
      </c>
      <c r="O97" s="40" t="s">
        <v>604</v>
      </c>
      <c r="P97" s="41" t="s">
        <v>605</v>
      </c>
      <c r="Q97" s="41" t="s">
        <v>117</v>
      </c>
      <c r="R97" s="41" t="s">
        <v>691</v>
      </c>
      <c r="S97" s="86" t="s">
        <v>104</v>
      </c>
      <c r="T97" s="86">
        <v>45748</v>
      </c>
      <c r="U97" s="40" t="s">
        <v>604</v>
      </c>
      <c r="V97" s="41" t="s">
        <v>605</v>
      </c>
      <c r="W97" s="41" t="s">
        <v>117</v>
      </c>
      <c r="X97" s="41" t="s">
        <v>2177</v>
      </c>
      <c r="Y97" s="64">
        <v>45920</v>
      </c>
      <c r="Z97" s="64"/>
      <c r="AA97" s="40" t="s">
        <v>604</v>
      </c>
      <c r="AB97" s="41" t="s">
        <v>605</v>
      </c>
      <c r="AC97" s="41" t="s">
        <v>117</v>
      </c>
      <c r="AD97" s="41" t="s">
        <v>692</v>
      </c>
      <c r="AE97" s="41" t="s">
        <v>162</v>
      </c>
      <c r="AF97" s="42"/>
      <c r="AH97" s="41" t="s">
        <v>1092</v>
      </c>
      <c r="AI97" s="41" t="s">
        <v>1528</v>
      </c>
      <c r="AJ97" s="41" t="s">
        <v>2175</v>
      </c>
    </row>
    <row r="98" spans="6:36" ht="43.5" x14ac:dyDescent="0.35">
      <c r="F98" s="40" t="s">
        <v>1965</v>
      </c>
      <c r="G98" s="40" t="s">
        <v>603</v>
      </c>
      <c r="H98" s="41" t="s">
        <v>208</v>
      </c>
      <c r="J98" s="40" t="s">
        <v>678</v>
      </c>
      <c r="O98" s="40" t="s">
        <v>604</v>
      </c>
      <c r="P98" s="41" t="s">
        <v>605</v>
      </c>
      <c r="Q98" s="41" t="s">
        <v>117</v>
      </c>
      <c r="R98" s="41" t="s">
        <v>691</v>
      </c>
      <c r="S98" s="86" t="s">
        <v>104</v>
      </c>
      <c r="T98" s="86">
        <v>45748</v>
      </c>
      <c r="U98" s="40" t="s">
        <v>604</v>
      </c>
      <c r="V98" s="41" t="s">
        <v>605</v>
      </c>
      <c r="W98" s="41" t="s">
        <v>117</v>
      </c>
      <c r="X98" s="41" t="s">
        <v>2177</v>
      </c>
      <c r="Y98" s="64">
        <v>45920</v>
      </c>
      <c r="Z98" s="64"/>
      <c r="AA98" s="40" t="s">
        <v>604</v>
      </c>
      <c r="AB98" s="41" t="s">
        <v>607</v>
      </c>
      <c r="AC98" s="41" t="s">
        <v>117</v>
      </c>
      <c r="AD98" s="41" t="s">
        <v>692</v>
      </c>
      <c r="AE98" s="41" t="s">
        <v>162</v>
      </c>
      <c r="AF98" s="42"/>
      <c r="AH98" s="41" t="s">
        <v>1093</v>
      </c>
      <c r="AI98" s="41" t="s">
        <v>1529</v>
      </c>
      <c r="AJ98" s="41" t="s">
        <v>2175</v>
      </c>
    </row>
    <row r="99" spans="6:36" ht="43.5" x14ac:dyDescent="0.35">
      <c r="F99" s="40" t="s">
        <v>1966</v>
      </c>
      <c r="G99" s="40" t="s">
        <v>603</v>
      </c>
      <c r="H99" s="41" t="s">
        <v>208</v>
      </c>
      <c r="J99" s="40" t="s">
        <v>654</v>
      </c>
      <c r="O99" s="40" t="s">
        <v>604</v>
      </c>
      <c r="P99" s="41" t="s">
        <v>605</v>
      </c>
      <c r="Q99" s="41" t="s">
        <v>117</v>
      </c>
      <c r="R99" s="41" t="s">
        <v>691</v>
      </c>
      <c r="S99" s="86" t="s">
        <v>104</v>
      </c>
      <c r="T99" s="86">
        <v>45748</v>
      </c>
      <c r="U99" s="40" t="s">
        <v>604</v>
      </c>
      <c r="V99" s="41" t="s">
        <v>605</v>
      </c>
      <c r="W99" s="41" t="s">
        <v>117</v>
      </c>
      <c r="X99" s="41" t="s">
        <v>2177</v>
      </c>
      <c r="Y99" s="64">
        <v>45920</v>
      </c>
      <c r="Z99" s="64"/>
      <c r="AA99" s="40" t="s">
        <v>604</v>
      </c>
      <c r="AB99" s="41" t="s">
        <v>607</v>
      </c>
      <c r="AC99" s="41" t="s">
        <v>117</v>
      </c>
      <c r="AD99" s="41" t="s">
        <v>692</v>
      </c>
      <c r="AE99" s="41" t="s">
        <v>162</v>
      </c>
      <c r="AF99" s="42"/>
      <c r="AH99" s="41" t="s">
        <v>1094</v>
      </c>
      <c r="AI99" s="41" t="s">
        <v>1530</v>
      </c>
      <c r="AJ99" s="41" t="s">
        <v>2175</v>
      </c>
    </row>
    <row r="100" spans="6:36" ht="43.5" x14ac:dyDescent="0.35">
      <c r="F100" s="40" t="s">
        <v>1967</v>
      </c>
      <c r="G100" s="40" t="s">
        <v>603</v>
      </c>
      <c r="H100" s="41" t="s">
        <v>208</v>
      </c>
      <c r="J100" s="40" t="s">
        <v>690</v>
      </c>
      <c r="O100" s="40" t="s">
        <v>604</v>
      </c>
      <c r="P100" s="41" t="s">
        <v>605</v>
      </c>
      <c r="Q100" s="41" t="s">
        <v>117</v>
      </c>
      <c r="R100" s="41" t="s">
        <v>691</v>
      </c>
      <c r="S100" s="86" t="s">
        <v>104</v>
      </c>
      <c r="T100" s="86">
        <v>45748</v>
      </c>
      <c r="U100" s="40" t="s">
        <v>604</v>
      </c>
      <c r="V100" s="41" t="s">
        <v>605</v>
      </c>
      <c r="W100" s="41" t="s">
        <v>117</v>
      </c>
      <c r="X100" s="41" t="s">
        <v>2177</v>
      </c>
      <c r="Y100" s="64">
        <v>45920</v>
      </c>
      <c r="Z100" s="64"/>
      <c r="AA100" s="40" t="s">
        <v>604</v>
      </c>
      <c r="AB100" s="41" t="s">
        <v>607</v>
      </c>
      <c r="AC100" s="41" t="s">
        <v>117</v>
      </c>
      <c r="AD100" s="41" t="s">
        <v>692</v>
      </c>
      <c r="AE100" s="41" t="s">
        <v>162</v>
      </c>
      <c r="AF100" s="42"/>
      <c r="AH100" s="41" t="s">
        <v>1095</v>
      </c>
      <c r="AI100" s="41" t="s">
        <v>1531</v>
      </c>
      <c r="AJ100" s="41" t="s">
        <v>2175</v>
      </c>
    </row>
    <row r="101" spans="6:36" ht="29" x14ac:dyDescent="0.35">
      <c r="F101" s="40" t="s">
        <v>1968</v>
      </c>
      <c r="G101" s="40" t="s">
        <v>603</v>
      </c>
      <c r="H101" s="41" t="s">
        <v>208</v>
      </c>
      <c r="J101" s="40" t="s">
        <v>662</v>
      </c>
      <c r="O101" s="40" t="s">
        <v>604</v>
      </c>
      <c r="P101" s="41" t="s">
        <v>605</v>
      </c>
      <c r="Q101" s="41" t="s">
        <v>117</v>
      </c>
      <c r="R101" s="41" t="s">
        <v>695</v>
      </c>
      <c r="S101" s="86" t="s">
        <v>104</v>
      </c>
      <c r="T101" s="86">
        <v>45748</v>
      </c>
      <c r="U101" s="40" t="s">
        <v>604</v>
      </c>
      <c r="V101" s="41" t="s">
        <v>605</v>
      </c>
      <c r="W101" s="41" t="s">
        <v>117</v>
      </c>
      <c r="X101" s="41" t="s">
        <v>695</v>
      </c>
      <c r="Y101" s="64">
        <v>45920</v>
      </c>
      <c r="Z101" s="64"/>
      <c r="AA101" s="40" t="s">
        <v>604</v>
      </c>
      <c r="AB101" s="41" t="s">
        <v>607</v>
      </c>
      <c r="AC101" s="41" t="s">
        <v>117</v>
      </c>
      <c r="AD101" s="41" t="s">
        <v>696</v>
      </c>
      <c r="AE101" s="41" t="s">
        <v>162</v>
      </c>
      <c r="AF101" s="42"/>
      <c r="AH101" s="41" t="s">
        <v>1096</v>
      </c>
      <c r="AI101" s="41" t="s">
        <v>1532</v>
      </c>
      <c r="AJ101" s="41" t="s">
        <v>2175</v>
      </c>
    </row>
    <row r="102" spans="6:36" ht="29" x14ac:dyDescent="0.35">
      <c r="F102" s="40" t="s">
        <v>1969</v>
      </c>
      <c r="G102" s="40" t="s">
        <v>603</v>
      </c>
      <c r="H102" s="41" t="s">
        <v>208</v>
      </c>
      <c r="J102" s="40" t="s">
        <v>608</v>
      </c>
      <c r="O102" s="40" t="s">
        <v>604</v>
      </c>
      <c r="P102" s="41" t="s">
        <v>605</v>
      </c>
      <c r="Q102" s="41" t="s">
        <v>102</v>
      </c>
      <c r="R102" s="41" t="s">
        <v>2212</v>
      </c>
      <c r="S102" s="86" t="s">
        <v>104</v>
      </c>
      <c r="T102" s="86">
        <v>45748</v>
      </c>
      <c r="U102" s="40" t="s">
        <v>604</v>
      </c>
      <c r="V102" s="41" t="s">
        <v>605</v>
      </c>
      <c r="W102" s="41" t="s">
        <v>117</v>
      </c>
      <c r="X102" s="41" t="s">
        <v>695</v>
      </c>
      <c r="Y102" s="64">
        <v>45920</v>
      </c>
      <c r="Z102" s="64"/>
      <c r="AA102" s="40" t="s">
        <v>604</v>
      </c>
      <c r="AB102" s="41" t="s">
        <v>605</v>
      </c>
      <c r="AC102" s="41" t="s">
        <v>102</v>
      </c>
      <c r="AD102" s="41" t="s">
        <v>2212</v>
      </c>
      <c r="AE102" s="41" t="s">
        <v>162</v>
      </c>
      <c r="AF102" s="42"/>
      <c r="AH102" s="41" t="s">
        <v>1097</v>
      </c>
      <c r="AI102" s="41" t="s">
        <v>1533</v>
      </c>
      <c r="AJ102" s="41" t="s">
        <v>2175</v>
      </c>
    </row>
    <row r="103" spans="6:36" ht="29" x14ac:dyDescent="0.35">
      <c r="F103" s="40" t="s">
        <v>1970</v>
      </c>
      <c r="G103" s="40" t="s">
        <v>603</v>
      </c>
      <c r="H103" s="41" t="s">
        <v>208</v>
      </c>
      <c r="J103" s="40" t="s">
        <v>653</v>
      </c>
      <c r="O103" s="40" t="s">
        <v>604</v>
      </c>
      <c r="P103" s="41" t="s">
        <v>605</v>
      </c>
      <c r="Q103" s="41" t="s">
        <v>117</v>
      </c>
      <c r="R103" s="41" t="s">
        <v>695</v>
      </c>
      <c r="S103" s="86" t="s">
        <v>104</v>
      </c>
      <c r="T103" s="86">
        <v>45748</v>
      </c>
      <c r="U103" s="40" t="s">
        <v>604</v>
      </c>
      <c r="V103" s="41" t="s">
        <v>605</v>
      </c>
      <c r="W103" s="41" t="s">
        <v>117</v>
      </c>
      <c r="X103" s="41" t="s">
        <v>695</v>
      </c>
      <c r="Y103" s="64">
        <v>45920</v>
      </c>
      <c r="Z103" s="64"/>
      <c r="AA103" s="40" t="s">
        <v>604</v>
      </c>
      <c r="AB103" s="41" t="s">
        <v>605</v>
      </c>
      <c r="AC103" s="41" t="s">
        <v>117</v>
      </c>
      <c r="AD103" s="41" t="s">
        <v>696</v>
      </c>
      <c r="AE103" s="41" t="s">
        <v>162</v>
      </c>
      <c r="AF103" s="42"/>
      <c r="AH103" s="41" t="s">
        <v>1098</v>
      </c>
      <c r="AI103" s="41" t="s">
        <v>1534</v>
      </c>
      <c r="AJ103" s="41" t="s">
        <v>2175</v>
      </c>
    </row>
    <row r="104" spans="6:36" ht="29" x14ac:dyDescent="0.35">
      <c r="F104" s="40" t="s">
        <v>1971</v>
      </c>
      <c r="G104" s="40" t="s">
        <v>603</v>
      </c>
      <c r="H104" s="41" t="s">
        <v>208</v>
      </c>
      <c r="J104" s="40" t="s">
        <v>687</v>
      </c>
      <c r="O104" s="40" t="s">
        <v>604</v>
      </c>
      <c r="P104" s="41" t="s">
        <v>605</v>
      </c>
      <c r="Q104" s="41" t="s">
        <v>117</v>
      </c>
      <c r="R104" s="41" t="s">
        <v>695</v>
      </c>
      <c r="S104" s="86" t="s">
        <v>104</v>
      </c>
      <c r="T104" s="86">
        <v>45748</v>
      </c>
      <c r="U104" s="40" t="s">
        <v>604</v>
      </c>
      <c r="V104" s="41" t="s">
        <v>605</v>
      </c>
      <c r="W104" s="41" t="s">
        <v>117</v>
      </c>
      <c r="X104" s="41" t="s">
        <v>695</v>
      </c>
      <c r="Y104" s="64">
        <v>45920</v>
      </c>
      <c r="Z104" s="64"/>
      <c r="AA104" s="40" t="s">
        <v>604</v>
      </c>
      <c r="AB104" s="41" t="s">
        <v>607</v>
      </c>
      <c r="AC104" s="41" t="s">
        <v>117</v>
      </c>
      <c r="AD104" s="41" t="s">
        <v>696</v>
      </c>
      <c r="AE104" s="41" t="s">
        <v>162</v>
      </c>
      <c r="AF104" s="42"/>
      <c r="AH104" s="41" t="s">
        <v>1099</v>
      </c>
      <c r="AI104" s="41" t="s">
        <v>1535</v>
      </c>
      <c r="AJ104" s="41" t="s">
        <v>2175</v>
      </c>
    </row>
    <row r="105" spans="6:36" ht="29" x14ac:dyDescent="0.35">
      <c r="F105" s="40" t="s">
        <v>1972</v>
      </c>
      <c r="G105" s="40" t="s">
        <v>603</v>
      </c>
      <c r="H105" s="41" t="s">
        <v>208</v>
      </c>
      <c r="J105" s="40" t="s">
        <v>616</v>
      </c>
      <c r="O105" s="40" t="s">
        <v>604</v>
      </c>
      <c r="P105" s="41" t="s">
        <v>605</v>
      </c>
      <c r="Q105" s="41" t="s">
        <v>117</v>
      </c>
      <c r="R105" s="41" t="s">
        <v>695</v>
      </c>
      <c r="S105" s="86" t="s">
        <v>104</v>
      </c>
      <c r="T105" s="86">
        <v>45748</v>
      </c>
      <c r="U105" s="40" t="s">
        <v>604</v>
      </c>
      <c r="V105" s="41" t="s">
        <v>605</v>
      </c>
      <c r="W105" s="41" t="s">
        <v>117</v>
      </c>
      <c r="X105" s="41" t="s">
        <v>695</v>
      </c>
      <c r="Y105" s="64">
        <v>45920</v>
      </c>
      <c r="Z105" s="64"/>
      <c r="AA105" s="40" t="s">
        <v>604</v>
      </c>
      <c r="AB105" s="41" t="s">
        <v>607</v>
      </c>
      <c r="AC105" s="41" t="s">
        <v>117</v>
      </c>
      <c r="AD105" s="41" t="s">
        <v>696</v>
      </c>
      <c r="AE105" s="41" t="s">
        <v>162</v>
      </c>
      <c r="AF105" s="42"/>
      <c r="AH105" s="41" t="s">
        <v>1100</v>
      </c>
      <c r="AI105" s="41" t="s">
        <v>1536</v>
      </c>
      <c r="AJ105" s="41" t="s">
        <v>2175</v>
      </c>
    </row>
    <row r="106" spans="6:36" ht="29" x14ac:dyDescent="0.35">
      <c r="F106" s="40" t="s">
        <v>1973</v>
      </c>
      <c r="G106" s="40" t="s">
        <v>603</v>
      </c>
      <c r="H106" s="41" t="s">
        <v>208</v>
      </c>
      <c r="J106" s="40" t="s">
        <v>658</v>
      </c>
      <c r="O106" s="40" t="s">
        <v>604</v>
      </c>
      <c r="P106" s="41" t="s">
        <v>605</v>
      </c>
      <c r="Q106" s="41" t="s">
        <v>117</v>
      </c>
      <c r="R106" s="41" t="s">
        <v>695</v>
      </c>
      <c r="S106" s="86" t="s">
        <v>104</v>
      </c>
      <c r="T106" s="86">
        <v>45748</v>
      </c>
      <c r="U106" s="40" t="s">
        <v>604</v>
      </c>
      <c r="V106" s="41" t="s">
        <v>605</v>
      </c>
      <c r="W106" s="41" t="s">
        <v>117</v>
      </c>
      <c r="X106" s="41" t="s">
        <v>695</v>
      </c>
      <c r="Y106" s="64">
        <v>45920</v>
      </c>
      <c r="Z106" s="64"/>
      <c r="AA106" s="40" t="s">
        <v>604</v>
      </c>
      <c r="AB106" s="41" t="s">
        <v>607</v>
      </c>
      <c r="AC106" s="41" t="s">
        <v>117</v>
      </c>
      <c r="AD106" s="41" t="s">
        <v>696</v>
      </c>
      <c r="AE106" s="41" t="s">
        <v>162</v>
      </c>
      <c r="AF106" s="42"/>
      <c r="AH106" s="41" t="s">
        <v>1101</v>
      </c>
      <c r="AI106" s="41" t="s">
        <v>1537</v>
      </c>
      <c r="AJ106" s="41" t="s">
        <v>2175</v>
      </c>
    </row>
    <row r="107" spans="6:36" ht="29" x14ac:dyDescent="0.35">
      <c r="F107" s="40" t="s">
        <v>1974</v>
      </c>
      <c r="G107" s="40" t="s">
        <v>603</v>
      </c>
      <c r="H107" s="41" t="s">
        <v>208</v>
      </c>
      <c r="J107" s="40" t="s">
        <v>654</v>
      </c>
      <c r="O107" s="40" t="s">
        <v>604</v>
      </c>
      <c r="P107" s="41" t="s">
        <v>605</v>
      </c>
      <c r="Q107" s="41" t="s">
        <v>117</v>
      </c>
      <c r="R107" s="41" t="s">
        <v>695</v>
      </c>
      <c r="S107" s="86" t="s">
        <v>104</v>
      </c>
      <c r="T107" s="86">
        <v>45748</v>
      </c>
      <c r="U107" s="40" t="s">
        <v>604</v>
      </c>
      <c r="V107" s="41" t="s">
        <v>605</v>
      </c>
      <c r="W107" s="41" t="s">
        <v>117</v>
      </c>
      <c r="X107" s="41" t="s">
        <v>695</v>
      </c>
      <c r="Y107" s="64">
        <v>45920</v>
      </c>
      <c r="Z107" s="64"/>
      <c r="AA107" s="40" t="s">
        <v>604</v>
      </c>
      <c r="AB107" s="41" t="s">
        <v>607</v>
      </c>
      <c r="AC107" s="41" t="s">
        <v>117</v>
      </c>
      <c r="AD107" s="41" t="s">
        <v>696</v>
      </c>
      <c r="AE107" s="41" t="s">
        <v>162</v>
      </c>
      <c r="AF107" s="42"/>
      <c r="AH107" s="41" t="s">
        <v>1102</v>
      </c>
      <c r="AI107" s="41" t="s">
        <v>1538</v>
      </c>
      <c r="AJ107" s="41" t="s">
        <v>2175</v>
      </c>
    </row>
    <row r="108" spans="6:36" ht="29" x14ac:dyDescent="0.35">
      <c r="F108" s="40" t="s">
        <v>1975</v>
      </c>
      <c r="G108" s="40" t="s">
        <v>603</v>
      </c>
      <c r="H108" s="41" t="s">
        <v>208</v>
      </c>
      <c r="J108" s="40" t="s">
        <v>685</v>
      </c>
      <c r="O108" s="40" t="s">
        <v>604</v>
      </c>
      <c r="P108" s="41" t="s">
        <v>605</v>
      </c>
      <c r="Q108" s="41" t="s">
        <v>117</v>
      </c>
      <c r="R108" s="41" t="s">
        <v>695</v>
      </c>
      <c r="S108" s="86" t="s">
        <v>104</v>
      </c>
      <c r="T108" s="86">
        <v>45748</v>
      </c>
      <c r="U108" s="40" t="s">
        <v>604</v>
      </c>
      <c r="V108" s="41" t="s">
        <v>605</v>
      </c>
      <c r="W108" s="41" t="s">
        <v>117</v>
      </c>
      <c r="X108" s="41" t="s">
        <v>695</v>
      </c>
      <c r="Y108" s="64">
        <v>45920</v>
      </c>
      <c r="Z108" s="64"/>
      <c r="AA108" s="40" t="s">
        <v>604</v>
      </c>
      <c r="AB108" s="41" t="s">
        <v>607</v>
      </c>
      <c r="AC108" s="41" t="s">
        <v>117</v>
      </c>
      <c r="AD108" s="41" t="s">
        <v>696</v>
      </c>
      <c r="AE108" s="41" t="s">
        <v>162</v>
      </c>
      <c r="AF108" s="42"/>
      <c r="AH108" s="41" t="s">
        <v>1103</v>
      </c>
      <c r="AI108" s="41" t="s">
        <v>1539</v>
      </c>
      <c r="AJ108" s="41" t="s">
        <v>2175</v>
      </c>
    </row>
    <row r="109" spans="6:36" ht="29" x14ac:dyDescent="0.35">
      <c r="F109" s="40" t="s">
        <v>1976</v>
      </c>
      <c r="G109" s="40" t="s">
        <v>603</v>
      </c>
      <c r="H109" s="41" t="s">
        <v>208</v>
      </c>
      <c r="J109" s="40" t="s">
        <v>690</v>
      </c>
      <c r="O109" s="40" t="s">
        <v>604</v>
      </c>
      <c r="P109" s="41" t="s">
        <v>605</v>
      </c>
      <c r="Q109" s="41" t="s">
        <v>117</v>
      </c>
      <c r="R109" s="41" t="s">
        <v>695</v>
      </c>
      <c r="S109" s="86" t="s">
        <v>104</v>
      </c>
      <c r="T109" s="86">
        <v>45748</v>
      </c>
      <c r="U109" s="40" t="s">
        <v>604</v>
      </c>
      <c r="V109" s="41" t="s">
        <v>605</v>
      </c>
      <c r="W109" s="41" t="s">
        <v>117</v>
      </c>
      <c r="X109" s="41" t="s">
        <v>695</v>
      </c>
      <c r="Y109" s="64">
        <v>45920</v>
      </c>
      <c r="Z109" s="64"/>
      <c r="AA109" s="40" t="s">
        <v>604</v>
      </c>
      <c r="AB109" s="41" t="s">
        <v>607</v>
      </c>
      <c r="AC109" s="41" t="s">
        <v>117</v>
      </c>
      <c r="AD109" s="41" t="s">
        <v>696</v>
      </c>
      <c r="AE109" s="41" t="s">
        <v>162</v>
      </c>
      <c r="AF109" s="42"/>
      <c r="AH109" s="41" t="s">
        <v>1104</v>
      </c>
      <c r="AI109" s="41" t="s">
        <v>1540</v>
      </c>
      <c r="AJ109" s="41" t="s">
        <v>2175</v>
      </c>
    </row>
    <row r="110" spans="6:36" ht="29" x14ac:dyDescent="0.35">
      <c r="F110" s="40" t="s">
        <v>1977</v>
      </c>
      <c r="G110" s="40" t="s">
        <v>603</v>
      </c>
      <c r="H110" s="41" t="s">
        <v>208</v>
      </c>
      <c r="J110" s="40" t="s">
        <v>678</v>
      </c>
      <c r="O110" s="40" t="s">
        <v>604</v>
      </c>
      <c r="P110" s="41" t="s">
        <v>605</v>
      </c>
      <c r="Q110" s="41" t="s">
        <v>117</v>
      </c>
      <c r="R110" s="41" t="s">
        <v>695</v>
      </c>
      <c r="S110" s="86" t="s">
        <v>104</v>
      </c>
      <c r="T110" s="86">
        <v>45748</v>
      </c>
      <c r="U110" s="40" t="s">
        <v>604</v>
      </c>
      <c r="V110" s="41" t="s">
        <v>605</v>
      </c>
      <c r="W110" s="41" t="s">
        <v>117</v>
      </c>
      <c r="X110" s="41" t="s">
        <v>695</v>
      </c>
      <c r="Y110" s="64">
        <v>45920</v>
      </c>
      <c r="Z110" s="64"/>
      <c r="AA110" s="40" t="s">
        <v>604</v>
      </c>
      <c r="AB110" s="41" t="s">
        <v>607</v>
      </c>
      <c r="AC110" s="41" t="s">
        <v>117</v>
      </c>
      <c r="AD110" s="41" t="s">
        <v>696</v>
      </c>
      <c r="AE110" s="41" t="s">
        <v>162</v>
      </c>
      <c r="AF110" s="42"/>
      <c r="AH110" s="41" t="s">
        <v>1105</v>
      </c>
      <c r="AI110" s="41" t="s">
        <v>1541</v>
      </c>
      <c r="AJ110" s="41" t="s">
        <v>2175</v>
      </c>
    </row>
    <row r="111" spans="6:36" ht="29" x14ac:dyDescent="0.35">
      <c r="F111" s="40" t="s">
        <v>1978</v>
      </c>
      <c r="G111" s="40" t="s">
        <v>603</v>
      </c>
      <c r="H111" s="41" t="s">
        <v>208</v>
      </c>
      <c r="J111" s="40" t="s">
        <v>616</v>
      </c>
      <c r="O111" s="40" t="s">
        <v>604</v>
      </c>
      <c r="P111" s="41" t="s">
        <v>605</v>
      </c>
      <c r="Q111" s="41" t="s">
        <v>117</v>
      </c>
      <c r="R111" s="41" t="s">
        <v>695</v>
      </c>
      <c r="S111" s="86" t="s">
        <v>104</v>
      </c>
      <c r="T111" s="86">
        <v>45748</v>
      </c>
      <c r="U111" s="40" t="s">
        <v>604</v>
      </c>
      <c r="V111" s="41" t="s">
        <v>605</v>
      </c>
      <c r="W111" s="41" t="s">
        <v>117</v>
      </c>
      <c r="X111" s="41" t="s">
        <v>695</v>
      </c>
      <c r="Y111" s="64">
        <v>45920</v>
      </c>
      <c r="Z111" s="64"/>
      <c r="AA111" s="40" t="s">
        <v>604</v>
      </c>
      <c r="AB111" s="41" t="s">
        <v>607</v>
      </c>
      <c r="AC111" s="41" t="s">
        <v>117</v>
      </c>
      <c r="AD111" s="41" t="s">
        <v>696</v>
      </c>
      <c r="AE111" s="41" t="s">
        <v>162</v>
      </c>
      <c r="AF111" s="42"/>
      <c r="AH111" s="41" t="s">
        <v>1106</v>
      </c>
      <c r="AI111" s="41" t="s">
        <v>1542</v>
      </c>
      <c r="AJ111" s="41" t="s">
        <v>2175</v>
      </c>
    </row>
    <row r="112" spans="6:36" ht="29" x14ac:dyDescent="0.35">
      <c r="F112" s="40" t="s">
        <v>1979</v>
      </c>
      <c r="G112" s="40" t="s">
        <v>603</v>
      </c>
      <c r="H112" s="41" t="s">
        <v>208</v>
      </c>
      <c r="J112" s="40" t="s">
        <v>662</v>
      </c>
      <c r="O112" s="40" t="s">
        <v>604</v>
      </c>
      <c r="P112" s="41" t="s">
        <v>605</v>
      </c>
      <c r="Q112" s="41" t="s">
        <v>117</v>
      </c>
      <c r="R112" s="41" t="s">
        <v>697</v>
      </c>
      <c r="S112" s="86" t="s">
        <v>104</v>
      </c>
      <c r="T112" s="86">
        <v>45748</v>
      </c>
      <c r="U112" s="40" t="s">
        <v>604</v>
      </c>
      <c r="V112" s="41" t="s">
        <v>605</v>
      </c>
      <c r="W112" s="41" t="s">
        <v>117</v>
      </c>
      <c r="X112" s="41" t="s">
        <v>697</v>
      </c>
      <c r="Y112" s="64">
        <v>45920</v>
      </c>
      <c r="Z112" s="64"/>
      <c r="AA112" s="40" t="s">
        <v>604</v>
      </c>
      <c r="AB112" s="41" t="s">
        <v>607</v>
      </c>
      <c r="AC112" s="41" t="s">
        <v>117</v>
      </c>
      <c r="AD112" s="41" t="s">
        <v>698</v>
      </c>
      <c r="AE112" s="41" t="s">
        <v>162</v>
      </c>
      <c r="AF112" s="42"/>
      <c r="AH112" s="41" t="s">
        <v>1107</v>
      </c>
      <c r="AI112" s="41" t="s">
        <v>1543</v>
      </c>
      <c r="AJ112" s="41" t="s">
        <v>2175</v>
      </c>
    </row>
    <row r="113" spans="6:36" ht="29" x14ac:dyDescent="0.35">
      <c r="F113" s="40" t="s">
        <v>1980</v>
      </c>
      <c r="G113" s="40" t="s">
        <v>603</v>
      </c>
      <c r="H113" s="41" t="s">
        <v>208</v>
      </c>
      <c r="J113" s="40" t="s">
        <v>653</v>
      </c>
      <c r="O113" s="40" t="s">
        <v>604</v>
      </c>
      <c r="P113" s="41" t="s">
        <v>605</v>
      </c>
      <c r="Q113" s="41" t="s">
        <v>117</v>
      </c>
      <c r="R113" s="41" t="s">
        <v>697</v>
      </c>
      <c r="S113" s="86" t="s">
        <v>104</v>
      </c>
      <c r="T113" s="86">
        <v>45748</v>
      </c>
      <c r="U113" s="40" t="s">
        <v>604</v>
      </c>
      <c r="V113" s="41" t="s">
        <v>605</v>
      </c>
      <c r="W113" s="41" t="s">
        <v>117</v>
      </c>
      <c r="X113" s="41" t="s">
        <v>697</v>
      </c>
      <c r="Y113" s="64">
        <v>45920</v>
      </c>
      <c r="Z113" s="64"/>
      <c r="AA113" s="40" t="s">
        <v>604</v>
      </c>
      <c r="AB113" s="41" t="s">
        <v>605</v>
      </c>
      <c r="AC113" s="41" t="s">
        <v>117</v>
      </c>
      <c r="AD113" s="41" t="s">
        <v>698</v>
      </c>
      <c r="AE113" s="41" t="s">
        <v>162</v>
      </c>
      <c r="AF113" s="42"/>
      <c r="AH113" s="41" t="s">
        <v>1108</v>
      </c>
      <c r="AI113" s="41" t="s">
        <v>1544</v>
      </c>
      <c r="AJ113" s="41" t="s">
        <v>2175</v>
      </c>
    </row>
    <row r="114" spans="6:36" x14ac:dyDescent="0.35">
      <c r="F114" s="40" t="s">
        <v>1981</v>
      </c>
      <c r="G114" s="40" t="s">
        <v>603</v>
      </c>
      <c r="H114" s="41" t="s">
        <v>208</v>
      </c>
      <c r="J114" s="40" t="s">
        <v>654</v>
      </c>
      <c r="O114" s="40" t="s">
        <v>604</v>
      </c>
      <c r="P114" s="41" t="s">
        <v>607</v>
      </c>
      <c r="Q114" s="41" t="s">
        <v>117</v>
      </c>
      <c r="R114" s="41">
        <v>514</v>
      </c>
      <c r="S114" s="86" t="s">
        <v>104</v>
      </c>
      <c r="T114" s="86">
        <v>45748</v>
      </c>
      <c r="U114" s="40" t="s">
        <v>604</v>
      </c>
      <c r="V114" s="41" t="s">
        <v>605</v>
      </c>
      <c r="W114" s="41" t="s">
        <v>117</v>
      </c>
      <c r="X114" s="41" t="s">
        <v>697</v>
      </c>
      <c r="Y114" s="64">
        <v>45920</v>
      </c>
      <c r="Z114" s="64"/>
      <c r="AA114" s="40" t="s">
        <v>604</v>
      </c>
      <c r="AB114" s="41" t="s">
        <v>607</v>
      </c>
      <c r="AC114" s="41" t="s">
        <v>117</v>
      </c>
      <c r="AD114" s="41">
        <v>514</v>
      </c>
      <c r="AE114" s="41" t="s">
        <v>162</v>
      </c>
      <c r="AF114" s="42"/>
      <c r="AH114" s="41" t="s">
        <v>1109</v>
      </c>
      <c r="AI114" s="41" t="s">
        <v>1545</v>
      </c>
      <c r="AJ114" s="41" t="s">
        <v>2175</v>
      </c>
    </row>
    <row r="115" spans="6:36" ht="29" x14ac:dyDescent="0.35">
      <c r="F115" s="40" t="s">
        <v>1982</v>
      </c>
      <c r="G115" s="40" t="s">
        <v>603</v>
      </c>
      <c r="H115" s="41" t="s">
        <v>208</v>
      </c>
      <c r="J115" s="40" t="s">
        <v>658</v>
      </c>
      <c r="O115" s="40" t="s">
        <v>604</v>
      </c>
      <c r="P115" s="41" t="s">
        <v>605</v>
      </c>
      <c r="Q115" s="41" t="s">
        <v>117</v>
      </c>
      <c r="R115" s="41" t="s">
        <v>697</v>
      </c>
      <c r="S115" s="86" t="s">
        <v>104</v>
      </c>
      <c r="T115" s="86">
        <v>45748</v>
      </c>
      <c r="U115" s="40" t="s">
        <v>604</v>
      </c>
      <c r="V115" s="41" t="s">
        <v>605</v>
      </c>
      <c r="W115" s="41" t="s">
        <v>117</v>
      </c>
      <c r="X115" s="41" t="s">
        <v>697</v>
      </c>
      <c r="Y115" s="64">
        <v>45920</v>
      </c>
      <c r="Z115" s="64"/>
      <c r="AA115" s="40" t="s">
        <v>604</v>
      </c>
      <c r="AB115" s="41" t="s">
        <v>607</v>
      </c>
      <c r="AC115" s="41" t="s">
        <v>117</v>
      </c>
      <c r="AD115" s="41" t="s">
        <v>2215</v>
      </c>
      <c r="AE115" s="41" t="s">
        <v>162</v>
      </c>
      <c r="AF115" s="42"/>
      <c r="AH115" s="41" t="s">
        <v>1110</v>
      </c>
      <c r="AI115" s="41" t="s">
        <v>1546</v>
      </c>
      <c r="AJ115" s="41" t="s">
        <v>2175</v>
      </c>
    </row>
    <row r="116" spans="6:36" ht="29" x14ac:dyDescent="0.35">
      <c r="F116" s="40" t="s">
        <v>1983</v>
      </c>
      <c r="G116" s="40" t="s">
        <v>603</v>
      </c>
      <c r="H116" s="41" t="s">
        <v>208</v>
      </c>
      <c r="J116" s="40" t="s">
        <v>685</v>
      </c>
      <c r="O116" s="40" t="s">
        <v>604</v>
      </c>
      <c r="P116" s="41" t="s">
        <v>605</v>
      </c>
      <c r="Q116" s="41" t="s">
        <v>117</v>
      </c>
      <c r="R116" s="41" t="s">
        <v>697</v>
      </c>
      <c r="S116" s="86" t="s">
        <v>104</v>
      </c>
      <c r="T116" s="86">
        <v>45748</v>
      </c>
      <c r="U116" s="40" t="s">
        <v>604</v>
      </c>
      <c r="V116" s="41" t="s">
        <v>605</v>
      </c>
      <c r="W116" s="41" t="s">
        <v>117</v>
      </c>
      <c r="X116" s="41" t="s">
        <v>697</v>
      </c>
      <c r="Y116" s="64">
        <v>45920</v>
      </c>
      <c r="Z116" s="64"/>
      <c r="AA116" s="40" t="s">
        <v>604</v>
      </c>
      <c r="AB116" s="41" t="s">
        <v>605</v>
      </c>
      <c r="AC116" s="41" t="s">
        <v>117</v>
      </c>
      <c r="AD116" s="41" t="s">
        <v>697</v>
      </c>
      <c r="AE116" s="41" t="s">
        <v>162</v>
      </c>
      <c r="AF116" s="42"/>
      <c r="AH116" s="41" t="s">
        <v>1111</v>
      </c>
      <c r="AI116" s="41" t="s">
        <v>1547</v>
      </c>
      <c r="AJ116" s="41" t="s">
        <v>2175</v>
      </c>
    </row>
    <row r="117" spans="6:36" ht="29" x14ac:dyDescent="0.35">
      <c r="F117" s="40" t="s">
        <v>1984</v>
      </c>
      <c r="G117" s="40" t="s">
        <v>603</v>
      </c>
      <c r="H117" s="41" t="s">
        <v>208</v>
      </c>
      <c r="J117" s="40" t="s">
        <v>608</v>
      </c>
      <c r="O117" s="40" t="s">
        <v>604</v>
      </c>
      <c r="P117" s="41" t="s">
        <v>605</v>
      </c>
      <c r="Q117" s="41" t="s">
        <v>102</v>
      </c>
      <c r="R117" s="41" t="s">
        <v>2212</v>
      </c>
      <c r="S117" s="86" t="s">
        <v>104</v>
      </c>
      <c r="T117" s="86">
        <v>45748</v>
      </c>
      <c r="U117" s="40" t="s">
        <v>604</v>
      </c>
      <c r="V117" s="41" t="s">
        <v>605</v>
      </c>
      <c r="W117" s="41" t="s">
        <v>117</v>
      </c>
      <c r="X117" s="41" t="s">
        <v>697</v>
      </c>
      <c r="Y117" s="64">
        <v>45920</v>
      </c>
      <c r="Z117" s="64"/>
      <c r="AA117" s="40" t="s">
        <v>604</v>
      </c>
      <c r="AB117" s="41" t="s">
        <v>605</v>
      </c>
      <c r="AC117" s="41" t="s">
        <v>102</v>
      </c>
      <c r="AD117" s="41" t="s">
        <v>2212</v>
      </c>
      <c r="AE117" s="41" t="s">
        <v>162</v>
      </c>
      <c r="AF117" s="42"/>
      <c r="AH117" s="41" t="s">
        <v>1112</v>
      </c>
      <c r="AI117" s="41" t="s">
        <v>1548</v>
      </c>
      <c r="AJ117" s="41" t="s">
        <v>2175</v>
      </c>
    </row>
    <row r="118" spans="6:36" ht="29" x14ac:dyDescent="0.35">
      <c r="F118" s="40" t="s">
        <v>1985</v>
      </c>
      <c r="G118" s="40" t="s">
        <v>603</v>
      </c>
      <c r="H118" s="41" t="s">
        <v>208</v>
      </c>
      <c r="J118" s="40" t="s">
        <v>658</v>
      </c>
      <c r="O118" s="40" t="s">
        <v>604</v>
      </c>
      <c r="P118" s="41" t="s">
        <v>605</v>
      </c>
      <c r="Q118" s="41" t="s">
        <v>117</v>
      </c>
      <c r="R118" s="41" t="s">
        <v>699</v>
      </c>
      <c r="S118" s="86" t="s">
        <v>104</v>
      </c>
      <c r="T118" s="86">
        <v>45748</v>
      </c>
      <c r="U118" s="40" t="s">
        <v>604</v>
      </c>
      <c r="V118" s="41" t="s">
        <v>605</v>
      </c>
      <c r="W118" s="41" t="s">
        <v>117</v>
      </c>
      <c r="X118" s="41" t="s">
        <v>699</v>
      </c>
      <c r="Y118" s="64">
        <v>45920</v>
      </c>
      <c r="Z118" s="64"/>
      <c r="AA118" s="40" t="s">
        <v>604</v>
      </c>
      <c r="AB118" s="41" t="s">
        <v>607</v>
      </c>
      <c r="AC118" s="41" t="s">
        <v>117</v>
      </c>
      <c r="AD118" s="41" t="s">
        <v>697</v>
      </c>
      <c r="AE118" s="41" t="s">
        <v>162</v>
      </c>
      <c r="AF118" s="42"/>
      <c r="AH118" s="41" t="s">
        <v>1113</v>
      </c>
      <c r="AI118" s="41" t="s">
        <v>1549</v>
      </c>
      <c r="AJ118" s="41" t="s">
        <v>2175</v>
      </c>
    </row>
    <row r="119" spans="6:36" ht="29" x14ac:dyDescent="0.35">
      <c r="F119" s="40" t="s">
        <v>1986</v>
      </c>
      <c r="G119" s="40" t="s">
        <v>603</v>
      </c>
      <c r="H119" s="41" t="s">
        <v>208</v>
      </c>
      <c r="J119" s="40" t="s">
        <v>694</v>
      </c>
      <c r="O119" s="40" t="s">
        <v>604</v>
      </c>
      <c r="P119" s="41" t="s">
        <v>605</v>
      </c>
      <c r="Q119" s="41" t="s">
        <v>117</v>
      </c>
      <c r="R119" s="41" t="s">
        <v>699</v>
      </c>
      <c r="S119" s="86" t="s">
        <v>104</v>
      </c>
      <c r="T119" s="86">
        <v>45748</v>
      </c>
      <c r="U119" s="40" t="s">
        <v>604</v>
      </c>
      <c r="V119" s="41" t="s">
        <v>605</v>
      </c>
      <c r="W119" s="41" t="s">
        <v>117</v>
      </c>
      <c r="X119" s="41" t="s">
        <v>699</v>
      </c>
      <c r="Y119" s="64">
        <v>45920</v>
      </c>
      <c r="Z119" s="64"/>
      <c r="AA119" s="40" t="s">
        <v>604</v>
      </c>
      <c r="AB119" s="41" t="s">
        <v>605</v>
      </c>
      <c r="AC119" s="41" t="s">
        <v>117</v>
      </c>
      <c r="AD119" s="41" t="s">
        <v>699</v>
      </c>
      <c r="AE119" s="41" t="s">
        <v>162</v>
      </c>
      <c r="AF119" s="42"/>
      <c r="AH119" s="41" t="s">
        <v>1114</v>
      </c>
      <c r="AI119" s="41" t="s">
        <v>1550</v>
      </c>
      <c r="AJ119" s="41" t="s">
        <v>2175</v>
      </c>
    </row>
    <row r="120" spans="6:36" x14ac:dyDescent="0.35">
      <c r="F120" s="40" t="s">
        <v>1987</v>
      </c>
      <c r="G120" s="40" t="s">
        <v>603</v>
      </c>
      <c r="H120" s="41" t="s">
        <v>208</v>
      </c>
      <c r="J120" s="40" t="s">
        <v>616</v>
      </c>
      <c r="O120" s="40" t="s">
        <v>604</v>
      </c>
      <c r="P120" s="41" t="s">
        <v>607</v>
      </c>
      <c r="Q120" s="41" t="s">
        <v>117</v>
      </c>
      <c r="R120" s="41" t="s">
        <v>699</v>
      </c>
      <c r="S120" s="86" t="s">
        <v>104</v>
      </c>
      <c r="T120" s="86">
        <v>45748</v>
      </c>
      <c r="U120" s="40" t="s">
        <v>604</v>
      </c>
      <c r="V120" s="41" t="s">
        <v>605</v>
      </c>
      <c r="W120" s="41" t="s">
        <v>117</v>
      </c>
      <c r="X120" s="41" t="s">
        <v>699</v>
      </c>
      <c r="Y120" s="64">
        <v>45920</v>
      </c>
      <c r="Z120" s="64"/>
      <c r="AA120" s="40" t="s">
        <v>604</v>
      </c>
      <c r="AB120" s="41" t="s">
        <v>607</v>
      </c>
      <c r="AC120" s="41" t="s">
        <v>117</v>
      </c>
      <c r="AD120" s="41">
        <v>512</v>
      </c>
      <c r="AE120" s="41" t="s">
        <v>162</v>
      </c>
      <c r="AF120" s="42"/>
      <c r="AH120" s="41" t="s">
        <v>1115</v>
      </c>
      <c r="AI120" s="41" t="s">
        <v>1551</v>
      </c>
      <c r="AJ120" s="41" t="s">
        <v>2175</v>
      </c>
    </row>
    <row r="121" spans="6:36" ht="29" x14ac:dyDescent="0.35">
      <c r="F121" s="40" t="s">
        <v>1988</v>
      </c>
      <c r="G121" s="40" t="s">
        <v>603</v>
      </c>
      <c r="H121" s="41" t="s">
        <v>208</v>
      </c>
      <c r="J121" s="40" t="s">
        <v>608</v>
      </c>
      <c r="O121" s="40" t="s">
        <v>604</v>
      </c>
      <c r="P121" s="41" t="s">
        <v>605</v>
      </c>
      <c r="Q121" s="41" t="s">
        <v>102</v>
      </c>
      <c r="R121" s="41" t="s">
        <v>2212</v>
      </c>
      <c r="S121" s="86" t="s">
        <v>104</v>
      </c>
      <c r="T121" s="86">
        <v>45748</v>
      </c>
      <c r="U121" s="40" t="s">
        <v>604</v>
      </c>
      <c r="V121" s="41" t="s">
        <v>605</v>
      </c>
      <c r="W121" s="41" t="s">
        <v>117</v>
      </c>
      <c r="X121" s="41" t="s">
        <v>699</v>
      </c>
      <c r="Y121" s="64">
        <v>45920</v>
      </c>
      <c r="Z121" s="64"/>
      <c r="AA121" s="40" t="s">
        <v>604</v>
      </c>
      <c r="AB121" s="41" t="s">
        <v>605</v>
      </c>
      <c r="AC121" s="41" t="s">
        <v>102</v>
      </c>
      <c r="AD121" s="41" t="s">
        <v>2212</v>
      </c>
      <c r="AE121" s="41" t="s">
        <v>162</v>
      </c>
      <c r="AF121" s="42"/>
      <c r="AH121" s="41" t="s">
        <v>1116</v>
      </c>
      <c r="AI121" s="41" t="s">
        <v>1552</v>
      </c>
      <c r="AJ121" s="41" t="s">
        <v>2175</v>
      </c>
    </row>
    <row r="122" spans="6:36" ht="29" x14ac:dyDescent="0.35">
      <c r="F122" s="40" t="s">
        <v>1989</v>
      </c>
      <c r="G122" s="40" t="s">
        <v>603</v>
      </c>
      <c r="H122" s="41" t="s">
        <v>208</v>
      </c>
      <c r="J122" s="40" t="s">
        <v>701</v>
      </c>
      <c r="O122" s="40" t="s">
        <v>604</v>
      </c>
      <c r="P122" s="41" t="s">
        <v>605</v>
      </c>
      <c r="Q122" s="41" t="s">
        <v>117</v>
      </c>
      <c r="R122" s="41" t="s">
        <v>699</v>
      </c>
      <c r="S122" s="86" t="s">
        <v>104</v>
      </c>
      <c r="T122" s="86">
        <v>45748</v>
      </c>
      <c r="U122" s="40" t="s">
        <v>604</v>
      </c>
      <c r="V122" s="41" t="s">
        <v>605</v>
      </c>
      <c r="W122" s="41" t="s">
        <v>117</v>
      </c>
      <c r="X122" s="41" t="s">
        <v>699</v>
      </c>
      <c r="Y122" s="64">
        <v>45920</v>
      </c>
      <c r="Z122" s="64"/>
      <c r="AA122" s="40" t="s">
        <v>604</v>
      </c>
      <c r="AB122" s="41" t="s">
        <v>605</v>
      </c>
      <c r="AC122" s="41" t="s">
        <v>117</v>
      </c>
      <c r="AD122" s="41" t="s">
        <v>699</v>
      </c>
      <c r="AE122" s="41" t="s">
        <v>162</v>
      </c>
      <c r="AF122" s="42"/>
      <c r="AH122" s="41" t="s">
        <v>1117</v>
      </c>
      <c r="AI122" s="41" t="s">
        <v>1553</v>
      </c>
      <c r="AJ122" s="41" t="s">
        <v>2175</v>
      </c>
    </row>
    <row r="123" spans="6:36" ht="29" x14ac:dyDescent="0.35">
      <c r="F123" s="40" t="s">
        <v>1990</v>
      </c>
      <c r="G123" s="40" t="s">
        <v>603</v>
      </c>
      <c r="H123" s="41" t="s">
        <v>208</v>
      </c>
      <c r="J123" s="40" t="s">
        <v>664</v>
      </c>
      <c r="O123" s="40" t="s">
        <v>604</v>
      </c>
      <c r="P123" s="41" t="s">
        <v>605</v>
      </c>
      <c r="Q123" s="41" t="s">
        <v>117</v>
      </c>
      <c r="R123" s="41" t="s">
        <v>699</v>
      </c>
      <c r="S123" s="86" t="s">
        <v>104</v>
      </c>
      <c r="T123" s="86">
        <v>45748</v>
      </c>
      <c r="U123" s="40" t="s">
        <v>604</v>
      </c>
      <c r="V123" s="41" t="s">
        <v>605</v>
      </c>
      <c r="W123" s="41" t="s">
        <v>117</v>
      </c>
      <c r="X123" s="41" t="s">
        <v>699</v>
      </c>
      <c r="Y123" s="64">
        <v>45920</v>
      </c>
      <c r="Z123" s="64"/>
      <c r="AA123" s="40" t="s">
        <v>604</v>
      </c>
      <c r="AB123" s="41" t="s">
        <v>607</v>
      </c>
      <c r="AC123" s="41" t="s">
        <v>117</v>
      </c>
      <c r="AD123" s="41" t="s">
        <v>700</v>
      </c>
      <c r="AE123" s="41" t="s">
        <v>162</v>
      </c>
      <c r="AF123" s="42"/>
      <c r="AH123" s="41" t="s">
        <v>1118</v>
      </c>
      <c r="AI123" s="41" t="s">
        <v>1554</v>
      </c>
      <c r="AJ123" s="41" t="s">
        <v>2175</v>
      </c>
    </row>
    <row r="124" spans="6:36" ht="29" x14ac:dyDescent="0.35">
      <c r="F124" s="40" t="s">
        <v>1991</v>
      </c>
      <c r="G124" s="40" t="s">
        <v>603</v>
      </c>
      <c r="H124" s="41" t="s">
        <v>208</v>
      </c>
      <c r="J124" s="40" t="s">
        <v>653</v>
      </c>
      <c r="O124" s="40" t="s">
        <v>604</v>
      </c>
      <c r="P124" s="41" t="s">
        <v>605</v>
      </c>
      <c r="Q124" s="41" t="s">
        <v>117</v>
      </c>
      <c r="R124" s="41" t="s">
        <v>699</v>
      </c>
      <c r="S124" s="86" t="s">
        <v>104</v>
      </c>
      <c r="T124" s="86">
        <v>45748</v>
      </c>
      <c r="U124" s="40" t="s">
        <v>604</v>
      </c>
      <c r="V124" s="41" t="s">
        <v>605</v>
      </c>
      <c r="W124" s="41" t="s">
        <v>117</v>
      </c>
      <c r="X124" s="41" t="s">
        <v>699</v>
      </c>
      <c r="Y124" s="64">
        <v>45920</v>
      </c>
      <c r="Z124" s="64"/>
      <c r="AA124" s="40" t="s">
        <v>604</v>
      </c>
      <c r="AB124" s="41" t="s">
        <v>605</v>
      </c>
      <c r="AC124" s="41" t="s">
        <v>117</v>
      </c>
      <c r="AD124" s="41" t="s">
        <v>700</v>
      </c>
      <c r="AE124" s="41" t="s">
        <v>162</v>
      </c>
      <c r="AF124" s="42"/>
      <c r="AH124" s="41" t="s">
        <v>1119</v>
      </c>
      <c r="AI124" s="41" t="s">
        <v>1555</v>
      </c>
      <c r="AJ124" s="41" t="s">
        <v>2175</v>
      </c>
    </row>
    <row r="125" spans="6:36" ht="29" x14ac:dyDescent="0.35">
      <c r="F125" s="40" t="s">
        <v>1992</v>
      </c>
      <c r="G125" s="40" t="s">
        <v>603</v>
      </c>
      <c r="H125" s="41" t="s">
        <v>208</v>
      </c>
      <c r="J125" s="40" t="s">
        <v>678</v>
      </c>
      <c r="O125" s="40" t="s">
        <v>604</v>
      </c>
      <c r="P125" s="41" t="s">
        <v>605</v>
      </c>
      <c r="Q125" s="41" t="s">
        <v>117</v>
      </c>
      <c r="R125" s="41" t="s">
        <v>699</v>
      </c>
      <c r="S125" s="86" t="s">
        <v>104</v>
      </c>
      <c r="T125" s="86">
        <v>45748</v>
      </c>
      <c r="U125" s="40" t="s">
        <v>604</v>
      </c>
      <c r="V125" s="41" t="s">
        <v>605</v>
      </c>
      <c r="W125" s="41" t="s">
        <v>117</v>
      </c>
      <c r="X125" s="41" t="s">
        <v>699</v>
      </c>
      <c r="Y125" s="64">
        <v>45920</v>
      </c>
      <c r="Z125" s="64"/>
      <c r="AA125" s="40" t="s">
        <v>604</v>
      </c>
      <c r="AB125" s="41" t="s">
        <v>607</v>
      </c>
      <c r="AC125" s="41" t="s">
        <v>117</v>
      </c>
      <c r="AD125" s="41" t="s">
        <v>700</v>
      </c>
      <c r="AE125" s="41" t="s">
        <v>162</v>
      </c>
      <c r="AF125" s="42"/>
      <c r="AH125" s="41" t="s">
        <v>1120</v>
      </c>
      <c r="AI125" s="41" t="s">
        <v>1556</v>
      </c>
      <c r="AJ125" s="41" t="s">
        <v>2175</v>
      </c>
    </row>
    <row r="126" spans="6:36" ht="29" x14ac:dyDescent="0.35">
      <c r="F126" s="40" t="s">
        <v>1993</v>
      </c>
      <c r="G126" s="40" t="s">
        <v>603</v>
      </c>
      <c r="H126" s="41" t="s">
        <v>208</v>
      </c>
      <c r="J126" s="40" t="s">
        <v>656</v>
      </c>
      <c r="O126" s="40" t="s">
        <v>604</v>
      </c>
      <c r="P126" s="41" t="s">
        <v>605</v>
      </c>
      <c r="Q126" s="41" t="s">
        <v>117</v>
      </c>
      <c r="R126" s="41" t="s">
        <v>699</v>
      </c>
      <c r="S126" s="86" t="s">
        <v>104</v>
      </c>
      <c r="T126" s="86">
        <v>45748</v>
      </c>
      <c r="U126" s="40" t="s">
        <v>604</v>
      </c>
      <c r="V126" s="41" t="s">
        <v>605</v>
      </c>
      <c r="W126" s="41" t="s">
        <v>117</v>
      </c>
      <c r="X126" s="41" t="s">
        <v>699</v>
      </c>
      <c r="Y126" s="64">
        <v>45920</v>
      </c>
      <c r="Z126" s="64"/>
      <c r="AA126" s="40" t="s">
        <v>604</v>
      </c>
      <c r="AB126" s="41" t="s">
        <v>607</v>
      </c>
      <c r="AC126" s="41" t="s">
        <v>117</v>
      </c>
      <c r="AD126" s="41" t="s">
        <v>700</v>
      </c>
      <c r="AE126" s="41" t="s">
        <v>162</v>
      </c>
      <c r="AF126" s="42"/>
      <c r="AH126" s="41" t="s">
        <v>1121</v>
      </c>
      <c r="AI126" s="41" t="s">
        <v>1557</v>
      </c>
      <c r="AJ126" s="41" t="s">
        <v>2175</v>
      </c>
    </row>
    <row r="127" spans="6:36" ht="29" x14ac:dyDescent="0.35">
      <c r="F127" s="40" t="s">
        <v>1994</v>
      </c>
      <c r="G127" s="40" t="s">
        <v>603</v>
      </c>
      <c r="H127" s="41" t="s">
        <v>208</v>
      </c>
      <c r="J127" s="40" t="s">
        <v>654</v>
      </c>
      <c r="O127" s="40" t="s">
        <v>604</v>
      </c>
      <c r="P127" s="41" t="s">
        <v>605</v>
      </c>
      <c r="Q127" s="41" t="s">
        <v>117</v>
      </c>
      <c r="R127" s="41" t="s">
        <v>699</v>
      </c>
      <c r="S127" s="86" t="s">
        <v>104</v>
      </c>
      <c r="T127" s="86">
        <v>45748</v>
      </c>
      <c r="U127" s="40" t="s">
        <v>604</v>
      </c>
      <c r="V127" s="41" t="s">
        <v>605</v>
      </c>
      <c r="W127" s="41" t="s">
        <v>117</v>
      </c>
      <c r="X127" s="41" t="s">
        <v>699</v>
      </c>
      <c r="Y127" s="64">
        <v>45920</v>
      </c>
      <c r="Z127" s="64"/>
      <c r="AA127" s="40" t="s">
        <v>604</v>
      </c>
      <c r="AB127" s="41" t="s">
        <v>607</v>
      </c>
      <c r="AC127" s="41" t="s">
        <v>117</v>
      </c>
      <c r="AD127" s="41" t="s">
        <v>700</v>
      </c>
      <c r="AE127" s="41" t="s">
        <v>162</v>
      </c>
      <c r="AF127" s="42"/>
      <c r="AH127" s="41" t="s">
        <v>1122</v>
      </c>
      <c r="AI127" s="41" t="s">
        <v>1558</v>
      </c>
      <c r="AJ127" s="41" t="s">
        <v>2175</v>
      </c>
    </row>
    <row r="128" spans="6:36" ht="29" x14ac:dyDescent="0.35">
      <c r="F128" s="40" t="s">
        <v>1995</v>
      </c>
      <c r="G128" s="40" t="s">
        <v>603</v>
      </c>
      <c r="H128" s="41" t="s">
        <v>208</v>
      </c>
      <c r="J128" s="40" t="s">
        <v>654</v>
      </c>
      <c r="O128" s="40" t="s">
        <v>604</v>
      </c>
      <c r="P128" s="41" t="s">
        <v>605</v>
      </c>
      <c r="Q128" s="41" t="s">
        <v>117</v>
      </c>
      <c r="R128" s="41" t="s">
        <v>699</v>
      </c>
      <c r="S128" s="86" t="s">
        <v>104</v>
      </c>
      <c r="T128" s="86">
        <v>45748</v>
      </c>
      <c r="U128" s="40" t="s">
        <v>604</v>
      </c>
      <c r="V128" s="41" t="s">
        <v>605</v>
      </c>
      <c r="W128" s="41" t="s">
        <v>117</v>
      </c>
      <c r="X128" s="41" t="s">
        <v>699</v>
      </c>
      <c r="Y128" s="64">
        <v>45920</v>
      </c>
      <c r="Z128" s="64"/>
      <c r="AA128" s="40" t="s">
        <v>604</v>
      </c>
      <c r="AB128" s="41" t="s">
        <v>607</v>
      </c>
      <c r="AC128" s="41" t="s">
        <v>117</v>
      </c>
      <c r="AD128" s="41" t="s">
        <v>700</v>
      </c>
      <c r="AE128" s="41" t="s">
        <v>162</v>
      </c>
      <c r="AF128" s="42"/>
      <c r="AH128" s="41" t="s">
        <v>1123</v>
      </c>
      <c r="AI128" s="41" t="s">
        <v>1559</v>
      </c>
      <c r="AJ128" s="41" t="s">
        <v>2175</v>
      </c>
    </row>
    <row r="129" spans="6:36" ht="29" x14ac:dyDescent="0.35">
      <c r="F129" s="40" t="s">
        <v>1996</v>
      </c>
      <c r="G129" s="40" t="s">
        <v>603</v>
      </c>
      <c r="H129" s="41" t="s">
        <v>208</v>
      </c>
      <c r="J129" s="40" t="s">
        <v>628</v>
      </c>
      <c r="O129" s="40" t="s">
        <v>604</v>
      </c>
      <c r="P129" s="41" t="s">
        <v>605</v>
      </c>
      <c r="Q129" s="41" t="s">
        <v>117</v>
      </c>
      <c r="R129" s="41" t="s">
        <v>699</v>
      </c>
      <c r="S129" s="86" t="s">
        <v>104</v>
      </c>
      <c r="T129" s="86">
        <v>45748</v>
      </c>
      <c r="U129" s="40" t="s">
        <v>604</v>
      </c>
      <c r="V129" s="41" t="s">
        <v>605</v>
      </c>
      <c r="W129" s="41" t="s">
        <v>117</v>
      </c>
      <c r="X129" s="41" t="s">
        <v>699</v>
      </c>
      <c r="Y129" s="64">
        <v>45920</v>
      </c>
      <c r="Z129" s="64"/>
      <c r="AA129" s="40" t="s">
        <v>604</v>
      </c>
      <c r="AB129" s="41" t="s">
        <v>607</v>
      </c>
      <c r="AC129" s="41" t="s">
        <v>117</v>
      </c>
      <c r="AD129" s="41" t="s">
        <v>700</v>
      </c>
      <c r="AE129" s="41" t="s">
        <v>162</v>
      </c>
      <c r="AF129" s="42"/>
      <c r="AH129" s="41" t="s">
        <v>1124</v>
      </c>
      <c r="AI129" s="41" t="s">
        <v>1560</v>
      </c>
      <c r="AJ129" s="41" t="s">
        <v>2175</v>
      </c>
    </row>
    <row r="130" spans="6:36" ht="29" x14ac:dyDescent="0.35">
      <c r="F130" s="40" t="s">
        <v>1997</v>
      </c>
      <c r="G130" s="40" t="s">
        <v>603</v>
      </c>
      <c r="H130" s="41" t="s">
        <v>208</v>
      </c>
      <c r="J130" s="40" t="s">
        <v>703</v>
      </c>
      <c r="O130" s="40" t="s">
        <v>604</v>
      </c>
      <c r="P130" s="41" t="s">
        <v>605</v>
      </c>
      <c r="Q130" s="41" t="s">
        <v>117</v>
      </c>
      <c r="R130" s="41" t="s">
        <v>699</v>
      </c>
      <c r="S130" s="86" t="s">
        <v>104</v>
      </c>
      <c r="T130" s="86">
        <v>45748</v>
      </c>
      <c r="U130" s="40" t="s">
        <v>604</v>
      </c>
      <c r="V130" s="41" t="s">
        <v>605</v>
      </c>
      <c r="W130" s="41" t="s">
        <v>117</v>
      </c>
      <c r="X130" s="41" t="s">
        <v>699</v>
      </c>
      <c r="Y130" s="64">
        <v>45920</v>
      </c>
      <c r="Z130" s="64"/>
      <c r="AA130" s="40" t="s">
        <v>604</v>
      </c>
      <c r="AB130" s="41" t="s">
        <v>605</v>
      </c>
      <c r="AC130" s="41" t="s">
        <v>117</v>
      </c>
      <c r="AD130" s="41" t="s">
        <v>699</v>
      </c>
      <c r="AE130" s="41" t="s">
        <v>162</v>
      </c>
      <c r="AF130" s="42"/>
      <c r="AH130" s="41" t="s">
        <v>1125</v>
      </c>
      <c r="AI130" s="41" t="s">
        <v>1561</v>
      </c>
      <c r="AJ130" s="41" t="s">
        <v>2175</v>
      </c>
    </row>
    <row r="131" spans="6:36" ht="29" x14ac:dyDescent="0.35">
      <c r="F131" s="40" t="s">
        <v>1998</v>
      </c>
      <c r="G131" s="40" t="s">
        <v>603</v>
      </c>
      <c r="H131" s="41" t="s">
        <v>208</v>
      </c>
      <c r="J131" s="40" t="s">
        <v>658</v>
      </c>
      <c r="O131" s="40" t="s">
        <v>604</v>
      </c>
      <c r="P131" s="41" t="s">
        <v>605</v>
      </c>
      <c r="Q131" s="41" t="s">
        <v>117</v>
      </c>
      <c r="R131" s="41" t="s">
        <v>705</v>
      </c>
      <c r="S131" s="86" t="s">
        <v>104</v>
      </c>
      <c r="T131" s="86">
        <v>45748</v>
      </c>
      <c r="U131" s="40" t="s">
        <v>604</v>
      </c>
      <c r="V131" s="41" t="s">
        <v>605</v>
      </c>
      <c r="W131" s="41" t="s">
        <v>117</v>
      </c>
      <c r="X131" s="41" t="s">
        <v>705</v>
      </c>
      <c r="Y131" s="64">
        <v>45920</v>
      </c>
      <c r="Z131" s="64"/>
      <c r="AA131" s="40" t="s">
        <v>604</v>
      </c>
      <c r="AB131" s="41" t="s">
        <v>607</v>
      </c>
      <c r="AC131" s="41" t="s">
        <v>117</v>
      </c>
      <c r="AD131" s="41" t="s">
        <v>706</v>
      </c>
      <c r="AE131" s="41" t="s">
        <v>162</v>
      </c>
      <c r="AF131" s="42"/>
      <c r="AH131" s="41" t="s">
        <v>1126</v>
      </c>
      <c r="AI131" s="41" t="s">
        <v>1562</v>
      </c>
      <c r="AJ131" s="41" t="s">
        <v>2175</v>
      </c>
    </row>
    <row r="132" spans="6:36" ht="29" x14ac:dyDescent="0.35">
      <c r="F132" s="40" t="s">
        <v>1999</v>
      </c>
      <c r="G132" s="40" t="s">
        <v>603</v>
      </c>
      <c r="H132" s="41" t="s">
        <v>208</v>
      </c>
      <c r="J132" s="40" t="s">
        <v>694</v>
      </c>
      <c r="O132" s="40" t="s">
        <v>604</v>
      </c>
      <c r="P132" s="41" t="s">
        <v>605</v>
      </c>
      <c r="Q132" s="41" t="s">
        <v>117</v>
      </c>
      <c r="R132" s="41" t="s">
        <v>705</v>
      </c>
      <c r="S132" s="86" t="s">
        <v>104</v>
      </c>
      <c r="T132" s="86">
        <v>45748</v>
      </c>
      <c r="U132" s="40" t="s">
        <v>604</v>
      </c>
      <c r="V132" s="41" t="s">
        <v>605</v>
      </c>
      <c r="W132" s="41" t="s">
        <v>117</v>
      </c>
      <c r="X132" s="41" t="s">
        <v>705</v>
      </c>
      <c r="Y132" s="64">
        <v>45920</v>
      </c>
      <c r="Z132" s="64"/>
      <c r="AA132" s="40" t="s">
        <v>604</v>
      </c>
      <c r="AB132" s="41" t="s">
        <v>607</v>
      </c>
      <c r="AC132" s="41" t="s">
        <v>117</v>
      </c>
      <c r="AD132" s="41" t="s">
        <v>706</v>
      </c>
      <c r="AE132" s="41" t="s">
        <v>162</v>
      </c>
      <c r="AF132" s="42"/>
      <c r="AH132" s="41" t="s">
        <v>1127</v>
      </c>
      <c r="AI132" s="41" t="s">
        <v>1563</v>
      </c>
      <c r="AJ132" s="41" t="s">
        <v>2175</v>
      </c>
    </row>
    <row r="133" spans="6:36" ht="29" x14ac:dyDescent="0.35">
      <c r="F133" s="40" t="s">
        <v>2000</v>
      </c>
      <c r="G133" s="40" t="s">
        <v>603</v>
      </c>
      <c r="H133" s="41" t="s">
        <v>208</v>
      </c>
      <c r="J133" s="40" t="s">
        <v>616</v>
      </c>
      <c r="O133" s="40" t="s">
        <v>604</v>
      </c>
      <c r="P133" s="41" t="s">
        <v>605</v>
      </c>
      <c r="Q133" s="41" t="s">
        <v>117</v>
      </c>
      <c r="R133" s="41" t="s">
        <v>705</v>
      </c>
      <c r="S133" s="86" t="s">
        <v>104</v>
      </c>
      <c r="T133" s="86">
        <v>45748</v>
      </c>
      <c r="U133" s="40" t="s">
        <v>604</v>
      </c>
      <c r="V133" s="41" t="s">
        <v>605</v>
      </c>
      <c r="W133" s="41" t="s">
        <v>117</v>
      </c>
      <c r="X133" s="41" t="s">
        <v>705</v>
      </c>
      <c r="Y133" s="64">
        <v>45920</v>
      </c>
      <c r="Z133" s="64"/>
      <c r="AA133" s="40" t="s">
        <v>604</v>
      </c>
      <c r="AB133" s="41" t="s">
        <v>607</v>
      </c>
      <c r="AC133" s="41" t="s">
        <v>117</v>
      </c>
      <c r="AD133" s="41" t="s">
        <v>706</v>
      </c>
      <c r="AE133" s="41" t="s">
        <v>162</v>
      </c>
      <c r="AF133" s="42"/>
      <c r="AH133" s="41" t="s">
        <v>1128</v>
      </c>
      <c r="AI133" s="41" t="s">
        <v>1564</v>
      </c>
      <c r="AJ133" s="41" t="s">
        <v>2175</v>
      </c>
    </row>
    <row r="134" spans="6:36" ht="29" x14ac:dyDescent="0.35">
      <c r="F134" s="40" t="s">
        <v>2001</v>
      </c>
      <c r="G134" s="40" t="s">
        <v>603</v>
      </c>
      <c r="H134" s="41" t="s">
        <v>208</v>
      </c>
      <c r="J134" s="40" t="s">
        <v>608</v>
      </c>
      <c r="O134" s="40" t="s">
        <v>604</v>
      </c>
      <c r="P134" s="41" t="s">
        <v>605</v>
      </c>
      <c r="Q134" s="41" t="s">
        <v>102</v>
      </c>
      <c r="R134" s="41" t="s">
        <v>2212</v>
      </c>
      <c r="S134" s="86" t="s">
        <v>104</v>
      </c>
      <c r="T134" s="86">
        <v>45748</v>
      </c>
      <c r="U134" s="40" t="s">
        <v>604</v>
      </c>
      <c r="V134" s="41" t="s">
        <v>605</v>
      </c>
      <c r="W134" s="41" t="s">
        <v>117</v>
      </c>
      <c r="X134" s="41" t="s">
        <v>705</v>
      </c>
      <c r="Y134" s="64">
        <v>45920</v>
      </c>
      <c r="Z134" s="64"/>
      <c r="AA134" s="40" t="s">
        <v>604</v>
      </c>
      <c r="AB134" s="41" t="s">
        <v>605</v>
      </c>
      <c r="AC134" s="41" t="s">
        <v>102</v>
      </c>
      <c r="AD134" s="41" t="s">
        <v>2212</v>
      </c>
      <c r="AE134" s="41" t="s">
        <v>162</v>
      </c>
      <c r="AF134" s="42"/>
      <c r="AH134" s="41" t="s">
        <v>1129</v>
      </c>
      <c r="AI134" s="41" t="s">
        <v>1565</v>
      </c>
      <c r="AJ134" s="41" t="s">
        <v>2175</v>
      </c>
    </row>
    <row r="135" spans="6:36" ht="29" x14ac:dyDescent="0.35">
      <c r="F135" s="40" t="s">
        <v>2002</v>
      </c>
      <c r="G135" s="40" t="s">
        <v>603</v>
      </c>
      <c r="H135" s="41" t="s">
        <v>208</v>
      </c>
      <c r="J135" s="40" t="s">
        <v>654</v>
      </c>
      <c r="O135" s="40" t="s">
        <v>604</v>
      </c>
      <c r="P135" s="41" t="s">
        <v>605</v>
      </c>
      <c r="Q135" s="41" t="s">
        <v>117</v>
      </c>
      <c r="R135" s="41" t="s">
        <v>705</v>
      </c>
      <c r="S135" s="86" t="s">
        <v>104</v>
      </c>
      <c r="T135" s="86">
        <v>45748</v>
      </c>
      <c r="U135" s="40" t="s">
        <v>604</v>
      </c>
      <c r="V135" s="41" t="s">
        <v>605</v>
      </c>
      <c r="W135" s="41" t="s">
        <v>117</v>
      </c>
      <c r="X135" s="41" t="s">
        <v>705</v>
      </c>
      <c r="Y135" s="64">
        <v>45920</v>
      </c>
      <c r="Z135" s="64"/>
      <c r="AA135" s="40" t="s">
        <v>604</v>
      </c>
      <c r="AB135" s="41" t="s">
        <v>607</v>
      </c>
      <c r="AC135" s="41" t="s">
        <v>117</v>
      </c>
      <c r="AD135" s="41" t="s">
        <v>706</v>
      </c>
      <c r="AE135" s="41" t="s">
        <v>162</v>
      </c>
      <c r="AF135" s="42"/>
      <c r="AH135" s="41" t="s">
        <v>1130</v>
      </c>
      <c r="AI135" s="41" t="s">
        <v>1566</v>
      </c>
      <c r="AJ135" s="41" t="s">
        <v>2175</v>
      </c>
    </row>
    <row r="136" spans="6:36" ht="29" x14ac:dyDescent="0.35">
      <c r="F136" s="40" t="s">
        <v>2003</v>
      </c>
      <c r="G136" s="40" t="s">
        <v>603</v>
      </c>
      <c r="H136" s="41" t="s">
        <v>208</v>
      </c>
      <c r="J136" s="40" t="s">
        <v>656</v>
      </c>
      <c r="O136" s="40" t="s">
        <v>604</v>
      </c>
      <c r="P136" s="41" t="s">
        <v>605</v>
      </c>
      <c r="Q136" s="41" t="s">
        <v>117</v>
      </c>
      <c r="R136" s="41" t="s">
        <v>705</v>
      </c>
      <c r="S136" s="86" t="s">
        <v>104</v>
      </c>
      <c r="T136" s="86">
        <v>45748</v>
      </c>
      <c r="U136" s="40" t="s">
        <v>604</v>
      </c>
      <c r="V136" s="41" t="s">
        <v>605</v>
      </c>
      <c r="W136" s="41" t="s">
        <v>117</v>
      </c>
      <c r="X136" s="41" t="s">
        <v>705</v>
      </c>
      <c r="Y136" s="64">
        <v>45920</v>
      </c>
      <c r="Z136" s="64"/>
      <c r="AA136" s="40" t="s">
        <v>604</v>
      </c>
      <c r="AB136" s="41" t="s">
        <v>607</v>
      </c>
      <c r="AC136" s="41" t="s">
        <v>117</v>
      </c>
      <c r="AD136" s="41" t="s">
        <v>706</v>
      </c>
      <c r="AE136" s="41" t="s">
        <v>162</v>
      </c>
      <c r="AF136" s="42"/>
      <c r="AH136" s="41" t="s">
        <v>1131</v>
      </c>
      <c r="AI136" s="41" t="s">
        <v>1567</v>
      </c>
      <c r="AJ136" s="41" t="s">
        <v>2175</v>
      </c>
    </row>
    <row r="137" spans="6:36" ht="29" x14ac:dyDescent="0.35">
      <c r="F137" s="40" t="s">
        <v>2004</v>
      </c>
      <c r="G137" s="40" t="s">
        <v>603</v>
      </c>
      <c r="H137" s="41" t="s">
        <v>208</v>
      </c>
      <c r="J137" s="40" t="s">
        <v>678</v>
      </c>
      <c r="O137" s="40" t="s">
        <v>604</v>
      </c>
      <c r="P137" s="41" t="s">
        <v>605</v>
      </c>
      <c r="Q137" s="41" t="s">
        <v>117</v>
      </c>
      <c r="R137" s="41" t="s">
        <v>705</v>
      </c>
      <c r="S137" s="86" t="s">
        <v>104</v>
      </c>
      <c r="T137" s="86">
        <v>45748</v>
      </c>
      <c r="U137" s="40" t="s">
        <v>604</v>
      </c>
      <c r="V137" s="41" t="s">
        <v>605</v>
      </c>
      <c r="W137" s="41" t="s">
        <v>117</v>
      </c>
      <c r="X137" s="41" t="s">
        <v>705</v>
      </c>
      <c r="Y137" s="64">
        <v>45920</v>
      </c>
      <c r="Z137" s="64"/>
      <c r="AA137" s="40" t="s">
        <v>604</v>
      </c>
      <c r="AB137" s="41" t="s">
        <v>607</v>
      </c>
      <c r="AC137" s="41" t="s">
        <v>117</v>
      </c>
      <c r="AD137" s="41" t="s">
        <v>706</v>
      </c>
      <c r="AE137" s="41" t="s">
        <v>162</v>
      </c>
      <c r="AF137" s="42"/>
      <c r="AH137" s="41" t="s">
        <v>1132</v>
      </c>
      <c r="AI137" s="41" t="s">
        <v>1568</v>
      </c>
      <c r="AJ137" s="41" t="s">
        <v>2175</v>
      </c>
    </row>
    <row r="138" spans="6:36" ht="29" x14ac:dyDescent="0.35">
      <c r="F138" s="40" t="s">
        <v>2005</v>
      </c>
      <c r="G138" s="40" t="s">
        <v>603</v>
      </c>
      <c r="H138" s="41" t="s">
        <v>208</v>
      </c>
      <c r="J138" s="40" t="s">
        <v>653</v>
      </c>
      <c r="O138" s="40" t="s">
        <v>604</v>
      </c>
      <c r="P138" s="41" t="s">
        <v>605</v>
      </c>
      <c r="Q138" s="41" t="s">
        <v>117</v>
      </c>
      <c r="R138" s="41" t="s">
        <v>705</v>
      </c>
      <c r="S138" s="86" t="s">
        <v>104</v>
      </c>
      <c r="T138" s="86">
        <v>45748</v>
      </c>
      <c r="U138" s="40" t="s">
        <v>604</v>
      </c>
      <c r="V138" s="41" t="s">
        <v>605</v>
      </c>
      <c r="W138" s="41" t="s">
        <v>117</v>
      </c>
      <c r="X138" s="41" t="s">
        <v>705</v>
      </c>
      <c r="Y138" s="64">
        <v>45920</v>
      </c>
      <c r="Z138" s="64"/>
      <c r="AA138" s="40" t="s">
        <v>604</v>
      </c>
      <c r="AB138" s="41" t="s">
        <v>605</v>
      </c>
      <c r="AC138" s="41" t="s">
        <v>117</v>
      </c>
      <c r="AD138" s="41" t="s">
        <v>706</v>
      </c>
      <c r="AE138" s="41" t="s">
        <v>162</v>
      </c>
      <c r="AF138" s="42"/>
      <c r="AH138" s="41" t="s">
        <v>1133</v>
      </c>
      <c r="AI138" s="41" t="s">
        <v>1569</v>
      </c>
      <c r="AJ138" s="41" t="s">
        <v>2175</v>
      </c>
    </row>
    <row r="139" spans="6:36" ht="29" x14ac:dyDescent="0.35">
      <c r="F139" s="40" t="s">
        <v>2006</v>
      </c>
      <c r="G139" s="40" t="s">
        <v>603</v>
      </c>
      <c r="H139" s="41" t="s">
        <v>208</v>
      </c>
      <c r="J139" s="40" t="s">
        <v>655</v>
      </c>
      <c r="O139" s="40" t="s">
        <v>604</v>
      </c>
      <c r="P139" s="41" t="s">
        <v>605</v>
      </c>
      <c r="Q139" s="41" t="s">
        <v>117</v>
      </c>
      <c r="R139" s="41" t="s">
        <v>705</v>
      </c>
      <c r="S139" s="86" t="s">
        <v>104</v>
      </c>
      <c r="T139" s="86">
        <v>45748</v>
      </c>
      <c r="U139" s="40" t="s">
        <v>604</v>
      </c>
      <c r="V139" s="41" t="s">
        <v>605</v>
      </c>
      <c r="W139" s="41" t="s">
        <v>117</v>
      </c>
      <c r="X139" s="41" t="s">
        <v>705</v>
      </c>
      <c r="Y139" s="64">
        <v>45920</v>
      </c>
      <c r="Z139" s="64"/>
      <c r="AA139" s="40" t="s">
        <v>604</v>
      </c>
      <c r="AB139" s="41" t="s">
        <v>607</v>
      </c>
      <c r="AC139" s="41" t="s">
        <v>117</v>
      </c>
      <c r="AD139" s="41" t="s">
        <v>706</v>
      </c>
      <c r="AE139" s="41" t="s">
        <v>162</v>
      </c>
      <c r="AF139" s="42"/>
      <c r="AH139" s="41" t="s">
        <v>1134</v>
      </c>
      <c r="AI139" s="41" t="s">
        <v>1570</v>
      </c>
      <c r="AJ139" s="41" t="s">
        <v>2175</v>
      </c>
    </row>
    <row r="140" spans="6:36" ht="43.5" x14ac:dyDescent="0.35">
      <c r="F140" s="40" t="s">
        <v>2007</v>
      </c>
      <c r="G140" s="40" t="s">
        <v>603</v>
      </c>
      <c r="H140" s="41" t="s">
        <v>208</v>
      </c>
      <c r="J140" s="40" t="s">
        <v>658</v>
      </c>
      <c r="O140" s="40" t="s">
        <v>604</v>
      </c>
      <c r="P140" s="41" t="s">
        <v>605</v>
      </c>
      <c r="Q140" s="41" t="s">
        <v>117</v>
      </c>
      <c r="R140" s="41" t="s">
        <v>707</v>
      </c>
      <c r="S140" s="86" t="s">
        <v>104</v>
      </c>
      <c r="T140" s="86">
        <v>45748</v>
      </c>
      <c r="U140" s="40" t="s">
        <v>604</v>
      </c>
      <c r="V140" s="41" t="s">
        <v>605</v>
      </c>
      <c r="W140" s="41" t="s">
        <v>117</v>
      </c>
      <c r="X140" s="41" t="s">
        <v>707</v>
      </c>
      <c r="Y140" s="64">
        <v>45920</v>
      </c>
      <c r="Z140" s="64"/>
      <c r="AA140" s="40" t="s">
        <v>604</v>
      </c>
      <c r="AB140" s="41" t="s">
        <v>607</v>
      </c>
      <c r="AC140" s="41" t="s">
        <v>117</v>
      </c>
      <c r="AD140" s="41" t="s">
        <v>708</v>
      </c>
      <c r="AE140" s="41" t="s">
        <v>162</v>
      </c>
      <c r="AF140" s="42"/>
      <c r="AH140" s="41" t="s">
        <v>1135</v>
      </c>
      <c r="AI140" s="41" t="s">
        <v>1571</v>
      </c>
      <c r="AJ140" s="41" t="s">
        <v>2175</v>
      </c>
    </row>
    <row r="141" spans="6:36" ht="43.5" x14ac:dyDescent="0.35">
      <c r="F141" s="40" t="s">
        <v>2008</v>
      </c>
      <c r="G141" s="40" t="s">
        <v>603</v>
      </c>
      <c r="H141" s="41" t="s">
        <v>208</v>
      </c>
      <c r="J141" s="40" t="s">
        <v>694</v>
      </c>
      <c r="O141" s="40" t="s">
        <v>604</v>
      </c>
      <c r="P141" s="41" t="s">
        <v>605</v>
      </c>
      <c r="Q141" s="41" t="s">
        <v>117</v>
      </c>
      <c r="R141" s="41" t="s">
        <v>707</v>
      </c>
      <c r="S141" s="86" t="s">
        <v>104</v>
      </c>
      <c r="T141" s="86">
        <v>45748</v>
      </c>
      <c r="U141" s="40" t="s">
        <v>604</v>
      </c>
      <c r="V141" s="41" t="s">
        <v>605</v>
      </c>
      <c r="W141" s="41" t="s">
        <v>117</v>
      </c>
      <c r="X141" s="41" t="s">
        <v>707</v>
      </c>
      <c r="Y141" s="64">
        <v>45920</v>
      </c>
      <c r="Z141" s="64"/>
      <c r="AA141" s="40" t="s">
        <v>604</v>
      </c>
      <c r="AB141" s="41" t="s">
        <v>607</v>
      </c>
      <c r="AC141" s="41" t="s">
        <v>117</v>
      </c>
      <c r="AD141" s="41" t="s">
        <v>708</v>
      </c>
      <c r="AE141" s="41" t="s">
        <v>162</v>
      </c>
      <c r="AF141" s="42"/>
      <c r="AH141" s="41" t="s">
        <v>1136</v>
      </c>
      <c r="AI141" s="41" t="s">
        <v>1572</v>
      </c>
      <c r="AJ141" s="41" t="s">
        <v>2175</v>
      </c>
    </row>
    <row r="142" spans="6:36" ht="43.5" x14ac:dyDescent="0.35">
      <c r="F142" s="40" t="s">
        <v>2009</v>
      </c>
      <c r="G142" s="40" t="s">
        <v>603</v>
      </c>
      <c r="H142" s="41" t="s">
        <v>208</v>
      </c>
      <c r="J142" s="40" t="s">
        <v>616</v>
      </c>
      <c r="O142" s="40" t="s">
        <v>604</v>
      </c>
      <c r="P142" s="41" t="s">
        <v>605</v>
      </c>
      <c r="Q142" s="41" t="s">
        <v>117</v>
      </c>
      <c r="R142" s="41" t="s">
        <v>707</v>
      </c>
      <c r="S142" s="86" t="s">
        <v>104</v>
      </c>
      <c r="T142" s="86">
        <v>45748</v>
      </c>
      <c r="U142" s="40" t="s">
        <v>604</v>
      </c>
      <c r="V142" s="41" t="s">
        <v>605</v>
      </c>
      <c r="W142" s="41" t="s">
        <v>117</v>
      </c>
      <c r="X142" s="41" t="s">
        <v>707</v>
      </c>
      <c r="Y142" s="64">
        <v>45920</v>
      </c>
      <c r="Z142" s="64"/>
      <c r="AA142" s="40" t="s">
        <v>604</v>
      </c>
      <c r="AB142" s="41" t="s">
        <v>607</v>
      </c>
      <c r="AC142" s="41" t="s">
        <v>117</v>
      </c>
      <c r="AD142" s="41" t="s">
        <v>708</v>
      </c>
      <c r="AE142" s="41" t="s">
        <v>162</v>
      </c>
      <c r="AF142" s="42"/>
      <c r="AH142" s="41" t="s">
        <v>1137</v>
      </c>
      <c r="AI142" s="41" t="s">
        <v>1573</v>
      </c>
      <c r="AJ142" s="41" t="s">
        <v>2175</v>
      </c>
    </row>
    <row r="143" spans="6:36" ht="29" x14ac:dyDescent="0.35">
      <c r="F143" s="40" t="s">
        <v>2010</v>
      </c>
      <c r="G143" s="40" t="s">
        <v>603</v>
      </c>
      <c r="H143" s="41" t="s">
        <v>208</v>
      </c>
      <c r="J143" s="40" t="s">
        <v>608</v>
      </c>
      <c r="O143" s="40" t="s">
        <v>604</v>
      </c>
      <c r="P143" s="41" t="s">
        <v>605</v>
      </c>
      <c r="Q143" s="41" t="s">
        <v>102</v>
      </c>
      <c r="R143" s="41" t="s">
        <v>2212</v>
      </c>
      <c r="S143" s="86" t="s">
        <v>104</v>
      </c>
      <c r="T143" s="86">
        <v>45748</v>
      </c>
      <c r="U143" s="40" t="s">
        <v>604</v>
      </c>
      <c r="V143" s="41" t="s">
        <v>605</v>
      </c>
      <c r="W143" s="41" t="s">
        <v>117</v>
      </c>
      <c r="X143" s="41" t="s">
        <v>707</v>
      </c>
      <c r="Y143" s="64">
        <v>45920</v>
      </c>
      <c r="Z143" s="64"/>
      <c r="AA143" s="40" t="s">
        <v>604</v>
      </c>
      <c r="AB143" s="41" t="s">
        <v>605</v>
      </c>
      <c r="AC143" s="41" t="s">
        <v>102</v>
      </c>
      <c r="AD143" s="41" t="s">
        <v>2212</v>
      </c>
      <c r="AE143" s="41" t="s">
        <v>162</v>
      </c>
      <c r="AF143" s="42"/>
      <c r="AH143" s="41" t="s">
        <v>1138</v>
      </c>
      <c r="AI143" s="41" t="s">
        <v>1574</v>
      </c>
      <c r="AJ143" s="41" t="s">
        <v>2175</v>
      </c>
    </row>
    <row r="144" spans="6:36" ht="43.5" x14ac:dyDescent="0.35">
      <c r="F144" s="40" t="s">
        <v>2011</v>
      </c>
      <c r="G144" s="40" t="s">
        <v>603</v>
      </c>
      <c r="H144" s="41" t="s">
        <v>208</v>
      </c>
      <c r="J144" s="40" t="s">
        <v>654</v>
      </c>
      <c r="O144" s="40" t="s">
        <v>604</v>
      </c>
      <c r="P144" s="41" t="s">
        <v>605</v>
      </c>
      <c r="Q144" s="41" t="s">
        <v>117</v>
      </c>
      <c r="R144" s="41" t="s">
        <v>707</v>
      </c>
      <c r="S144" s="86" t="s">
        <v>104</v>
      </c>
      <c r="T144" s="86">
        <v>45748</v>
      </c>
      <c r="U144" s="40" t="s">
        <v>604</v>
      </c>
      <c r="V144" s="41" t="s">
        <v>605</v>
      </c>
      <c r="W144" s="41" t="s">
        <v>117</v>
      </c>
      <c r="X144" s="41" t="s">
        <v>707</v>
      </c>
      <c r="Y144" s="64">
        <v>45920</v>
      </c>
      <c r="Z144" s="64"/>
      <c r="AA144" s="40" t="s">
        <v>604</v>
      </c>
      <c r="AB144" s="41" t="s">
        <v>607</v>
      </c>
      <c r="AC144" s="41" t="s">
        <v>117</v>
      </c>
      <c r="AD144" s="41" t="s">
        <v>708</v>
      </c>
      <c r="AE144" s="41" t="s">
        <v>162</v>
      </c>
      <c r="AF144" s="42"/>
      <c r="AH144" s="41" t="s">
        <v>1139</v>
      </c>
      <c r="AI144" s="41" t="s">
        <v>1575</v>
      </c>
      <c r="AJ144" s="41" t="s">
        <v>2175</v>
      </c>
    </row>
    <row r="145" spans="6:36" ht="43.5" x14ac:dyDescent="0.35">
      <c r="F145" s="40" t="s">
        <v>2012</v>
      </c>
      <c r="G145" s="40" t="s">
        <v>603</v>
      </c>
      <c r="H145" s="41" t="s">
        <v>208</v>
      </c>
      <c r="J145" s="40" t="s">
        <v>656</v>
      </c>
      <c r="O145" s="40" t="s">
        <v>604</v>
      </c>
      <c r="P145" s="41" t="s">
        <v>605</v>
      </c>
      <c r="Q145" s="41" t="s">
        <v>117</v>
      </c>
      <c r="R145" s="41" t="s">
        <v>707</v>
      </c>
      <c r="S145" s="86" t="s">
        <v>104</v>
      </c>
      <c r="T145" s="86">
        <v>45748</v>
      </c>
      <c r="U145" s="40" t="s">
        <v>604</v>
      </c>
      <c r="V145" s="41" t="s">
        <v>605</v>
      </c>
      <c r="W145" s="41" t="s">
        <v>117</v>
      </c>
      <c r="X145" s="41" t="s">
        <v>707</v>
      </c>
      <c r="Y145" s="64">
        <v>45920</v>
      </c>
      <c r="Z145" s="64"/>
      <c r="AA145" s="40" t="s">
        <v>604</v>
      </c>
      <c r="AB145" s="41" t="s">
        <v>607</v>
      </c>
      <c r="AC145" s="41" t="s">
        <v>117</v>
      </c>
      <c r="AD145" s="41" t="s">
        <v>708</v>
      </c>
      <c r="AE145" s="41" t="s">
        <v>162</v>
      </c>
      <c r="AF145" s="42"/>
      <c r="AH145" s="41" t="s">
        <v>1140</v>
      </c>
      <c r="AI145" s="41" t="s">
        <v>1576</v>
      </c>
      <c r="AJ145" s="41" t="s">
        <v>2175</v>
      </c>
    </row>
    <row r="146" spans="6:36" ht="43.5" x14ac:dyDescent="0.35">
      <c r="F146" s="40" t="s">
        <v>2013</v>
      </c>
      <c r="G146" s="40" t="s">
        <v>603</v>
      </c>
      <c r="H146" s="41" t="s">
        <v>208</v>
      </c>
      <c r="J146" s="40" t="s">
        <v>678</v>
      </c>
      <c r="O146" s="40" t="s">
        <v>604</v>
      </c>
      <c r="P146" s="41" t="s">
        <v>605</v>
      </c>
      <c r="Q146" s="41" t="s">
        <v>117</v>
      </c>
      <c r="R146" s="41" t="s">
        <v>707</v>
      </c>
      <c r="S146" s="86" t="s">
        <v>104</v>
      </c>
      <c r="T146" s="86">
        <v>45748</v>
      </c>
      <c r="U146" s="40" t="s">
        <v>604</v>
      </c>
      <c r="V146" s="41" t="s">
        <v>605</v>
      </c>
      <c r="W146" s="41" t="s">
        <v>117</v>
      </c>
      <c r="X146" s="41" t="s">
        <v>707</v>
      </c>
      <c r="Y146" s="64">
        <v>45920</v>
      </c>
      <c r="Z146" s="64"/>
      <c r="AA146" s="40" t="s">
        <v>604</v>
      </c>
      <c r="AB146" s="41" t="s">
        <v>607</v>
      </c>
      <c r="AC146" s="41" t="s">
        <v>117</v>
      </c>
      <c r="AD146" s="41" t="s">
        <v>708</v>
      </c>
      <c r="AE146" s="41" t="s">
        <v>162</v>
      </c>
      <c r="AF146" s="42"/>
      <c r="AH146" s="41" t="s">
        <v>1141</v>
      </c>
      <c r="AI146" s="41" t="s">
        <v>1577</v>
      </c>
      <c r="AJ146" s="41" t="s">
        <v>2175</v>
      </c>
    </row>
    <row r="147" spans="6:36" ht="43.5" x14ac:dyDescent="0.35">
      <c r="F147" s="40" t="s">
        <v>2014</v>
      </c>
      <c r="G147" s="40" t="s">
        <v>603</v>
      </c>
      <c r="H147" s="41" t="s">
        <v>208</v>
      </c>
      <c r="J147" s="40" t="s">
        <v>653</v>
      </c>
      <c r="O147" s="40" t="s">
        <v>604</v>
      </c>
      <c r="P147" s="41" t="s">
        <v>605</v>
      </c>
      <c r="Q147" s="41" t="s">
        <v>117</v>
      </c>
      <c r="R147" s="41" t="s">
        <v>707</v>
      </c>
      <c r="S147" s="86" t="s">
        <v>104</v>
      </c>
      <c r="T147" s="86">
        <v>45748</v>
      </c>
      <c r="U147" s="40" t="s">
        <v>604</v>
      </c>
      <c r="V147" s="41" t="s">
        <v>605</v>
      </c>
      <c r="W147" s="41" t="s">
        <v>117</v>
      </c>
      <c r="X147" s="41" t="s">
        <v>707</v>
      </c>
      <c r="Y147" s="64">
        <v>45920</v>
      </c>
      <c r="Z147" s="64"/>
      <c r="AA147" s="40" t="s">
        <v>604</v>
      </c>
      <c r="AB147" s="41" t="s">
        <v>605</v>
      </c>
      <c r="AC147" s="41" t="s">
        <v>117</v>
      </c>
      <c r="AD147" s="41" t="s">
        <v>708</v>
      </c>
      <c r="AE147" s="41" t="s">
        <v>162</v>
      </c>
      <c r="AF147" s="42"/>
      <c r="AH147" s="41" t="s">
        <v>1142</v>
      </c>
      <c r="AI147" s="41" t="s">
        <v>1578</v>
      </c>
      <c r="AJ147" s="41" t="s">
        <v>2175</v>
      </c>
    </row>
    <row r="148" spans="6:36" ht="43.5" x14ac:dyDescent="0.35">
      <c r="F148" s="40" t="s">
        <v>2015</v>
      </c>
      <c r="G148" s="40" t="s">
        <v>603</v>
      </c>
      <c r="H148" s="41" t="s">
        <v>208</v>
      </c>
      <c r="J148" s="40" t="s">
        <v>709</v>
      </c>
      <c r="O148" s="40" t="s">
        <v>604</v>
      </c>
      <c r="P148" s="41" t="s">
        <v>605</v>
      </c>
      <c r="Q148" s="41" t="s">
        <v>117</v>
      </c>
      <c r="R148" s="41" t="s">
        <v>707</v>
      </c>
      <c r="S148" s="86" t="s">
        <v>104</v>
      </c>
      <c r="T148" s="86">
        <v>45748</v>
      </c>
      <c r="U148" s="40" t="s">
        <v>604</v>
      </c>
      <c r="V148" s="41" t="s">
        <v>605</v>
      </c>
      <c r="W148" s="41" t="s">
        <v>117</v>
      </c>
      <c r="X148" s="41" t="s">
        <v>707</v>
      </c>
      <c r="Y148" s="64">
        <v>45920</v>
      </c>
      <c r="Z148" s="64"/>
      <c r="AA148" s="40" t="s">
        <v>604</v>
      </c>
      <c r="AB148" s="41" t="s">
        <v>607</v>
      </c>
      <c r="AC148" s="41" t="s">
        <v>117</v>
      </c>
      <c r="AD148" s="41" t="s">
        <v>708</v>
      </c>
      <c r="AE148" s="41" t="s">
        <v>162</v>
      </c>
      <c r="AF148" s="42"/>
      <c r="AH148" s="41" t="s">
        <v>1143</v>
      </c>
      <c r="AI148" s="41" t="s">
        <v>1579</v>
      </c>
      <c r="AJ148" s="41" t="s">
        <v>2175</v>
      </c>
    </row>
    <row r="149" spans="6:36" ht="58" x14ac:dyDescent="0.35">
      <c r="F149" s="40" t="s">
        <v>2016</v>
      </c>
      <c r="G149" s="40" t="s">
        <v>603</v>
      </c>
      <c r="H149" s="41" t="s">
        <v>208</v>
      </c>
      <c r="J149" s="40" t="s">
        <v>658</v>
      </c>
      <c r="O149" s="40" t="s">
        <v>604</v>
      </c>
      <c r="P149" s="41" t="s">
        <v>605</v>
      </c>
      <c r="Q149" s="41" t="s">
        <v>117</v>
      </c>
      <c r="R149" s="41" t="s">
        <v>711</v>
      </c>
      <c r="S149" s="86" t="s">
        <v>104</v>
      </c>
      <c r="T149" s="86">
        <v>45748</v>
      </c>
      <c r="U149" s="40" t="s">
        <v>604</v>
      </c>
      <c r="V149" s="41" t="s">
        <v>605</v>
      </c>
      <c r="W149" s="41" t="s">
        <v>117</v>
      </c>
      <c r="X149" s="41" t="s">
        <v>711</v>
      </c>
      <c r="Y149" s="64">
        <v>45920</v>
      </c>
      <c r="Z149" s="64"/>
      <c r="AA149" s="40" t="s">
        <v>604</v>
      </c>
      <c r="AB149" s="41" t="s">
        <v>607</v>
      </c>
      <c r="AC149" s="41" t="s">
        <v>117</v>
      </c>
      <c r="AD149" s="41" t="s">
        <v>712</v>
      </c>
      <c r="AE149" s="41" t="s">
        <v>162</v>
      </c>
      <c r="AF149" s="42"/>
      <c r="AH149" s="41" t="s">
        <v>1144</v>
      </c>
      <c r="AI149" s="41" t="s">
        <v>1580</v>
      </c>
      <c r="AJ149" s="41" t="s">
        <v>2175</v>
      </c>
    </row>
    <row r="150" spans="6:36" ht="58" x14ac:dyDescent="0.35">
      <c r="F150" s="40" t="s">
        <v>2017</v>
      </c>
      <c r="G150" s="40" t="s">
        <v>603</v>
      </c>
      <c r="H150" s="41" t="s">
        <v>208</v>
      </c>
      <c r="J150" s="40" t="s">
        <v>713</v>
      </c>
      <c r="O150" s="40" t="s">
        <v>604</v>
      </c>
      <c r="P150" s="41" t="s">
        <v>605</v>
      </c>
      <c r="Q150" s="41" t="s">
        <v>117</v>
      </c>
      <c r="R150" s="41" t="s">
        <v>711</v>
      </c>
      <c r="S150" s="86" t="s">
        <v>104</v>
      </c>
      <c r="T150" s="86">
        <v>45748</v>
      </c>
      <c r="U150" s="40" t="s">
        <v>604</v>
      </c>
      <c r="V150" s="41" t="s">
        <v>605</v>
      </c>
      <c r="W150" s="41" t="s">
        <v>117</v>
      </c>
      <c r="X150" s="41" t="s">
        <v>711</v>
      </c>
      <c r="Y150" s="64">
        <v>45920</v>
      </c>
      <c r="Z150" s="64"/>
      <c r="AA150" s="40" t="s">
        <v>604</v>
      </c>
      <c r="AB150" s="41" t="s">
        <v>607</v>
      </c>
      <c r="AC150" s="41" t="s">
        <v>117</v>
      </c>
      <c r="AD150" s="41" t="s">
        <v>712</v>
      </c>
      <c r="AE150" s="41" t="s">
        <v>162</v>
      </c>
      <c r="AF150" s="42"/>
      <c r="AH150" s="41" t="s">
        <v>1145</v>
      </c>
      <c r="AI150" s="41" t="s">
        <v>1581</v>
      </c>
      <c r="AJ150" s="41" t="s">
        <v>2175</v>
      </c>
    </row>
    <row r="151" spans="6:36" ht="58" x14ac:dyDescent="0.35">
      <c r="F151" s="40" t="s">
        <v>2018</v>
      </c>
      <c r="G151" s="40" t="s">
        <v>603</v>
      </c>
      <c r="H151" s="41" t="s">
        <v>208</v>
      </c>
      <c r="J151" s="40" t="s">
        <v>654</v>
      </c>
      <c r="O151" s="40" t="s">
        <v>604</v>
      </c>
      <c r="P151" s="41" t="s">
        <v>605</v>
      </c>
      <c r="Q151" s="41" t="s">
        <v>117</v>
      </c>
      <c r="R151" s="41" t="s">
        <v>711</v>
      </c>
      <c r="S151" s="86" t="s">
        <v>104</v>
      </c>
      <c r="T151" s="86">
        <v>45748</v>
      </c>
      <c r="U151" s="40" t="s">
        <v>604</v>
      </c>
      <c r="V151" s="41" t="s">
        <v>605</v>
      </c>
      <c r="W151" s="41" t="s">
        <v>117</v>
      </c>
      <c r="X151" s="41" t="s">
        <v>711</v>
      </c>
      <c r="Y151" s="64">
        <v>45920</v>
      </c>
      <c r="Z151" s="64"/>
      <c r="AA151" s="40" t="s">
        <v>604</v>
      </c>
      <c r="AB151" s="41" t="s">
        <v>607</v>
      </c>
      <c r="AC151" s="41" t="s">
        <v>117</v>
      </c>
      <c r="AD151" s="41" t="s">
        <v>712</v>
      </c>
      <c r="AE151" s="41" t="s">
        <v>162</v>
      </c>
      <c r="AF151" s="42"/>
      <c r="AH151" s="41" t="s">
        <v>1146</v>
      </c>
      <c r="AI151" s="41" t="s">
        <v>1582</v>
      </c>
      <c r="AJ151" s="41" t="s">
        <v>2175</v>
      </c>
    </row>
    <row r="152" spans="6:36" ht="58" x14ac:dyDescent="0.35">
      <c r="F152" s="40" t="s">
        <v>2019</v>
      </c>
      <c r="G152" s="40" t="s">
        <v>603</v>
      </c>
      <c r="H152" s="41" t="s">
        <v>208</v>
      </c>
      <c r="J152" s="40" t="s">
        <v>616</v>
      </c>
      <c r="O152" s="40" t="s">
        <v>604</v>
      </c>
      <c r="P152" s="41" t="s">
        <v>605</v>
      </c>
      <c r="Q152" s="41" t="s">
        <v>117</v>
      </c>
      <c r="R152" s="41" t="s">
        <v>711</v>
      </c>
      <c r="S152" s="86" t="s">
        <v>104</v>
      </c>
      <c r="T152" s="86">
        <v>45748</v>
      </c>
      <c r="U152" s="40" t="s">
        <v>604</v>
      </c>
      <c r="V152" s="41" t="s">
        <v>605</v>
      </c>
      <c r="W152" s="41" t="s">
        <v>117</v>
      </c>
      <c r="X152" s="41" t="s">
        <v>711</v>
      </c>
      <c r="Y152" s="64">
        <v>45920</v>
      </c>
      <c r="Z152" s="64"/>
      <c r="AA152" s="40" t="s">
        <v>604</v>
      </c>
      <c r="AB152" s="41" t="s">
        <v>607</v>
      </c>
      <c r="AC152" s="41" t="s">
        <v>117</v>
      </c>
      <c r="AD152" s="41" t="s">
        <v>712</v>
      </c>
      <c r="AE152" s="41" t="s">
        <v>162</v>
      </c>
      <c r="AF152" s="42"/>
      <c r="AH152" s="41" t="s">
        <v>1147</v>
      </c>
      <c r="AI152" s="41" t="s">
        <v>1583</v>
      </c>
      <c r="AJ152" s="41" t="s">
        <v>2175</v>
      </c>
    </row>
    <row r="153" spans="6:36" ht="29" x14ac:dyDescent="0.35">
      <c r="F153" s="40" t="s">
        <v>2020</v>
      </c>
      <c r="G153" s="40" t="s">
        <v>603</v>
      </c>
      <c r="H153" s="41" t="s">
        <v>208</v>
      </c>
      <c r="J153" s="40" t="s">
        <v>608</v>
      </c>
      <c r="O153" s="40" t="s">
        <v>604</v>
      </c>
      <c r="P153" s="41" t="s">
        <v>605</v>
      </c>
      <c r="Q153" s="41" t="s">
        <v>102</v>
      </c>
      <c r="R153" s="41" t="s">
        <v>2212</v>
      </c>
      <c r="S153" s="86" t="s">
        <v>104</v>
      </c>
      <c r="T153" s="86">
        <v>45748</v>
      </c>
      <c r="U153" s="40" t="s">
        <v>604</v>
      </c>
      <c r="V153" s="41" t="s">
        <v>605</v>
      </c>
      <c r="W153" s="41" t="s">
        <v>117</v>
      </c>
      <c r="X153" s="41" t="s">
        <v>711</v>
      </c>
      <c r="Y153" s="64">
        <v>45920</v>
      </c>
      <c r="Z153" s="64"/>
      <c r="AA153" s="40" t="s">
        <v>604</v>
      </c>
      <c r="AB153" s="41" t="s">
        <v>605</v>
      </c>
      <c r="AC153" s="41" t="s">
        <v>102</v>
      </c>
      <c r="AD153" s="41" t="s">
        <v>2212</v>
      </c>
      <c r="AE153" s="41" t="s">
        <v>162</v>
      </c>
      <c r="AF153" s="42"/>
      <c r="AH153" s="41" t="s">
        <v>1148</v>
      </c>
      <c r="AI153" s="41" t="s">
        <v>1584</v>
      </c>
      <c r="AJ153" s="41" t="s">
        <v>2175</v>
      </c>
    </row>
    <row r="154" spans="6:36" ht="58" x14ac:dyDescent="0.35">
      <c r="F154" s="40" t="s">
        <v>2021</v>
      </c>
      <c r="G154" s="40" t="s">
        <v>603</v>
      </c>
      <c r="H154" s="41" t="s">
        <v>208</v>
      </c>
      <c r="J154" s="40" t="s">
        <v>662</v>
      </c>
      <c r="O154" s="40" t="s">
        <v>604</v>
      </c>
      <c r="P154" s="41" t="s">
        <v>605</v>
      </c>
      <c r="Q154" s="41" t="s">
        <v>117</v>
      </c>
      <c r="R154" s="41" t="s">
        <v>711</v>
      </c>
      <c r="S154" s="86" t="s">
        <v>104</v>
      </c>
      <c r="T154" s="86">
        <v>45748</v>
      </c>
      <c r="U154" s="40" t="s">
        <v>604</v>
      </c>
      <c r="V154" s="41" t="s">
        <v>605</v>
      </c>
      <c r="W154" s="41" t="s">
        <v>117</v>
      </c>
      <c r="X154" s="41" t="s">
        <v>711</v>
      </c>
      <c r="Y154" s="64">
        <v>45920</v>
      </c>
      <c r="Z154" s="64"/>
      <c r="AA154" s="40" t="s">
        <v>604</v>
      </c>
      <c r="AB154" s="41" t="s">
        <v>607</v>
      </c>
      <c r="AC154" s="41" t="s">
        <v>117</v>
      </c>
      <c r="AD154" s="41" t="s">
        <v>712</v>
      </c>
      <c r="AE154" s="41" t="s">
        <v>162</v>
      </c>
      <c r="AF154" s="42"/>
      <c r="AH154" s="41" t="s">
        <v>1149</v>
      </c>
      <c r="AI154" s="41" t="s">
        <v>1585</v>
      </c>
      <c r="AJ154" s="41" t="s">
        <v>2175</v>
      </c>
    </row>
    <row r="155" spans="6:36" ht="58" x14ac:dyDescent="0.35">
      <c r="F155" s="40" t="s">
        <v>2022</v>
      </c>
      <c r="G155" s="40" t="s">
        <v>603</v>
      </c>
      <c r="H155" s="41" t="s">
        <v>208</v>
      </c>
      <c r="J155" s="40" t="s">
        <v>654</v>
      </c>
      <c r="O155" s="40" t="s">
        <v>604</v>
      </c>
      <c r="P155" s="41" t="s">
        <v>605</v>
      </c>
      <c r="Q155" s="41" t="s">
        <v>117</v>
      </c>
      <c r="R155" s="41" t="s">
        <v>711</v>
      </c>
      <c r="S155" s="86" t="s">
        <v>104</v>
      </c>
      <c r="T155" s="86">
        <v>45748</v>
      </c>
      <c r="U155" s="40" t="s">
        <v>604</v>
      </c>
      <c r="V155" s="41" t="s">
        <v>605</v>
      </c>
      <c r="W155" s="41" t="s">
        <v>117</v>
      </c>
      <c r="X155" s="41" t="s">
        <v>711</v>
      </c>
      <c r="Y155" s="64">
        <v>45920</v>
      </c>
      <c r="Z155" s="64"/>
      <c r="AA155" s="40" t="s">
        <v>604</v>
      </c>
      <c r="AB155" s="41" t="s">
        <v>607</v>
      </c>
      <c r="AC155" s="41" t="s">
        <v>117</v>
      </c>
      <c r="AD155" s="41" t="s">
        <v>712</v>
      </c>
      <c r="AE155" s="41" t="s">
        <v>162</v>
      </c>
      <c r="AF155" s="42"/>
      <c r="AH155" s="41" t="s">
        <v>1150</v>
      </c>
      <c r="AI155" s="41" t="s">
        <v>1586</v>
      </c>
      <c r="AJ155" s="41" t="s">
        <v>2175</v>
      </c>
    </row>
    <row r="156" spans="6:36" ht="58" x14ac:dyDescent="0.35">
      <c r="F156" s="40" t="s">
        <v>2023</v>
      </c>
      <c r="G156" s="40" t="s">
        <v>603</v>
      </c>
      <c r="H156" s="41" t="s">
        <v>208</v>
      </c>
      <c r="J156" s="40" t="s">
        <v>715</v>
      </c>
      <c r="O156" s="40" t="s">
        <v>604</v>
      </c>
      <c r="P156" s="41" t="s">
        <v>605</v>
      </c>
      <c r="Q156" s="41" t="s">
        <v>117</v>
      </c>
      <c r="R156" s="41" t="s">
        <v>711</v>
      </c>
      <c r="S156" s="86" t="s">
        <v>104</v>
      </c>
      <c r="T156" s="86">
        <v>45748</v>
      </c>
      <c r="U156" s="40" t="s">
        <v>604</v>
      </c>
      <c r="V156" s="41" t="s">
        <v>605</v>
      </c>
      <c r="W156" s="41" t="s">
        <v>117</v>
      </c>
      <c r="X156" s="41" t="s">
        <v>711</v>
      </c>
      <c r="Y156" s="64">
        <v>45920</v>
      </c>
      <c r="Z156" s="64"/>
      <c r="AA156" s="40" t="s">
        <v>604</v>
      </c>
      <c r="AB156" s="41" t="s">
        <v>607</v>
      </c>
      <c r="AC156" s="41" t="s">
        <v>117</v>
      </c>
      <c r="AD156" s="41" t="s">
        <v>712</v>
      </c>
      <c r="AE156" s="41" t="s">
        <v>162</v>
      </c>
      <c r="AF156" s="42"/>
      <c r="AH156" s="41" t="s">
        <v>1151</v>
      </c>
      <c r="AI156" s="41" t="s">
        <v>1587</v>
      </c>
      <c r="AJ156" s="41" t="s">
        <v>2175</v>
      </c>
    </row>
    <row r="157" spans="6:36" ht="58" x14ac:dyDescent="0.35">
      <c r="F157" s="40" t="s">
        <v>2024</v>
      </c>
      <c r="G157" s="40" t="s">
        <v>603</v>
      </c>
      <c r="H157" s="41" t="s">
        <v>208</v>
      </c>
      <c r="J157" s="40" t="s">
        <v>716</v>
      </c>
      <c r="O157" s="40" t="s">
        <v>604</v>
      </c>
      <c r="P157" s="41" t="s">
        <v>605</v>
      </c>
      <c r="Q157" s="41" t="s">
        <v>117</v>
      </c>
      <c r="R157" s="41" t="s">
        <v>711</v>
      </c>
      <c r="S157" s="86" t="s">
        <v>104</v>
      </c>
      <c r="T157" s="86">
        <v>45748</v>
      </c>
      <c r="U157" s="40" t="s">
        <v>604</v>
      </c>
      <c r="V157" s="41" t="s">
        <v>605</v>
      </c>
      <c r="W157" s="41" t="s">
        <v>117</v>
      </c>
      <c r="X157" s="41" t="s">
        <v>711</v>
      </c>
      <c r="Y157" s="64">
        <v>45920</v>
      </c>
      <c r="Z157" s="64"/>
      <c r="AA157" s="40" t="s">
        <v>604</v>
      </c>
      <c r="AB157" s="41" t="s">
        <v>607</v>
      </c>
      <c r="AC157" s="41" t="s">
        <v>117</v>
      </c>
      <c r="AD157" s="41" t="s">
        <v>712</v>
      </c>
      <c r="AE157" s="41" t="s">
        <v>162</v>
      </c>
      <c r="AF157" s="42"/>
      <c r="AH157" s="41" t="s">
        <v>1152</v>
      </c>
      <c r="AI157" s="41" t="s">
        <v>1588</v>
      </c>
      <c r="AJ157" s="41" t="s">
        <v>2175</v>
      </c>
    </row>
    <row r="158" spans="6:36" ht="58" x14ac:dyDescent="0.35">
      <c r="F158" s="40" t="s">
        <v>2025</v>
      </c>
      <c r="G158" s="40" t="s">
        <v>603</v>
      </c>
      <c r="H158" s="41" t="s">
        <v>208</v>
      </c>
      <c r="J158" s="40" t="s">
        <v>628</v>
      </c>
      <c r="O158" s="40" t="s">
        <v>604</v>
      </c>
      <c r="P158" s="41" t="s">
        <v>605</v>
      </c>
      <c r="Q158" s="41" t="s">
        <v>117</v>
      </c>
      <c r="R158" s="41" t="s">
        <v>711</v>
      </c>
      <c r="S158" s="86" t="s">
        <v>104</v>
      </c>
      <c r="T158" s="86">
        <v>45748</v>
      </c>
      <c r="U158" s="40" t="s">
        <v>604</v>
      </c>
      <c r="V158" s="41" t="s">
        <v>605</v>
      </c>
      <c r="W158" s="41" t="s">
        <v>117</v>
      </c>
      <c r="X158" s="41" t="s">
        <v>711</v>
      </c>
      <c r="Y158" s="64">
        <v>45920</v>
      </c>
      <c r="Z158" s="64"/>
      <c r="AA158" s="40" t="s">
        <v>604</v>
      </c>
      <c r="AB158" s="41" t="s">
        <v>607</v>
      </c>
      <c r="AC158" s="41" t="s">
        <v>117</v>
      </c>
      <c r="AD158" s="41" t="s">
        <v>712</v>
      </c>
      <c r="AE158" s="41" t="s">
        <v>162</v>
      </c>
      <c r="AF158" s="42"/>
      <c r="AH158" s="41" t="s">
        <v>1153</v>
      </c>
      <c r="AI158" s="41" t="s">
        <v>1589</v>
      </c>
      <c r="AJ158" s="41" t="s">
        <v>2175</v>
      </c>
    </row>
    <row r="159" spans="6:36" x14ac:dyDescent="0.35">
      <c r="F159" s="40" t="s">
        <v>2026</v>
      </c>
      <c r="G159" s="40" t="s">
        <v>603</v>
      </c>
      <c r="H159" s="41" t="s">
        <v>208</v>
      </c>
      <c r="J159" s="40" t="s">
        <v>713</v>
      </c>
      <c r="O159" s="40" t="s">
        <v>604</v>
      </c>
      <c r="P159" s="41" t="s">
        <v>605</v>
      </c>
      <c r="Q159" s="41" t="s">
        <v>117</v>
      </c>
      <c r="R159" s="41" t="s">
        <v>717</v>
      </c>
      <c r="S159" s="86" t="s">
        <v>104</v>
      </c>
      <c r="T159" s="86">
        <v>45748</v>
      </c>
      <c r="U159" s="40" t="s">
        <v>604</v>
      </c>
      <c r="V159" s="41" t="s">
        <v>605</v>
      </c>
      <c r="W159" s="41" t="s">
        <v>117</v>
      </c>
      <c r="X159" s="41" t="s">
        <v>2178</v>
      </c>
      <c r="Y159" s="64">
        <v>45920</v>
      </c>
      <c r="Z159" s="64"/>
      <c r="AA159" s="40" t="s">
        <v>604</v>
      </c>
      <c r="AB159" s="41" t="s">
        <v>607</v>
      </c>
      <c r="AC159" s="41" t="s">
        <v>117</v>
      </c>
      <c r="AE159" s="41" t="s">
        <v>162</v>
      </c>
      <c r="AF159" s="42"/>
      <c r="AH159" s="41" t="s">
        <v>1154</v>
      </c>
      <c r="AI159" s="41" t="s">
        <v>1590</v>
      </c>
      <c r="AJ159" s="41" t="s">
        <v>2175</v>
      </c>
    </row>
    <row r="160" spans="6:36" x14ac:dyDescent="0.35">
      <c r="F160" s="40" t="s">
        <v>2027</v>
      </c>
      <c r="G160" s="40" t="s">
        <v>603</v>
      </c>
      <c r="H160" s="41" t="s">
        <v>208</v>
      </c>
      <c r="J160" s="40" t="s">
        <v>616</v>
      </c>
      <c r="O160" s="40" t="s">
        <v>604</v>
      </c>
      <c r="P160" s="41" t="s">
        <v>605</v>
      </c>
      <c r="Q160" s="41" t="s">
        <v>117</v>
      </c>
      <c r="R160" s="41" t="s">
        <v>717</v>
      </c>
      <c r="S160" s="86" t="s">
        <v>104</v>
      </c>
      <c r="T160" s="86">
        <v>45748</v>
      </c>
      <c r="U160" s="40" t="s">
        <v>604</v>
      </c>
      <c r="V160" s="41" t="s">
        <v>605</v>
      </c>
      <c r="W160" s="41" t="s">
        <v>117</v>
      </c>
      <c r="X160" s="41" t="s">
        <v>2178</v>
      </c>
      <c r="Y160" s="64">
        <v>45920</v>
      </c>
      <c r="Z160" s="64"/>
      <c r="AA160" s="40" t="s">
        <v>604</v>
      </c>
      <c r="AB160" s="41" t="s">
        <v>607</v>
      </c>
      <c r="AC160" s="41" t="s">
        <v>117</v>
      </c>
      <c r="AE160" s="41" t="s">
        <v>162</v>
      </c>
      <c r="AF160" s="42"/>
      <c r="AH160" s="41" t="s">
        <v>1155</v>
      </c>
      <c r="AI160" s="41" t="s">
        <v>1591</v>
      </c>
      <c r="AJ160" s="41" t="s">
        <v>2175</v>
      </c>
    </row>
    <row r="161" spans="6:36" x14ac:dyDescent="0.35">
      <c r="F161" s="40" t="s">
        <v>2028</v>
      </c>
      <c r="G161" s="40" t="s">
        <v>603</v>
      </c>
      <c r="H161" s="41" t="s">
        <v>208</v>
      </c>
      <c r="J161" s="40" t="s">
        <v>654</v>
      </c>
      <c r="O161" s="40" t="s">
        <v>604</v>
      </c>
      <c r="P161" s="41" t="s">
        <v>605</v>
      </c>
      <c r="Q161" s="41" t="s">
        <v>117</v>
      </c>
      <c r="R161" s="41" t="s">
        <v>717</v>
      </c>
      <c r="S161" s="86" t="s">
        <v>104</v>
      </c>
      <c r="T161" s="86">
        <v>45748</v>
      </c>
      <c r="U161" s="40" t="s">
        <v>604</v>
      </c>
      <c r="V161" s="41" t="s">
        <v>605</v>
      </c>
      <c r="W161" s="41" t="s">
        <v>117</v>
      </c>
      <c r="X161" s="41" t="s">
        <v>2178</v>
      </c>
      <c r="Y161" s="64">
        <v>45920</v>
      </c>
      <c r="Z161" s="64"/>
      <c r="AA161" s="40" t="s">
        <v>604</v>
      </c>
      <c r="AB161" s="41" t="s">
        <v>607</v>
      </c>
      <c r="AC161" s="41" t="s">
        <v>117</v>
      </c>
      <c r="AE161" s="41" t="s">
        <v>162</v>
      </c>
      <c r="AF161" s="42"/>
      <c r="AH161" s="41" t="s">
        <v>1156</v>
      </c>
      <c r="AI161" s="41" t="s">
        <v>1592</v>
      </c>
      <c r="AJ161" s="41" t="s">
        <v>2175</v>
      </c>
    </row>
    <row r="162" spans="6:36" ht="29" x14ac:dyDescent="0.35">
      <c r="F162" s="40" t="s">
        <v>2029</v>
      </c>
      <c r="G162" s="40" t="s">
        <v>603</v>
      </c>
      <c r="H162" s="41" t="s">
        <v>208</v>
      </c>
      <c r="J162" s="40" t="s">
        <v>718</v>
      </c>
      <c r="O162" s="40" t="s">
        <v>604</v>
      </c>
      <c r="P162" s="41" t="s">
        <v>605</v>
      </c>
      <c r="Q162" s="41" t="s">
        <v>121</v>
      </c>
      <c r="R162" s="41" t="s">
        <v>720</v>
      </c>
      <c r="S162" s="86" t="s">
        <v>104</v>
      </c>
      <c r="T162" s="86">
        <v>45748</v>
      </c>
      <c r="U162" s="40" t="s">
        <v>604</v>
      </c>
      <c r="V162" s="41" t="s">
        <v>605</v>
      </c>
      <c r="W162" s="41" t="s">
        <v>121</v>
      </c>
      <c r="X162" s="41" t="s">
        <v>720</v>
      </c>
      <c r="Y162" s="64">
        <v>45920</v>
      </c>
      <c r="Z162" s="64"/>
      <c r="AA162" s="40" t="s">
        <v>604</v>
      </c>
      <c r="AB162" s="41" t="s">
        <v>607</v>
      </c>
      <c r="AC162" s="41" t="s">
        <v>121</v>
      </c>
      <c r="AD162" s="41" t="s">
        <v>721</v>
      </c>
      <c r="AE162" s="41" t="s">
        <v>162</v>
      </c>
      <c r="AF162" s="42"/>
      <c r="AH162" s="41" t="s">
        <v>1157</v>
      </c>
      <c r="AI162" s="41" t="s">
        <v>1593</v>
      </c>
      <c r="AJ162" s="41" t="s">
        <v>2175</v>
      </c>
    </row>
    <row r="163" spans="6:36" ht="29" x14ac:dyDescent="0.35">
      <c r="F163" s="40" t="s">
        <v>2030</v>
      </c>
      <c r="G163" s="40" t="s">
        <v>603</v>
      </c>
      <c r="H163" s="41" t="s">
        <v>208</v>
      </c>
      <c r="J163" s="40" t="s">
        <v>616</v>
      </c>
      <c r="O163" s="40" t="s">
        <v>604</v>
      </c>
      <c r="P163" s="41" t="s">
        <v>605</v>
      </c>
      <c r="Q163" s="41" t="s">
        <v>121</v>
      </c>
      <c r="R163" s="41" t="s">
        <v>720</v>
      </c>
      <c r="S163" s="86" t="s">
        <v>104</v>
      </c>
      <c r="T163" s="86">
        <v>45748</v>
      </c>
      <c r="U163" s="40" t="s">
        <v>604</v>
      </c>
      <c r="V163" s="41" t="s">
        <v>605</v>
      </c>
      <c r="W163" s="41" t="s">
        <v>121</v>
      </c>
      <c r="X163" s="41" t="s">
        <v>720</v>
      </c>
      <c r="Y163" s="64">
        <v>45920</v>
      </c>
      <c r="Z163" s="64"/>
      <c r="AA163" s="40" t="s">
        <v>604</v>
      </c>
      <c r="AB163" s="41" t="s">
        <v>607</v>
      </c>
      <c r="AC163" s="41" t="s">
        <v>121</v>
      </c>
      <c r="AD163" s="41" t="s">
        <v>721</v>
      </c>
      <c r="AE163" s="41" t="s">
        <v>162</v>
      </c>
      <c r="AF163" s="42"/>
      <c r="AH163" s="41" t="s">
        <v>1158</v>
      </c>
      <c r="AI163" s="41" t="s">
        <v>1594</v>
      </c>
      <c r="AJ163" s="41" t="s">
        <v>2175</v>
      </c>
    </row>
    <row r="164" spans="6:36" ht="29" x14ac:dyDescent="0.35">
      <c r="F164" s="40" t="s">
        <v>2031</v>
      </c>
      <c r="G164" s="40" t="s">
        <v>603</v>
      </c>
      <c r="H164" s="41" t="s">
        <v>208</v>
      </c>
      <c r="J164" s="40" t="s">
        <v>722</v>
      </c>
      <c r="O164" s="40" t="s">
        <v>604</v>
      </c>
      <c r="P164" s="41" t="s">
        <v>605</v>
      </c>
      <c r="Q164" s="41" t="s">
        <v>121</v>
      </c>
      <c r="R164" s="41" t="s">
        <v>720</v>
      </c>
      <c r="S164" s="86" t="s">
        <v>104</v>
      </c>
      <c r="T164" s="86">
        <v>45748</v>
      </c>
      <c r="U164" s="40" t="s">
        <v>604</v>
      </c>
      <c r="V164" s="41" t="s">
        <v>605</v>
      </c>
      <c r="W164" s="41" t="s">
        <v>121</v>
      </c>
      <c r="X164" s="41" t="s">
        <v>720</v>
      </c>
      <c r="Y164" s="64">
        <v>45920</v>
      </c>
      <c r="Z164" s="64"/>
      <c r="AA164" s="40" t="s">
        <v>604</v>
      </c>
      <c r="AB164" s="41" t="s">
        <v>607</v>
      </c>
      <c r="AC164" s="41" t="s">
        <v>121</v>
      </c>
      <c r="AD164" s="41" t="s">
        <v>721</v>
      </c>
      <c r="AE164" s="41" t="s">
        <v>162</v>
      </c>
      <c r="AF164" s="42"/>
      <c r="AH164" s="41" t="s">
        <v>1159</v>
      </c>
      <c r="AI164" s="41" t="s">
        <v>1595</v>
      </c>
      <c r="AJ164" s="41" t="s">
        <v>2175</v>
      </c>
    </row>
    <row r="165" spans="6:36" ht="29" x14ac:dyDescent="0.35">
      <c r="F165" s="40" t="s">
        <v>2032</v>
      </c>
      <c r="G165" s="40" t="s">
        <v>603</v>
      </c>
      <c r="H165" s="41" t="s">
        <v>208</v>
      </c>
      <c r="J165" s="40" t="s">
        <v>724</v>
      </c>
      <c r="O165" s="40" t="s">
        <v>604</v>
      </c>
      <c r="P165" s="41" t="s">
        <v>605</v>
      </c>
      <c r="Q165" s="41" t="s">
        <v>121</v>
      </c>
      <c r="R165" s="41" t="s">
        <v>720</v>
      </c>
      <c r="S165" s="86" t="s">
        <v>104</v>
      </c>
      <c r="T165" s="86">
        <v>45748</v>
      </c>
      <c r="U165" s="40" t="s">
        <v>604</v>
      </c>
      <c r="V165" s="41" t="s">
        <v>605</v>
      </c>
      <c r="W165" s="41" t="s">
        <v>121</v>
      </c>
      <c r="X165" s="41" t="s">
        <v>720</v>
      </c>
      <c r="Y165" s="64">
        <v>45920</v>
      </c>
      <c r="Z165" s="64"/>
      <c r="AA165" s="40" t="s">
        <v>604</v>
      </c>
      <c r="AB165" s="41" t="s">
        <v>607</v>
      </c>
      <c r="AC165" s="41" t="s">
        <v>121</v>
      </c>
      <c r="AD165" s="41" t="s">
        <v>721</v>
      </c>
      <c r="AE165" s="41" t="s">
        <v>162</v>
      </c>
      <c r="AF165" s="42"/>
      <c r="AH165" s="41" t="s">
        <v>1160</v>
      </c>
      <c r="AI165" s="41" t="s">
        <v>1596</v>
      </c>
      <c r="AJ165" s="41" t="s">
        <v>2175</v>
      </c>
    </row>
    <row r="166" spans="6:36" ht="29" x14ac:dyDescent="0.35">
      <c r="F166" s="40" t="s">
        <v>2033</v>
      </c>
      <c r="G166" s="40" t="s">
        <v>603</v>
      </c>
      <c r="H166" s="41" t="s">
        <v>208</v>
      </c>
      <c r="J166" s="40" t="s">
        <v>725</v>
      </c>
      <c r="O166" s="40" t="s">
        <v>604</v>
      </c>
      <c r="P166" s="41" t="s">
        <v>605</v>
      </c>
      <c r="Q166" s="41" t="s">
        <v>121</v>
      </c>
      <c r="R166" s="41" t="s">
        <v>720</v>
      </c>
      <c r="S166" s="86" t="s">
        <v>104</v>
      </c>
      <c r="T166" s="86">
        <v>45748</v>
      </c>
      <c r="U166" s="40" t="s">
        <v>604</v>
      </c>
      <c r="V166" s="41" t="s">
        <v>605</v>
      </c>
      <c r="W166" s="41" t="s">
        <v>121</v>
      </c>
      <c r="X166" s="41" t="s">
        <v>720</v>
      </c>
      <c r="Y166" s="64">
        <v>45920</v>
      </c>
      <c r="Z166" s="64"/>
      <c r="AA166" s="40" t="s">
        <v>604</v>
      </c>
      <c r="AB166" s="41" t="s">
        <v>607</v>
      </c>
      <c r="AC166" s="41" t="s">
        <v>121</v>
      </c>
      <c r="AD166" s="41" t="s">
        <v>721</v>
      </c>
      <c r="AE166" s="41" t="s">
        <v>162</v>
      </c>
      <c r="AF166" s="42"/>
      <c r="AH166" s="41" t="s">
        <v>1161</v>
      </c>
      <c r="AI166" s="41" t="s">
        <v>1597</v>
      </c>
      <c r="AJ166" s="41" t="s">
        <v>2175</v>
      </c>
    </row>
    <row r="167" spans="6:36" ht="29" x14ac:dyDescent="0.35">
      <c r="F167" s="40" t="s">
        <v>2034</v>
      </c>
      <c r="G167" s="40" t="s">
        <v>603</v>
      </c>
      <c r="H167" s="41" t="s">
        <v>208</v>
      </c>
      <c r="J167" s="40" t="s">
        <v>727</v>
      </c>
      <c r="O167" s="40" t="s">
        <v>604</v>
      </c>
      <c r="P167" s="41" t="s">
        <v>605</v>
      </c>
      <c r="Q167" s="41" t="s">
        <v>121</v>
      </c>
      <c r="R167" s="41" t="s">
        <v>720</v>
      </c>
      <c r="S167" s="86" t="s">
        <v>104</v>
      </c>
      <c r="T167" s="86">
        <v>45748</v>
      </c>
      <c r="U167" s="40" t="s">
        <v>604</v>
      </c>
      <c r="V167" s="41" t="s">
        <v>605</v>
      </c>
      <c r="W167" s="41" t="s">
        <v>121</v>
      </c>
      <c r="X167" s="41" t="s">
        <v>720</v>
      </c>
      <c r="Y167" s="64">
        <v>45920</v>
      </c>
      <c r="Z167" s="64"/>
      <c r="AA167" s="40" t="s">
        <v>604</v>
      </c>
      <c r="AB167" s="41" t="s">
        <v>607</v>
      </c>
      <c r="AC167" s="41" t="s">
        <v>121</v>
      </c>
      <c r="AD167" s="41" t="s">
        <v>721</v>
      </c>
      <c r="AE167" s="41" t="s">
        <v>162</v>
      </c>
      <c r="AF167" s="42"/>
      <c r="AH167" s="41" t="s">
        <v>1162</v>
      </c>
      <c r="AI167" s="41" t="s">
        <v>1598</v>
      </c>
      <c r="AJ167" s="41" t="s">
        <v>2175</v>
      </c>
    </row>
    <row r="168" spans="6:36" ht="29" x14ac:dyDescent="0.35">
      <c r="F168" s="40" t="s">
        <v>2035</v>
      </c>
      <c r="G168" s="40" t="s">
        <v>603</v>
      </c>
      <c r="H168" s="41" t="s">
        <v>208</v>
      </c>
      <c r="J168" s="40" t="s">
        <v>729</v>
      </c>
      <c r="O168" s="40" t="s">
        <v>604</v>
      </c>
      <c r="P168" s="41" t="s">
        <v>605</v>
      </c>
      <c r="Q168" s="41" t="s">
        <v>121</v>
      </c>
      <c r="R168" s="41" t="s">
        <v>720</v>
      </c>
      <c r="S168" s="86" t="s">
        <v>104</v>
      </c>
      <c r="T168" s="86">
        <v>45748</v>
      </c>
      <c r="U168" s="40" t="s">
        <v>604</v>
      </c>
      <c r="V168" s="41" t="s">
        <v>605</v>
      </c>
      <c r="W168" s="41" t="s">
        <v>121</v>
      </c>
      <c r="X168" s="41" t="s">
        <v>720</v>
      </c>
      <c r="Y168" s="64">
        <v>45920</v>
      </c>
      <c r="Z168" s="64"/>
      <c r="AA168" s="40" t="s">
        <v>604</v>
      </c>
      <c r="AB168" s="41" t="s">
        <v>607</v>
      </c>
      <c r="AC168" s="41" t="s">
        <v>121</v>
      </c>
      <c r="AD168" s="41" t="s">
        <v>721</v>
      </c>
      <c r="AE168" s="41" t="s">
        <v>162</v>
      </c>
      <c r="AF168" s="42"/>
      <c r="AH168" s="41" t="s">
        <v>1163</v>
      </c>
      <c r="AI168" s="41" t="s">
        <v>1599</v>
      </c>
      <c r="AJ168" s="41" t="s">
        <v>2175</v>
      </c>
    </row>
    <row r="169" spans="6:36" ht="29" x14ac:dyDescent="0.35">
      <c r="F169" s="40" t="s">
        <v>2036</v>
      </c>
      <c r="G169" s="40" t="s">
        <v>603</v>
      </c>
      <c r="H169" s="41" t="s">
        <v>208</v>
      </c>
      <c r="J169" s="40" t="s">
        <v>730</v>
      </c>
      <c r="O169" s="40" t="s">
        <v>604</v>
      </c>
      <c r="P169" s="41" t="s">
        <v>605</v>
      </c>
      <c r="Q169" s="41" t="s">
        <v>121</v>
      </c>
      <c r="R169" s="41" t="s">
        <v>720</v>
      </c>
      <c r="S169" s="86" t="s">
        <v>104</v>
      </c>
      <c r="T169" s="86">
        <v>45748</v>
      </c>
      <c r="U169" s="40" t="s">
        <v>604</v>
      </c>
      <c r="V169" s="41" t="s">
        <v>605</v>
      </c>
      <c r="W169" s="41" t="s">
        <v>121</v>
      </c>
      <c r="X169" s="41" t="s">
        <v>720</v>
      </c>
      <c r="Y169" s="64">
        <v>45920</v>
      </c>
      <c r="Z169" s="64"/>
      <c r="AA169" s="40" t="s">
        <v>604</v>
      </c>
      <c r="AB169" s="41" t="s">
        <v>607</v>
      </c>
      <c r="AC169" s="41" t="s">
        <v>121</v>
      </c>
      <c r="AD169" s="41" t="s">
        <v>721</v>
      </c>
      <c r="AE169" s="41" t="s">
        <v>162</v>
      </c>
      <c r="AF169" s="42"/>
      <c r="AH169" s="41" t="s">
        <v>1164</v>
      </c>
      <c r="AI169" s="41" t="s">
        <v>1600</v>
      </c>
      <c r="AJ169" s="41" t="s">
        <v>2175</v>
      </c>
    </row>
    <row r="170" spans="6:36" ht="29" x14ac:dyDescent="0.35">
      <c r="F170" s="40" t="s">
        <v>2037</v>
      </c>
      <c r="G170" s="40" t="s">
        <v>603</v>
      </c>
      <c r="H170" s="41" t="s">
        <v>208</v>
      </c>
      <c r="J170" s="40" t="s">
        <v>666</v>
      </c>
      <c r="O170" s="40" t="s">
        <v>604</v>
      </c>
      <c r="P170" s="41" t="s">
        <v>605</v>
      </c>
      <c r="Q170" s="41" t="s">
        <v>121</v>
      </c>
      <c r="R170" s="41" t="s">
        <v>720</v>
      </c>
      <c r="S170" s="86" t="s">
        <v>104</v>
      </c>
      <c r="T170" s="86">
        <v>45748</v>
      </c>
      <c r="U170" s="40" t="s">
        <v>604</v>
      </c>
      <c r="V170" s="41" t="s">
        <v>605</v>
      </c>
      <c r="W170" s="41" t="s">
        <v>121</v>
      </c>
      <c r="X170" s="41" t="s">
        <v>720</v>
      </c>
      <c r="Y170" s="64">
        <v>45920</v>
      </c>
      <c r="Z170" s="64"/>
      <c r="AA170" s="40" t="s">
        <v>604</v>
      </c>
      <c r="AB170" s="41" t="s">
        <v>607</v>
      </c>
      <c r="AC170" s="41" t="s">
        <v>121</v>
      </c>
      <c r="AD170" s="41" t="s">
        <v>721</v>
      </c>
      <c r="AE170" s="41" t="s">
        <v>162</v>
      </c>
      <c r="AF170" s="42"/>
      <c r="AH170" s="41" t="s">
        <v>1165</v>
      </c>
      <c r="AI170" s="41" t="s">
        <v>1601</v>
      </c>
      <c r="AJ170" s="41" t="s">
        <v>2175</v>
      </c>
    </row>
    <row r="171" spans="6:36" ht="29" x14ac:dyDescent="0.35">
      <c r="F171" s="40" t="s">
        <v>2038</v>
      </c>
      <c r="G171" s="40" t="s">
        <v>603</v>
      </c>
      <c r="H171" s="41" t="s">
        <v>208</v>
      </c>
      <c r="J171" s="40" t="s">
        <v>731</v>
      </c>
      <c r="O171" s="40" t="s">
        <v>604</v>
      </c>
      <c r="P171" s="41" t="s">
        <v>605</v>
      </c>
      <c r="Q171" s="41" t="s">
        <v>121</v>
      </c>
      <c r="R171" s="41" t="s">
        <v>720</v>
      </c>
      <c r="S171" s="86" t="s">
        <v>104</v>
      </c>
      <c r="T171" s="86">
        <v>45748</v>
      </c>
      <c r="U171" s="40" t="s">
        <v>604</v>
      </c>
      <c r="V171" s="41" t="s">
        <v>605</v>
      </c>
      <c r="W171" s="41" t="s">
        <v>121</v>
      </c>
      <c r="X171" s="41" t="s">
        <v>720</v>
      </c>
      <c r="Y171" s="64">
        <v>45920</v>
      </c>
      <c r="Z171" s="64"/>
      <c r="AA171" s="40" t="s">
        <v>604</v>
      </c>
      <c r="AB171" s="41" t="s">
        <v>607</v>
      </c>
      <c r="AC171" s="41" t="s">
        <v>121</v>
      </c>
      <c r="AD171" s="41" t="s">
        <v>721</v>
      </c>
      <c r="AE171" s="41" t="s">
        <v>162</v>
      </c>
      <c r="AF171" s="42"/>
      <c r="AH171" s="41" t="s">
        <v>1166</v>
      </c>
      <c r="AI171" s="41" t="s">
        <v>1602</v>
      </c>
      <c r="AJ171" s="41" t="s">
        <v>2175</v>
      </c>
    </row>
    <row r="172" spans="6:36" ht="29" x14ac:dyDescent="0.35">
      <c r="F172" s="40" t="s">
        <v>2039</v>
      </c>
      <c r="G172" s="40" t="s">
        <v>603</v>
      </c>
      <c r="H172" s="41" t="s">
        <v>208</v>
      </c>
      <c r="J172" s="40" t="s">
        <v>732</v>
      </c>
      <c r="O172" s="40" t="s">
        <v>604</v>
      </c>
      <c r="P172" s="41" t="s">
        <v>605</v>
      </c>
      <c r="Q172" s="41" t="s">
        <v>121</v>
      </c>
      <c r="R172" s="41" t="s">
        <v>720</v>
      </c>
      <c r="S172" s="86" t="s">
        <v>104</v>
      </c>
      <c r="T172" s="86">
        <v>45748</v>
      </c>
      <c r="U172" s="40" t="s">
        <v>604</v>
      </c>
      <c r="V172" s="41" t="s">
        <v>605</v>
      </c>
      <c r="W172" s="41" t="s">
        <v>121</v>
      </c>
      <c r="X172" s="41" t="s">
        <v>720</v>
      </c>
      <c r="Y172" s="64">
        <v>45920</v>
      </c>
      <c r="Z172" s="64"/>
      <c r="AA172" s="40" t="s">
        <v>604</v>
      </c>
      <c r="AB172" s="41" t="s">
        <v>607</v>
      </c>
      <c r="AC172" s="41" t="s">
        <v>121</v>
      </c>
      <c r="AD172" s="41" t="s">
        <v>721</v>
      </c>
      <c r="AE172" s="41" t="s">
        <v>162</v>
      </c>
      <c r="AF172" s="42"/>
      <c r="AH172" s="41" t="s">
        <v>1167</v>
      </c>
      <c r="AI172" s="41" t="s">
        <v>1603</v>
      </c>
      <c r="AJ172" s="41" t="s">
        <v>2175</v>
      </c>
    </row>
    <row r="173" spans="6:36" ht="29" x14ac:dyDescent="0.35">
      <c r="F173" s="40" t="s">
        <v>2040</v>
      </c>
      <c r="G173" s="40" t="s">
        <v>603</v>
      </c>
      <c r="H173" s="41" t="s">
        <v>208</v>
      </c>
      <c r="J173" s="40" t="s">
        <v>733</v>
      </c>
      <c r="O173" s="40" t="s">
        <v>604</v>
      </c>
      <c r="P173" s="41" t="s">
        <v>605</v>
      </c>
      <c r="Q173" s="41" t="s">
        <v>121</v>
      </c>
      <c r="R173" s="41" t="s">
        <v>720</v>
      </c>
      <c r="S173" s="86" t="s">
        <v>104</v>
      </c>
      <c r="T173" s="86">
        <v>45748</v>
      </c>
      <c r="U173" s="40" t="s">
        <v>604</v>
      </c>
      <c r="V173" s="41" t="s">
        <v>605</v>
      </c>
      <c r="W173" s="41" t="s">
        <v>121</v>
      </c>
      <c r="X173" s="41" t="s">
        <v>720</v>
      </c>
      <c r="Y173" s="64">
        <v>45920</v>
      </c>
      <c r="Z173" s="64"/>
      <c r="AA173" s="40" t="s">
        <v>604</v>
      </c>
      <c r="AB173" s="41" t="s">
        <v>607</v>
      </c>
      <c r="AC173" s="41" t="s">
        <v>121</v>
      </c>
      <c r="AD173" s="41" t="s">
        <v>721</v>
      </c>
      <c r="AE173" s="41" t="s">
        <v>162</v>
      </c>
      <c r="AF173" s="42"/>
      <c r="AH173" s="41" t="s">
        <v>1168</v>
      </c>
      <c r="AI173" s="41" t="s">
        <v>1604</v>
      </c>
      <c r="AJ173" s="41" t="s">
        <v>2175</v>
      </c>
    </row>
    <row r="174" spans="6:36" ht="29" x14ac:dyDescent="0.35">
      <c r="F174" s="40" t="s">
        <v>2041</v>
      </c>
      <c r="G174" s="40" t="s">
        <v>603</v>
      </c>
      <c r="H174" s="41" t="s">
        <v>208</v>
      </c>
      <c r="J174" s="40" t="s">
        <v>734</v>
      </c>
      <c r="O174" s="40" t="s">
        <v>604</v>
      </c>
      <c r="P174" s="41" t="s">
        <v>605</v>
      </c>
      <c r="Q174" s="41" t="s">
        <v>121</v>
      </c>
      <c r="R174" s="41" t="s">
        <v>720</v>
      </c>
      <c r="S174" s="86" t="s">
        <v>104</v>
      </c>
      <c r="T174" s="86">
        <v>45748</v>
      </c>
      <c r="U174" s="40" t="s">
        <v>604</v>
      </c>
      <c r="V174" s="41" t="s">
        <v>605</v>
      </c>
      <c r="W174" s="41" t="s">
        <v>121</v>
      </c>
      <c r="X174" s="41" t="s">
        <v>720</v>
      </c>
      <c r="Y174" s="64">
        <v>45920</v>
      </c>
      <c r="Z174" s="64"/>
      <c r="AA174" s="40" t="s">
        <v>604</v>
      </c>
      <c r="AB174" s="41" t="s">
        <v>607</v>
      </c>
      <c r="AC174" s="41" t="s">
        <v>121</v>
      </c>
      <c r="AD174" s="41" t="s">
        <v>721</v>
      </c>
      <c r="AE174" s="41" t="s">
        <v>162</v>
      </c>
      <c r="AF174" s="42"/>
      <c r="AH174" s="41" t="s">
        <v>1169</v>
      </c>
      <c r="AI174" s="41" t="s">
        <v>1605</v>
      </c>
      <c r="AJ174" s="41" t="s">
        <v>2175</v>
      </c>
    </row>
    <row r="175" spans="6:36" ht="29" x14ac:dyDescent="0.35">
      <c r="F175" s="40" t="s">
        <v>2042</v>
      </c>
      <c r="G175" s="40" t="s">
        <v>603</v>
      </c>
      <c r="H175" s="41" t="s">
        <v>208</v>
      </c>
      <c r="J175" s="40" t="s">
        <v>735</v>
      </c>
      <c r="O175" s="40" t="s">
        <v>604</v>
      </c>
      <c r="P175" s="41" t="s">
        <v>605</v>
      </c>
      <c r="Q175" s="41" t="s">
        <v>121</v>
      </c>
      <c r="R175" s="41" t="s">
        <v>720</v>
      </c>
      <c r="S175" s="86" t="s">
        <v>104</v>
      </c>
      <c r="T175" s="86">
        <v>45748</v>
      </c>
      <c r="U175" s="40" t="s">
        <v>604</v>
      </c>
      <c r="V175" s="41" t="s">
        <v>605</v>
      </c>
      <c r="W175" s="41" t="s">
        <v>121</v>
      </c>
      <c r="X175" s="41" t="s">
        <v>720</v>
      </c>
      <c r="Y175" s="64">
        <v>45920</v>
      </c>
      <c r="Z175" s="64"/>
      <c r="AA175" s="40" t="s">
        <v>604</v>
      </c>
      <c r="AB175" s="41" t="s">
        <v>607</v>
      </c>
      <c r="AC175" s="41" t="s">
        <v>121</v>
      </c>
      <c r="AD175" s="41" t="s">
        <v>721</v>
      </c>
      <c r="AE175" s="41" t="s">
        <v>162</v>
      </c>
      <c r="AF175" s="42"/>
      <c r="AH175" s="41" t="s">
        <v>1170</v>
      </c>
      <c r="AI175" s="41" t="s">
        <v>1606</v>
      </c>
      <c r="AJ175" s="41" t="s">
        <v>2175</v>
      </c>
    </row>
    <row r="176" spans="6:36" ht="29" x14ac:dyDescent="0.35">
      <c r="F176" s="40" t="s">
        <v>2043</v>
      </c>
      <c r="G176" s="40" t="s">
        <v>603</v>
      </c>
      <c r="H176" s="41" t="s">
        <v>208</v>
      </c>
      <c r="J176" s="40" t="s">
        <v>690</v>
      </c>
      <c r="O176" s="40" t="s">
        <v>604</v>
      </c>
      <c r="P176" s="41" t="s">
        <v>607</v>
      </c>
      <c r="Q176" s="41" t="s">
        <v>121</v>
      </c>
      <c r="R176" s="41" t="s">
        <v>721</v>
      </c>
      <c r="S176" s="86" t="s">
        <v>104</v>
      </c>
      <c r="T176" s="86">
        <v>45748</v>
      </c>
      <c r="U176" s="40" t="s">
        <v>604</v>
      </c>
      <c r="V176" s="41" t="s">
        <v>605</v>
      </c>
      <c r="W176" s="41" t="s">
        <v>121</v>
      </c>
      <c r="X176" s="41" t="s">
        <v>720</v>
      </c>
      <c r="Y176" s="64">
        <v>45920</v>
      </c>
      <c r="Z176" s="64"/>
      <c r="AA176" s="40" t="s">
        <v>604</v>
      </c>
      <c r="AB176" s="41" t="s">
        <v>607</v>
      </c>
      <c r="AC176" s="41" t="s">
        <v>121</v>
      </c>
      <c r="AD176" s="41" t="s">
        <v>721</v>
      </c>
      <c r="AE176" s="41" t="s">
        <v>162</v>
      </c>
      <c r="AF176" s="42"/>
      <c r="AH176" s="41" t="s">
        <v>1171</v>
      </c>
      <c r="AI176" s="41" t="s">
        <v>1607</v>
      </c>
      <c r="AJ176" s="41" t="s">
        <v>2175</v>
      </c>
    </row>
    <row r="177" spans="6:36" ht="29" x14ac:dyDescent="0.35">
      <c r="F177" s="40" t="s">
        <v>2044</v>
      </c>
      <c r="G177" s="40" t="s">
        <v>603</v>
      </c>
      <c r="H177" s="41" t="s">
        <v>208</v>
      </c>
      <c r="J177" s="40" t="s">
        <v>736</v>
      </c>
      <c r="O177" s="40" t="s">
        <v>604</v>
      </c>
      <c r="P177" s="41" t="s">
        <v>605</v>
      </c>
      <c r="Q177" s="41" t="s">
        <v>121</v>
      </c>
      <c r="R177" s="41" t="s">
        <v>720</v>
      </c>
      <c r="S177" s="86" t="s">
        <v>104</v>
      </c>
      <c r="T177" s="86">
        <v>45748</v>
      </c>
      <c r="U177" s="40" t="s">
        <v>604</v>
      </c>
      <c r="V177" s="41" t="s">
        <v>605</v>
      </c>
      <c r="W177" s="41" t="s">
        <v>121</v>
      </c>
      <c r="X177" s="41" t="s">
        <v>720</v>
      </c>
      <c r="Y177" s="64">
        <v>45920</v>
      </c>
      <c r="Z177" s="64"/>
      <c r="AA177" s="40" t="s">
        <v>604</v>
      </c>
      <c r="AB177" s="41" t="s">
        <v>607</v>
      </c>
      <c r="AC177" s="41" t="s">
        <v>121</v>
      </c>
      <c r="AD177" s="41" t="s">
        <v>721</v>
      </c>
      <c r="AE177" s="41" t="s">
        <v>162</v>
      </c>
      <c r="AF177" s="42"/>
      <c r="AH177" s="41" t="s">
        <v>1172</v>
      </c>
      <c r="AI177" s="41" t="s">
        <v>1608</v>
      </c>
      <c r="AJ177" s="41" t="s">
        <v>2175</v>
      </c>
    </row>
    <row r="178" spans="6:36" ht="29" x14ac:dyDescent="0.35">
      <c r="F178" s="40" t="s">
        <v>2045</v>
      </c>
      <c r="G178" s="40" t="s">
        <v>603</v>
      </c>
      <c r="H178" s="41" t="s">
        <v>208</v>
      </c>
      <c r="J178" s="40" t="s">
        <v>737</v>
      </c>
      <c r="O178" s="40" t="s">
        <v>604</v>
      </c>
      <c r="P178" s="41" t="s">
        <v>605</v>
      </c>
      <c r="Q178" s="41" t="s">
        <v>121</v>
      </c>
      <c r="R178" s="41" t="s">
        <v>720</v>
      </c>
      <c r="S178" s="86" t="s">
        <v>104</v>
      </c>
      <c r="T178" s="86">
        <v>45748</v>
      </c>
      <c r="U178" s="40" t="s">
        <v>604</v>
      </c>
      <c r="V178" s="41" t="s">
        <v>605</v>
      </c>
      <c r="W178" s="41" t="s">
        <v>121</v>
      </c>
      <c r="X178" s="41" t="s">
        <v>720</v>
      </c>
      <c r="Y178" s="64">
        <v>45920</v>
      </c>
      <c r="Z178" s="64"/>
      <c r="AA178" s="40" t="s">
        <v>604</v>
      </c>
      <c r="AB178" s="41" t="s">
        <v>607</v>
      </c>
      <c r="AC178" s="41" t="s">
        <v>121</v>
      </c>
      <c r="AD178" s="41" t="s">
        <v>721</v>
      </c>
      <c r="AE178" s="41" t="s">
        <v>162</v>
      </c>
      <c r="AF178" s="42"/>
      <c r="AH178" s="41" t="s">
        <v>1173</v>
      </c>
      <c r="AI178" s="41" t="s">
        <v>1609</v>
      </c>
      <c r="AJ178" s="41" t="s">
        <v>2175</v>
      </c>
    </row>
    <row r="179" spans="6:36" ht="29" x14ac:dyDescent="0.35">
      <c r="F179" s="40" t="s">
        <v>2046</v>
      </c>
      <c r="G179" s="40" t="s">
        <v>603</v>
      </c>
      <c r="H179" s="41" t="s">
        <v>208</v>
      </c>
      <c r="J179" s="40" t="s">
        <v>738</v>
      </c>
      <c r="O179" s="40" t="s">
        <v>604</v>
      </c>
      <c r="P179" s="41" t="s">
        <v>605</v>
      </c>
      <c r="Q179" s="41" t="s">
        <v>121</v>
      </c>
      <c r="R179" s="41" t="s">
        <v>720</v>
      </c>
      <c r="S179" s="86" t="s">
        <v>104</v>
      </c>
      <c r="T179" s="86">
        <v>45748</v>
      </c>
      <c r="U179" s="40" t="s">
        <v>604</v>
      </c>
      <c r="V179" s="41" t="s">
        <v>605</v>
      </c>
      <c r="W179" s="41" t="s">
        <v>121</v>
      </c>
      <c r="X179" s="41" t="s">
        <v>720</v>
      </c>
      <c r="Y179" s="64">
        <v>45920</v>
      </c>
      <c r="Z179" s="64"/>
      <c r="AA179" s="40" t="s">
        <v>604</v>
      </c>
      <c r="AB179" s="41" t="s">
        <v>607</v>
      </c>
      <c r="AC179" s="41" t="s">
        <v>121</v>
      </c>
      <c r="AD179" s="41" t="s">
        <v>721</v>
      </c>
      <c r="AE179" s="41" t="s">
        <v>162</v>
      </c>
      <c r="AF179" s="42"/>
      <c r="AH179" s="41" t="s">
        <v>1174</v>
      </c>
      <c r="AI179" s="41" t="s">
        <v>1610</v>
      </c>
      <c r="AJ179" s="41" t="s">
        <v>2175</v>
      </c>
    </row>
    <row r="180" spans="6:36" ht="29" x14ac:dyDescent="0.35">
      <c r="F180" s="40" t="s">
        <v>2047</v>
      </c>
      <c r="G180" s="40" t="s">
        <v>603</v>
      </c>
      <c r="H180" s="41" t="s">
        <v>208</v>
      </c>
      <c r="J180" s="40" t="s">
        <v>739</v>
      </c>
      <c r="O180" s="40" t="s">
        <v>604</v>
      </c>
      <c r="P180" s="41" t="s">
        <v>605</v>
      </c>
      <c r="Q180" s="41" t="s">
        <v>121</v>
      </c>
      <c r="R180" s="41" t="s">
        <v>720</v>
      </c>
      <c r="S180" s="86" t="s">
        <v>104</v>
      </c>
      <c r="T180" s="86">
        <v>45748</v>
      </c>
      <c r="U180" s="40" t="s">
        <v>604</v>
      </c>
      <c r="V180" s="41" t="s">
        <v>605</v>
      </c>
      <c r="W180" s="41" t="s">
        <v>121</v>
      </c>
      <c r="X180" s="41" t="s">
        <v>720</v>
      </c>
      <c r="Y180" s="64">
        <v>45920</v>
      </c>
      <c r="Z180" s="64"/>
      <c r="AA180" s="40" t="s">
        <v>604</v>
      </c>
      <c r="AB180" s="41" t="s">
        <v>607</v>
      </c>
      <c r="AC180" s="41" t="s">
        <v>121</v>
      </c>
      <c r="AD180" s="41" t="s">
        <v>721</v>
      </c>
      <c r="AE180" s="41" t="s">
        <v>162</v>
      </c>
      <c r="AF180" s="42"/>
      <c r="AH180" s="41" t="s">
        <v>1175</v>
      </c>
      <c r="AI180" s="41" t="s">
        <v>1611</v>
      </c>
      <c r="AJ180" s="41" t="s">
        <v>2175</v>
      </c>
    </row>
    <row r="181" spans="6:36" ht="29" x14ac:dyDescent="0.35">
      <c r="F181" s="40" t="s">
        <v>2048</v>
      </c>
      <c r="G181" s="40" t="s">
        <v>603</v>
      </c>
      <c r="H181" s="41" t="s">
        <v>208</v>
      </c>
      <c r="J181" s="40" t="s">
        <v>740</v>
      </c>
      <c r="O181" s="40" t="s">
        <v>604</v>
      </c>
      <c r="P181" s="41" t="s">
        <v>605</v>
      </c>
      <c r="Q181" s="41" t="s">
        <v>121</v>
      </c>
      <c r="R181" s="41" t="s">
        <v>720</v>
      </c>
      <c r="S181" s="86" t="s">
        <v>104</v>
      </c>
      <c r="T181" s="86">
        <v>45748</v>
      </c>
      <c r="U181" s="40" t="s">
        <v>604</v>
      </c>
      <c r="V181" s="41" t="s">
        <v>605</v>
      </c>
      <c r="W181" s="41" t="s">
        <v>121</v>
      </c>
      <c r="X181" s="41" t="s">
        <v>720</v>
      </c>
      <c r="Y181" s="64">
        <v>45920</v>
      </c>
      <c r="Z181" s="64"/>
      <c r="AA181" s="40" t="s">
        <v>604</v>
      </c>
      <c r="AB181" s="41" t="s">
        <v>607</v>
      </c>
      <c r="AC181" s="41" t="s">
        <v>121</v>
      </c>
      <c r="AD181" s="41" t="s">
        <v>721</v>
      </c>
      <c r="AE181" s="41" t="s">
        <v>162</v>
      </c>
      <c r="AF181" s="42"/>
      <c r="AH181" s="41" t="s">
        <v>1176</v>
      </c>
      <c r="AI181" s="41" t="s">
        <v>1612</v>
      </c>
      <c r="AJ181" s="41" t="s">
        <v>2175</v>
      </c>
    </row>
    <row r="182" spans="6:36" ht="43.5" x14ac:dyDescent="0.35">
      <c r="F182" s="40" t="s">
        <v>2049</v>
      </c>
      <c r="G182" s="40" t="s">
        <v>603</v>
      </c>
      <c r="H182" s="41" t="s">
        <v>208</v>
      </c>
      <c r="J182" s="40" t="s">
        <v>741</v>
      </c>
      <c r="O182" s="40" t="s">
        <v>604</v>
      </c>
      <c r="P182" s="41" t="s">
        <v>605</v>
      </c>
      <c r="Q182" s="41" t="s">
        <v>133</v>
      </c>
      <c r="R182" s="41" t="s">
        <v>742</v>
      </c>
      <c r="S182" s="86" t="s">
        <v>104</v>
      </c>
      <c r="T182" s="86">
        <v>45748</v>
      </c>
      <c r="U182" s="40" t="s">
        <v>604</v>
      </c>
      <c r="V182" s="41" t="s">
        <v>605</v>
      </c>
      <c r="W182" s="41" t="s">
        <v>133</v>
      </c>
      <c r="X182" s="41" t="s">
        <v>2179</v>
      </c>
      <c r="Y182" s="64">
        <v>45920</v>
      </c>
      <c r="Z182" s="64"/>
      <c r="AA182" s="40" t="s">
        <v>604</v>
      </c>
      <c r="AB182" s="41" t="s">
        <v>607</v>
      </c>
      <c r="AC182" s="41" t="s">
        <v>133</v>
      </c>
      <c r="AD182" s="41" t="s">
        <v>743</v>
      </c>
      <c r="AE182" s="41" t="s">
        <v>162</v>
      </c>
      <c r="AF182" s="42"/>
      <c r="AH182" s="41" t="s">
        <v>1177</v>
      </c>
      <c r="AI182" s="41" t="s">
        <v>1613</v>
      </c>
      <c r="AJ182" s="41" t="s">
        <v>2175</v>
      </c>
    </row>
    <row r="183" spans="6:36" ht="43.5" x14ac:dyDescent="0.35">
      <c r="F183" s="40" t="s">
        <v>2050</v>
      </c>
      <c r="G183" s="40" t="s">
        <v>603</v>
      </c>
      <c r="H183" s="41" t="s">
        <v>208</v>
      </c>
      <c r="J183" s="40" t="s">
        <v>744</v>
      </c>
      <c r="O183" s="40" t="s">
        <v>604</v>
      </c>
      <c r="P183" s="41" t="s">
        <v>605</v>
      </c>
      <c r="Q183" s="41" t="s">
        <v>133</v>
      </c>
      <c r="R183" s="41" t="s">
        <v>742</v>
      </c>
      <c r="S183" s="86" t="s">
        <v>104</v>
      </c>
      <c r="T183" s="86">
        <v>45748</v>
      </c>
      <c r="U183" s="40" t="s">
        <v>604</v>
      </c>
      <c r="V183" s="41" t="s">
        <v>605</v>
      </c>
      <c r="W183" s="41" t="s">
        <v>133</v>
      </c>
      <c r="X183" s="41" t="s">
        <v>2179</v>
      </c>
      <c r="Y183" s="64">
        <v>45920</v>
      </c>
      <c r="Z183" s="64"/>
      <c r="AA183" s="40" t="s">
        <v>604</v>
      </c>
      <c r="AB183" s="41" t="s">
        <v>607</v>
      </c>
      <c r="AC183" s="41" t="s">
        <v>133</v>
      </c>
      <c r="AD183" s="41" t="s">
        <v>743</v>
      </c>
      <c r="AE183" s="41" t="s">
        <v>162</v>
      </c>
      <c r="AF183" s="42"/>
      <c r="AH183" s="41" t="s">
        <v>1178</v>
      </c>
      <c r="AI183" s="41" t="s">
        <v>1614</v>
      </c>
      <c r="AJ183" s="41" t="s">
        <v>2175</v>
      </c>
    </row>
    <row r="184" spans="6:36" ht="43.5" x14ac:dyDescent="0.35">
      <c r="F184" s="40" t="s">
        <v>2051</v>
      </c>
      <c r="G184" s="40" t="s">
        <v>603</v>
      </c>
      <c r="H184" s="41" t="s">
        <v>208</v>
      </c>
      <c r="J184" s="40" t="s">
        <v>746</v>
      </c>
      <c r="O184" s="40" t="s">
        <v>604</v>
      </c>
      <c r="P184" s="41" t="s">
        <v>605</v>
      </c>
      <c r="Q184" s="41" t="s">
        <v>133</v>
      </c>
      <c r="R184" s="41" t="s">
        <v>742</v>
      </c>
      <c r="S184" s="86" t="s">
        <v>104</v>
      </c>
      <c r="T184" s="86">
        <v>45748</v>
      </c>
      <c r="U184" s="40" t="s">
        <v>604</v>
      </c>
      <c r="V184" s="41" t="s">
        <v>605</v>
      </c>
      <c r="W184" s="41" t="s">
        <v>133</v>
      </c>
      <c r="X184" s="41" t="s">
        <v>2179</v>
      </c>
      <c r="Y184" s="64">
        <v>45920</v>
      </c>
      <c r="Z184" s="64"/>
      <c r="AA184" s="40" t="s">
        <v>604</v>
      </c>
      <c r="AB184" s="41" t="s">
        <v>607</v>
      </c>
      <c r="AC184" s="41" t="s">
        <v>133</v>
      </c>
      <c r="AD184" s="41" t="s">
        <v>743</v>
      </c>
      <c r="AE184" s="41" t="s">
        <v>162</v>
      </c>
      <c r="AF184" s="42"/>
      <c r="AH184" s="41" t="s">
        <v>1179</v>
      </c>
      <c r="AI184" s="41" t="s">
        <v>1615</v>
      </c>
      <c r="AJ184" s="41" t="s">
        <v>2175</v>
      </c>
    </row>
    <row r="185" spans="6:36" ht="43.5" x14ac:dyDescent="0.35">
      <c r="F185" s="40" t="s">
        <v>2052</v>
      </c>
      <c r="G185" s="40" t="s">
        <v>603</v>
      </c>
      <c r="H185" s="41" t="s">
        <v>208</v>
      </c>
      <c r="J185" s="40" t="s">
        <v>748</v>
      </c>
      <c r="O185" s="40" t="s">
        <v>604</v>
      </c>
      <c r="P185" s="41" t="s">
        <v>605</v>
      </c>
      <c r="Q185" s="41" t="s">
        <v>133</v>
      </c>
      <c r="R185" s="41" t="s">
        <v>742</v>
      </c>
      <c r="S185" s="86" t="s">
        <v>104</v>
      </c>
      <c r="T185" s="86">
        <v>45748</v>
      </c>
      <c r="U185" s="40" t="s">
        <v>604</v>
      </c>
      <c r="V185" s="41" t="s">
        <v>605</v>
      </c>
      <c r="W185" s="41" t="s">
        <v>133</v>
      </c>
      <c r="X185" s="41" t="s">
        <v>2179</v>
      </c>
      <c r="Y185" s="64">
        <v>45920</v>
      </c>
      <c r="Z185" s="64"/>
      <c r="AA185" s="40" t="s">
        <v>604</v>
      </c>
      <c r="AB185" s="41" t="s">
        <v>607</v>
      </c>
      <c r="AC185" s="41" t="s">
        <v>133</v>
      </c>
      <c r="AD185" s="41" t="s">
        <v>743</v>
      </c>
      <c r="AE185" s="41" t="s">
        <v>162</v>
      </c>
      <c r="AF185" s="42"/>
      <c r="AH185" s="41" t="s">
        <v>1180</v>
      </c>
      <c r="AI185" s="41" t="s">
        <v>1616</v>
      </c>
      <c r="AJ185" s="41" t="s">
        <v>2175</v>
      </c>
    </row>
    <row r="186" spans="6:36" ht="43.5" x14ac:dyDescent="0.35">
      <c r="F186" s="40" t="s">
        <v>2053</v>
      </c>
      <c r="G186" s="40" t="s">
        <v>603</v>
      </c>
      <c r="H186" s="41" t="s">
        <v>208</v>
      </c>
      <c r="J186" s="40" t="s">
        <v>750</v>
      </c>
      <c r="O186" s="40" t="s">
        <v>604</v>
      </c>
      <c r="P186" s="41" t="s">
        <v>605</v>
      </c>
      <c r="Q186" s="41" t="s">
        <v>133</v>
      </c>
      <c r="R186" s="41" t="s">
        <v>742</v>
      </c>
      <c r="S186" s="86" t="s">
        <v>104</v>
      </c>
      <c r="T186" s="86">
        <v>45748</v>
      </c>
      <c r="U186" s="40" t="s">
        <v>604</v>
      </c>
      <c r="V186" s="41" t="s">
        <v>605</v>
      </c>
      <c r="W186" s="41" t="s">
        <v>133</v>
      </c>
      <c r="X186" s="41" t="s">
        <v>2179</v>
      </c>
      <c r="Y186" s="64">
        <v>45920</v>
      </c>
      <c r="Z186" s="64"/>
      <c r="AA186" s="40" t="s">
        <v>604</v>
      </c>
      <c r="AB186" s="41" t="s">
        <v>607</v>
      </c>
      <c r="AC186" s="41" t="s">
        <v>133</v>
      </c>
      <c r="AD186" s="41" t="s">
        <v>743</v>
      </c>
      <c r="AE186" s="41" t="s">
        <v>162</v>
      </c>
      <c r="AF186" s="42"/>
      <c r="AH186" s="41" t="s">
        <v>1181</v>
      </c>
      <c r="AI186" s="41" t="s">
        <v>1617</v>
      </c>
      <c r="AJ186" s="41" t="s">
        <v>2175</v>
      </c>
    </row>
    <row r="187" spans="6:36" ht="43.5" x14ac:dyDescent="0.35">
      <c r="F187" s="40" t="s">
        <v>2054</v>
      </c>
      <c r="G187" s="40" t="s">
        <v>603</v>
      </c>
      <c r="H187" s="41" t="s">
        <v>208</v>
      </c>
      <c r="J187" s="40" t="s">
        <v>752</v>
      </c>
      <c r="O187" s="40" t="s">
        <v>604</v>
      </c>
      <c r="P187" s="41" t="s">
        <v>605</v>
      </c>
      <c r="Q187" s="41" t="s">
        <v>133</v>
      </c>
      <c r="R187" s="41" t="s">
        <v>742</v>
      </c>
      <c r="S187" s="86" t="s">
        <v>104</v>
      </c>
      <c r="T187" s="86">
        <v>45748</v>
      </c>
      <c r="U187" s="40" t="s">
        <v>604</v>
      </c>
      <c r="V187" s="41" t="s">
        <v>605</v>
      </c>
      <c r="W187" s="41" t="s">
        <v>133</v>
      </c>
      <c r="X187" s="41" t="s">
        <v>2179</v>
      </c>
      <c r="Y187" s="64">
        <v>45920</v>
      </c>
      <c r="Z187" s="64"/>
      <c r="AA187" s="40" t="s">
        <v>604</v>
      </c>
      <c r="AB187" s="41" t="s">
        <v>607</v>
      </c>
      <c r="AC187" s="41" t="s">
        <v>133</v>
      </c>
      <c r="AD187" s="41" t="s">
        <v>743</v>
      </c>
      <c r="AE187" s="41" t="s">
        <v>162</v>
      </c>
      <c r="AF187" s="42"/>
      <c r="AH187" s="41" t="s">
        <v>1182</v>
      </c>
      <c r="AI187" s="41" t="s">
        <v>1618</v>
      </c>
      <c r="AJ187" s="41" t="s">
        <v>2175</v>
      </c>
    </row>
    <row r="188" spans="6:36" ht="29" x14ac:dyDescent="0.35">
      <c r="F188" s="40" t="s">
        <v>2055</v>
      </c>
      <c r="G188" s="40" t="s">
        <v>603</v>
      </c>
      <c r="H188" s="41" t="s">
        <v>208</v>
      </c>
      <c r="J188" s="40" t="s">
        <v>753</v>
      </c>
      <c r="O188" s="40" t="s">
        <v>604</v>
      </c>
      <c r="P188" s="41" t="s">
        <v>605</v>
      </c>
      <c r="Q188" s="41" t="s">
        <v>119</v>
      </c>
      <c r="R188" s="41" t="s">
        <v>755</v>
      </c>
      <c r="S188" s="86" t="s">
        <v>104</v>
      </c>
      <c r="T188" s="86">
        <v>45748</v>
      </c>
      <c r="U188" s="40" t="s">
        <v>604</v>
      </c>
      <c r="V188" s="41" t="s">
        <v>605</v>
      </c>
      <c r="W188" s="41" t="s">
        <v>119</v>
      </c>
      <c r="X188" s="41" t="s">
        <v>2180</v>
      </c>
      <c r="Y188" s="64">
        <v>45920</v>
      </c>
      <c r="Z188" s="64"/>
      <c r="AA188" s="40" t="s">
        <v>604</v>
      </c>
      <c r="AB188" s="41" t="s">
        <v>607</v>
      </c>
      <c r="AC188" s="41" t="s">
        <v>119</v>
      </c>
      <c r="AD188" s="41" t="s">
        <v>756</v>
      </c>
      <c r="AE188" s="41" t="s">
        <v>162</v>
      </c>
      <c r="AF188" s="42"/>
      <c r="AH188" s="41" t="s">
        <v>1183</v>
      </c>
      <c r="AI188" s="41" t="s">
        <v>1619</v>
      </c>
      <c r="AJ188" s="41" t="s">
        <v>2175</v>
      </c>
    </row>
    <row r="189" spans="6:36" ht="29" x14ac:dyDescent="0.35">
      <c r="F189" s="40" t="s">
        <v>2056</v>
      </c>
      <c r="G189" s="40" t="s">
        <v>603</v>
      </c>
      <c r="H189" s="41" t="s">
        <v>208</v>
      </c>
      <c r="J189" s="40" t="s">
        <v>757</v>
      </c>
      <c r="O189" s="40" t="s">
        <v>604</v>
      </c>
      <c r="P189" s="41" t="s">
        <v>605</v>
      </c>
      <c r="Q189" s="41" t="s">
        <v>119</v>
      </c>
      <c r="R189" s="41" t="s">
        <v>755</v>
      </c>
      <c r="S189" s="86" t="s">
        <v>104</v>
      </c>
      <c r="T189" s="86">
        <v>45748</v>
      </c>
      <c r="U189" s="40" t="s">
        <v>604</v>
      </c>
      <c r="V189" s="41" t="s">
        <v>605</v>
      </c>
      <c r="W189" s="41" t="s">
        <v>119</v>
      </c>
      <c r="X189" s="41" t="s">
        <v>2180</v>
      </c>
      <c r="Y189" s="64">
        <v>45920</v>
      </c>
      <c r="Z189" s="64"/>
      <c r="AA189" s="40" t="s">
        <v>604</v>
      </c>
      <c r="AB189" s="41" t="s">
        <v>607</v>
      </c>
      <c r="AC189" s="41" t="s">
        <v>119</v>
      </c>
      <c r="AD189" s="41" t="s">
        <v>756</v>
      </c>
      <c r="AE189" s="41" t="s">
        <v>162</v>
      </c>
      <c r="AF189" s="42"/>
      <c r="AH189" s="41" t="s">
        <v>1184</v>
      </c>
      <c r="AI189" s="41" t="s">
        <v>1620</v>
      </c>
      <c r="AJ189" s="41" t="s">
        <v>2175</v>
      </c>
    </row>
    <row r="190" spans="6:36" ht="29" x14ac:dyDescent="0.35">
      <c r="F190" s="40" t="s">
        <v>2057</v>
      </c>
      <c r="G190" s="40" t="s">
        <v>603</v>
      </c>
      <c r="H190" s="41" t="s">
        <v>208</v>
      </c>
      <c r="J190" s="40" t="s">
        <v>616</v>
      </c>
      <c r="O190" s="40" t="s">
        <v>604</v>
      </c>
      <c r="P190" s="41" t="s">
        <v>605</v>
      </c>
      <c r="Q190" s="41" t="s">
        <v>119</v>
      </c>
      <c r="R190" s="41" t="s">
        <v>755</v>
      </c>
      <c r="S190" s="86" t="s">
        <v>104</v>
      </c>
      <c r="T190" s="86">
        <v>45748</v>
      </c>
      <c r="U190" s="40" t="s">
        <v>604</v>
      </c>
      <c r="V190" s="41" t="s">
        <v>605</v>
      </c>
      <c r="W190" s="41" t="s">
        <v>119</v>
      </c>
      <c r="X190" s="41" t="s">
        <v>2180</v>
      </c>
      <c r="Y190" s="64">
        <v>45920</v>
      </c>
      <c r="Z190" s="64"/>
      <c r="AA190" s="40" t="s">
        <v>604</v>
      </c>
      <c r="AB190" s="41" t="s">
        <v>607</v>
      </c>
      <c r="AC190" s="41" t="s">
        <v>119</v>
      </c>
      <c r="AD190" s="41" t="s">
        <v>756</v>
      </c>
      <c r="AE190" s="41" t="s">
        <v>162</v>
      </c>
      <c r="AF190" s="42"/>
      <c r="AH190" s="41" t="s">
        <v>1185</v>
      </c>
      <c r="AI190" s="41" t="s">
        <v>1621</v>
      </c>
      <c r="AJ190" s="41" t="s">
        <v>2175</v>
      </c>
    </row>
    <row r="191" spans="6:36" ht="29" x14ac:dyDescent="0.35">
      <c r="F191" s="40" t="s">
        <v>2058</v>
      </c>
      <c r="G191" s="40" t="s">
        <v>603</v>
      </c>
      <c r="H191" s="41" t="s">
        <v>208</v>
      </c>
      <c r="J191" s="40" t="s">
        <v>759</v>
      </c>
      <c r="O191" s="40" t="s">
        <v>604</v>
      </c>
      <c r="P191" s="41" t="s">
        <v>605</v>
      </c>
      <c r="Q191" s="41" t="s">
        <v>119</v>
      </c>
      <c r="R191" s="41" t="s">
        <v>755</v>
      </c>
      <c r="S191" s="86" t="s">
        <v>104</v>
      </c>
      <c r="T191" s="86">
        <v>45748</v>
      </c>
      <c r="U191" s="40" t="s">
        <v>604</v>
      </c>
      <c r="V191" s="41" t="s">
        <v>605</v>
      </c>
      <c r="W191" s="41" t="s">
        <v>119</v>
      </c>
      <c r="X191" s="41" t="s">
        <v>2180</v>
      </c>
      <c r="Y191" s="64">
        <v>45920</v>
      </c>
      <c r="Z191" s="64"/>
      <c r="AA191" s="40" t="s">
        <v>604</v>
      </c>
      <c r="AB191" s="41" t="s">
        <v>607</v>
      </c>
      <c r="AC191" s="41" t="s">
        <v>119</v>
      </c>
      <c r="AD191" s="41" t="s">
        <v>756</v>
      </c>
      <c r="AE191" s="41" t="s">
        <v>162</v>
      </c>
      <c r="AF191" s="42"/>
      <c r="AH191" s="41" t="s">
        <v>1186</v>
      </c>
      <c r="AI191" s="41" t="s">
        <v>1622</v>
      </c>
      <c r="AJ191" s="41" t="s">
        <v>2175</v>
      </c>
    </row>
    <row r="192" spans="6:36" ht="29" x14ac:dyDescent="0.35">
      <c r="F192" s="40" t="s">
        <v>2059</v>
      </c>
      <c r="G192" s="40" t="s">
        <v>603</v>
      </c>
      <c r="H192" s="41" t="s">
        <v>208</v>
      </c>
      <c r="J192" s="40" t="s">
        <v>760</v>
      </c>
      <c r="O192" s="40" t="s">
        <v>604</v>
      </c>
      <c r="P192" s="41" t="s">
        <v>605</v>
      </c>
      <c r="Q192" s="41" t="s">
        <v>119</v>
      </c>
      <c r="R192" s="41" t="s">
        <v>755</v>
      </c>
      <c r="S192" s="86" t="s">
        <v>104</v>
      </c>
      <c r="T192" s="86">
        <v>45748</v>
      </c>
      <c r="U192" s="40" t="s">
        <v>604</v>
      </c>
      <c r="V192" s="41" t="s">
        <v>605</v>
      </c>
      <c r="W192" s="41" t="s">
        <v>119</v>
      </c>
      <c r="X192" s="41" t="s">
        <v>2180</v>
      </c>
      <c r="Y192" s="64">
        <v>45920</v>
      </c>
      <c r="Z192" s="64"/>
      <c r="AA192" s="40" t="s">
        <v>604</v>
      </c>
      <c r="AB192" s="41" t="s">
        <v>607</v>
      </c>
      <c r="AC192" s="41" t="s">
        <v>119</v>
      </c>
      <c r="AD192" s="41" t="s">
        <v>756</v>
      </c>
      <c r="AE192" s="41" t="s">
        <v>162</v>
      </c>
      <c r="AF192" s="42"/>
      <c r="AH192" s="41" t="s">
        <v>1187</v>
      </c>
      <c r="AI192" s="41" t="s">
        <v>1623</v>
      </c>
      <c r="AJ192" s="41" t="s">
        <v>2175</v>
      </c>
    </row>
    <row r="193" spans="6:36" ht="29" x14ac:dyDescent="0.35">
      <c r="F193" s="40" t="s">
        <v>2060</v>
      </c>
      <c r="G193" s="40" t="s">
        <v>603</v>
      </c>
      <c r="H193" s="41" t="s">
        <v>208</v>
      </c>
      <c r="J193" s="40" t="s">
        <v>656</v>
      </c>
      <c r="O193" s="40" t="s">
        <v>604</v>
      </c>
      <c r="P193" s="41" t="s">
        <v>605</v>
      </c>
      <c r="Q193" s="41" t="s">
        <v>119</v>
      </c>
      <c r="R193" s="41" t="s">
        <v>755</v>
      </c>
      <c r="S193" s="86" t="s">
        <v>104</v>
      </c>
      <c r="T193" s="86">
        <v>45748</v>
      </c>
      <c r="U193" s="40" t="s">
        <v>604</v>
      </c>
      <c r="V193" s="41" t="s">
        <v>605</v>
      </c>
      <c r="W193" s="41" t="s">
        <v>119</v>
      </c>
      <c r="X193" s="41" t="s">
        <v>2180</v>
      </c>
      <c r="Y193" s="64">
        <v>45920</v>
      </c>
      <c r="Z193" s="64"/>
      <c r="AA193" s="40" t="s">
        <v>604</v>
      </c>
      <c r="AB193" s="41" t="s">
        <v>607</v>
      </c>
      <c r="AC193" s="41" t="s">
        <v>119</v>
      </c>
      <c r="AD193" s="41" t="s">
        <v>756</v>
      </c>
      <c r="AE193" s="41" t="s">
        <v>162</v>
      </c>
      <c r="AF193" s="42"/>
      <c r="AH193" s="41" t="s">
        <v>1188</v>
      </c>
      <c r="AI193" s="41" t="s">
        <v>1624</v>
      </c>
      <c r="AJ193" s="41" t="s">
        <v>2175</v>
      </c>
    </row>
    <row r="194" spans="6:36" ht="29" x14ac:dyDescent="0.35">
      <c r="F194" s="40" t="s">
        <v>2061</v>
      </c>
      <c r="G194" s="40" t="s">
        <v>603</v>
      </c>
      <c r="H194" s="41" t="s">
        <v>208</v>
      </c>
      <c r="J194" s="40" t="s">
        <v>678</v>
      </c>
      <c r="O194" s="40" t="s">
        <v>604</v>
      </c>
      <c r="P194" s="41" t="s">
        <v>605</v>
      </c>
      <c r="Q194" s="41" t="s">
        <v>119</v>
      </c>
      <c r="R194" s="41" t="s">
        <v>755</v>
      </c>
      <c r="S194" s="86" t="s">
        <v>104</v>
      </c>
      <c r="T194" s="86">
        <v>45748</v>
      </c>
      <c r="U194" s="40" t="s">
        <v>604</v>
      </c>
      <c r="V194" s="41" t="s">
        <v>605</v>
      </c>
      <c r="W194" s="41" t="s">
        <v>119</v>
      </c>
      <c r="X194" s="41" t="s">
        <v>2180</v>
      </c>
      <c r="Y194" s="64">
        <v>45920</v>
      </c>
      <c r="Z194" s="64"/>
      <c r="AA194" s="40" t="s">
        <v>604</v>
      </c>
      <c r="AB194" s="41" t="s">
        <v>607</v>
      </c>
      <c r="AC194" s="41" t="s">
        <v>119</v>
      </c>
      <c r="AD194" s="41" t="s">
        <v>756</v>
      </c>
      <c r="AE194" s="41" t="s">
        <v>162</v>
      </c>
      <c r="AF194" s="42"/>
      <c r="AH194" s="41" t="s">
        <v>1189</v>
      </c>
      <c r="AI194" s="41" t="s">
        <v>1625</v>
      </c>
      <c r="AJ194" s="41" t="s">
        <v>2175</v>
      </c>
    </row>
    <row r="195" spans="6:36" ht="29" x14ac:dyDescent="0.35">
      <c r="F195" s="40" t="s">
        <v>2062</v>
      </c>
      <c r="G195" s="40" t="s">
        <v>603</v>
      </c>
      <c r="H195" s="41" t="s">
        <v>208</v>
      </c>
      <c r="J195" s="40" t="s">
        <v>690</v>
      </c>
      <c r="O195" s="40" t="s">
        <v>604</v>
      </c>
      <c r="P195" s="41" t="s">
        <v>607</v>
      </c>
      <c r="Q195" s="41" t="s">
        <v>121</v>
      </c>
      <c r="R195" s="41" t="s">
        <v>721</v>
      </c>
      <c r="S195" s="86" t="s">
        <v>104</v>
      </c>
      <c r="T195" s="86">
        <v>45748</v>
      </c>
      <c r="U195" s="40" t="s">
        <v>604</v>
      </c>
      <c r="V195" s="41" t="s">
        <v>605</v>
      </c>
      <c r="W195" s="41" t="s">
        <v>119</v>
      </c>
      <c r="X195" s="41" t="s">
        <v>2180</v>
      </c>
      <c r="Y195" s="64">
        <v>45920</v>
      </c>
      <c r="Z195" s="64"/>
      <c r="AA195" s="40" t="s">
        <v>604</v>
      </c>
      <c r="AB195" s="41" t="s">
        <v>607</v>
      </c>
      <c r="AC195" s="41" t="s">
        <v>121</v>
      </c>
      <c r="AD195" s="41" t="s">
        <v>721</v>
      </c>
      <c r="AE195" s="41" t="s">
        <v>162</v>
      </c>
      <c r="AF195" s="42"/>
      <c r="AH195" s="41" t="s">
        <v>1190</v>
      </c>
      <c r="AI195" s="41" t="s">
        <v>1626</v>
      </c>
      <c r="AJ195" s="41" t="s">
        <v>2175</v>
      </c>
    </row>
    <row r="196" spans="6:36" x14ac:dyDescent="0.35">
      <c r="F196" s="40" t="s">
        <v>2063</v>
      </c>
      <c r="G196" s="40" t="s">
        <v>603</v>
      </c>
      <c r="H196" s="41" t="s">
        <v>208</v>
      </c>
      <c r="J196" s="40" t="s">
        <v>761</v>
      </c>
      <c r="O196" s="40" t="s">
        <v>604</v>
      </c>
      <c r="P196" s="41" t="s">
        <v>605</v>
      </c>
      <c r="Q196" s="41" t="s">
        <v>119</v>
      </c>
      <c r="R196" s="41" t="s">
        <v>762</v>
      </c>
      <c r="S196" s="86" t="s">
        <v>104</v>
      </c>
      <c r="T196" s="86">
        <v>45748</v>
      </c>
      <c r="U196" s="40" t="s">
        <v>604</v>
      </c>
      <c r="V196" s="41" t="s">
        <v>605</v>
      </c>
      <c r="W196" s="41" t="s">
        <v>119</v>
      </c>
      <c r="X196" s="41" t="s">
        <v>2181</v>
      </c>
      <c r="Y196" s="64">
        <v>45920</v>
      </c>
      <c r="Z196" s="64"/>
      <c r="AA196" s="40" t="s">
        <v>604</v>
      </c>
      <c r="AB196" s="41" t="s">
        <v>607</v>
      </c>
      <c r="AC196" s="41" t="s">
        <v>119</v>
      </c>
      <c r="AD196" s="41" t="s">
        <v>763</v>
      </c>
      <c r="AE196" s="41" t="s">
        <v>162</v>
      </c>
      <c r="AF196" s="42"/>
      <c r="AH196" s="41" t="s">
        <v>1191</v>
      </c>
      <c r="AI196" s="41" t="s">
        <v>1627</v>
      </c>
      <c r="AJ196" s="41" t="s">
        <v>2175</v>
      </c>
    </row>
    <row r="197" spans="6:36" x14ac:dyDescent="0.35">
      <c r="F197" s="40" t="s">
        <v>2064</v>
      </c>
      <c r="G197" s="40" t="s">
        <v>603</v>
      </c>
      <c r="H197" s="41" t="s">
        <v>208</v>
      </c>
      <c r="J197" s="40" t="s">
        <v>764</v>
      </c>
      <c r="O197" s="40" t="s">
        <v>604</v>
      </c>
      <c r="P197" s="41" t="s">
        <v>605</v>
      </c>
      <c r="Q197" s="41" t="s">
        <v>119</v>
      </c>
      <c r="R197" s="41" t="s">
        <v>762</v>
      </c>
      <c r="S197" s="86" t="s">
        <v>104</v>
      </c>
      <c r="T197" s="86">
        <v>45748</v>
      </c>
      <c r="U197" s="40" t="s">
        <v>604</v>
      </c>
      <c r="V197" s="41" t="s">
        <v>605</v>
      </c>
      <c r="W197" s="41" t="s">
        <v>119</v>
      </c>
      <c r="X197" s="41" t="s">
        <v>2181</v>
      </c>
      <c r="Y197" s="64">
        <v>45920</v>
      </c>
      <c r="Z197" s="64"/>
      <c r="AA197" s="40" t="s">
        <v>604</v>
      </c>
      <c r="AB197" s="41" t="s">
        <v>607</v>
      </c>
      <c r="AC197" s="41" t="s">
        <v>119</v>
      </c>
      <c r="AD197" s="41" t="s">
        <v>763</v>
      </c>
      <c r="AE197" s="41" t="s">
        <v>162</v>
      </c>
      <c r="AF197" s="42"/>
      <c r="AH197" s="41" t="s">
        <v>1192</v>
      </c>
      <c r="AI197" s="41" t="s">
        <v>1628</v>
      </c>
      <c r="AJ197" s="41" t="s">
        <v>2175</v>
      </c>
    </row>
    <row r="198" spans="6:36" x14ac:dyDescent="0.35">
      <c r="F198" s="40" t="s">
        <v>2065</v>
      </c>
      <c r="G198" s="40" t="s">
        <v>603</v>
      </c>
      <c r="H198" s="41" t="s">
        <v>208</v>
      </c>
      <c r="J198" s="40" t="s">
        <v>616</v>
      </c>
      <c r="O198" s="40" t="s">
        <v>604</v>
      </c>
      <c r="P198" s="41" t="s">
        <v>605</v>
      </c>
      <c r="Q198" s="41" t="s">
        <v>119</v>
      </c>
      <c r="R198" s="41" t="s">
        <v>762</v>
      </c>
      <c r="S198" s="86" t="s">
        <v>104</v>
      </c>
      <c r="T198" s="86">
        <v>45748</v>
      </c>
      <c r="U198" s="40" t="s">
        <v>604</v>
      </c>
      <c r="V198" s="41" t="s">
        <v>605</v>
      </c>
      <c r="W198" s="41" t="s">
        <v>119</v>
      </c>
      <c r="X198" s="41" t="s">
        <v>2181</v>
      </c>
      <c r="Y198" s="64">
        <v>45920</v>
      </c>
      <c r="Z198" s="64"/>
      <c r="AA198" s="40" t="s">
        <v>604</v>
      </c>
      <c r="AB198" s="41" t="s">
        <v>607</v>
      </c>
      <c r="AC198" s="41" t="s">
        <v>119</v>
      </c>
      <c r="AD198" s="41" t="s">
        <v>763</v>
      </c>
      <c r="AE198" s="41" t="s">
        <v>162</v>
      </c>
      <c r="AF198" s="42"/>
      <c r="AH198" s="41" t="s">
        <v>1193</v>
      </c>
      <c r="AI198" s="41" t="s">
        <v>1629</v>
      </c>
      <c r="AJ198" s="41" t="s">
        <v>2175</v>
      </c>
    </row>
    <row r="199" spans="6:36" x14ac:dyDescent="0.35">
      <c r="F199" s="40" t="s">
        <v>2066</v>
      </c>
      <c r="G199" s="40" t="s">
        <v>603</v>
      </c>
      <c r="H199" s="41" t="s">
        <v>208</v>
      </c>
      <c r="J199" s="40" t="s">
        <v>759</v>
      </c>
      <c r="O199" s="40" t="s">
        <v>604</v>
      </c>
      <c r="P199" s="41" t="s">
        <v>605</v>
      </c>
      <c r="Q199" s="41" t="s">
        <v>119</v>
      </c>
      <c r="R199" s="41" t="s">
        <v>762</v>
      </c>
      <c r="S199" s="86" t="s">
        <v>104</v>
      </c>
      <c r="T199" s="86">
        <v>45748</v>
      </c>
      <c r="U199" s="40" t="s">
        <v>604</v>
      </c>
      <c r="V199" s="41" t="s">
        <v>605</v>
      </c>
      <c r="W199" s="41" t="s">
        <v>119</v>
      </c>
      <c r="X199" s="41" t="s">
        <v>2181</v>
      </c>
      <c r="Y199" s="64">
        <v>45920</v>
      </c>
      <c r="Z199" s="64"/>
      <c r="AA199" s="40" t="s">
        <v>604</v>
      </c>
      <c r="AB199" s="41" t="s">
        <v>607</v>
      </c>
      <c r="AC199" s="41" t="s">
        <v>119</v>
      </c>
      <c r="AD199" s="41" t="s">
        <v>763</v>
      </c>
      <c r="AE199" s="41" t="s">
        <v>162</v>
      </c>
      <c r="AF199" s="42"/>
      <c r="AH199" s="41" t="s">
        <v>1194</v>
      </c>
      <c r="AI199" s="41" t="s">
        <v>1630</v>
      </c>
      <c r="AJ199" s="41" t="s">
        <v>2175</v>
      </c>
    </row>
    <row r="200" spans="6:36" ht="43.5" x14ac:dyDescent="0.35">
      <c r="F200" s="40" t="s">
        <v>2067</v>
      </c>
      <c r="G200" s="40" t="s">
        <v>603</v>
      </c>
      <c r="H200" s="41" t="s">
        <v>208</v>
      </c>
      <c r="J200" s="40" t="s">
        <v>753</v>
      </c>
      <c r="O200" s="40" t="s">
        <v>604</v>
      </c>
      <c r="P200" s="41" t="s">
        <v>605</v>
      </c>
      <c r="Q200" s="41" t="s">
        <v>119</v>
      </c>
      <c r="R200" s="41" t="s">
        <v>765</v>
      </c>
      <c r="S200" s="86" t="s">
        <v>104</v>
      </c>
      <c r="T200" s="86">
        <v>45748</v>
      </c>
      <c r="U200" s="40" t="s">
        <v>604</v>
      </c>
      <c r="V200" s="41" t="s">
        <v>605</v>
      </c>
      <c r="W200" s="41" t="s">
        <v>119</v>
      </c>
      <c r="X200" s="41" t="s">
        <v>2182</v>
      </c>
      <c r="Y200" s="64">
        <v>45920</v>
      </c>
      <c r="Z200" s="64"/>
      <c r="AA200" s="40" t="s">
        <v>604</v>
      </c>
      <c r="AB200" s="41" t="s">
        <v>607</v>
      </c>
      <c r="AC200" s="41" t="s">
        <v>119</v>
      </c>
      <c r="AD200" s="41" t="s">
        <v>766</v>
      </c>
      <c r="AE200" s="41" t="s">
        <v>162</v>
      </c>
      <c r="AF200" s="42"/>
      <c r="AH200" s="41" t="s">
        <v>1195</v>
      </c>
      <c r="AI200" s="41" t="s">
        <v>1631</v>
      </c>
      <c r="AJ200" s="41" t="s">
        <v>2175</v>
      </c>
    </row>
    <row r="201" spans="6:36" ht="43.5" x14ac:dyDescent="0.35">
      <c r="F201" s="40" t="s">
        <v>2068</v>
      </c>
      <c r="G201" s="40" t="s">
        <v>603</v>
      </c>
      <c r="H201" s="41" t="s">
        <v>208</v>
      </c>
      <c r="J201" s="40" t="s">
        <v>757</v>
      </c>
      <c r="O201" s="40" t="s">
        <v>604</v>
      </c>
      <c r="P201" s="41" t="s">
        <v>605</v>
      </c>
      <c r="Q201" s="41" t="s">
        <v>119</v>
      </c>
      <c r="R201" s="41" t="s">
        <v>765</v>
      </c>
      <c r="S201" s="86" t="s">
        <v>104</v>
      </c>
      <c r="T201" s="86">
        <v>45748</v>
      </c>
      <c r="U201" s="40" t="s">
        <v>604</v>
      </c>
      <c r="V201" s="41" t="s">
        <v>605</v>
      </c>
      <c r="W201" s="41" t="s">
        <v>119</v>
      </c>
      <c r="X201" s="41" t="s">
        <v>2182</v>
      </c>
      <c r="Y201" s="64">
        <v>45920</v>
      </c>
      <c r="Z201" s="64"/>
      <c r="AA201" s="40" t="s">
        <v>604</v>
      </c>
      <c r="AB201" s="41" t="s">
        <v>607</v>
      </c>
      <c r="AC201" s="41" t="s">
        <v>119</v>
      </c>
      <c r="AD201" s="41" t="s">
        <v>766</v>
      </c>
      <c r="AE201" s="41" t="s">
        <v>162</v>
      </c>
      <c r="AF201" s="42"/>
      <c r="AH201" s="41" t="s">
        <v>1196</v>
      </c>
      <c r="AI201" s="41" t="s">
        <v>1632</v>
      </c>
      <c r="AJ201" s="41" t="s">
        <v>2175</v>
      </c>
    </row>
    <row r="202" spans="6:36" ht="43.5" x14ac:dyDescent="0.35">
      <c r="F202" s="40" t="s">
        <v>2069</v>
      </c>
      <c r="G202" s="40" t="s">
        <v>603</v>
      </c>
      <c r="H202" s="41" t="s">
        <v>208</v>
      </c>
      <c r="J202" s="40" t="s">
        <v>616</v>
      </c>
      <c r="O202" s="40" t="s">
        <v>604</v>
      </c>
      <c r="P202" s="41" t="s">
        <v>605</v>
      </c>
      <c r="Q202" s="41" t="s">
        <v>119</v>
      </c>
      <c r="R202" s="41" t="s">
        <v>765</v>
      </c>
      <c r="S202" s="86" t="s">
        <v>104</v>
      </c>
      <c r="T202" s="86">
        <v>45748</v>
      </c>
      <c r="U202" s="40" t="s">
        <v>604</v>
      </c>
      <c r="V202" s="41" t="s">
        <v>605</v>
      </c>
      <c r="W202" s="41" t="s">
        <v>119</v>
      </c>
      <c r="X202" s="41" t="s">
        <v>2182</v>
      </c>
      <c r="Y202" s="64">
        <v>45920</v>
      </c>
      <c r="Z202" s="64"/>
      <c r="AA202" s="40" t="s">
        <v>604</v>
      </c>
      <c r="AB202" s="41" t="s">
        <v>607</v>
      </c>
      <c r="AC202" s="41" t="s">
        <v>119</v>
      </c>
      <c r="AD202" s="41" t="s">
        <v>766</v>
      </c>
      <c r="AE202" s="41" t="s">
        <v>162</v>
      </c>
      <c r="AF202" s="42"/>
      <c r="AH202" s="41" t="s">
        <v>1197</v>
      </c>
      <c r="AI202" s="41" t="s">
        <v>1633</v>
      </c>
      <c r="AJ202" s="41" t="s">
        <v>2175</v>
      </c>
    </row>
    <row r="203" spans="6:36" ht="43.5" x14ac:dyDescent="0.35">
      <c r="F203" s="40" t="s">
        <v>2070</v>
      </c>
      <c r="G203" s="40" t="s">
        <v>603</v>
      </c>
      <c r="H203" s="41" t="s">
        <v>208</v>
      </c>
      <c r="J203" s="40" t="s">
        <v>759</v>
      </c>
      <c r="O203" s="40" t="s">
        <v>604</v>
      </c>
      <c r="P203" s="41" t="s">
        <v>605</v>
      </c>
      <c r="Q203" s="41" t="s">
        <v>119</v>
      </c>
      <c r="R203" s="41" t="s">
        <v>765</v>
      </c>
      <c r="S203" s="86" t="s">
        <v>104</v>
      </c>
      <c r="T203" s="86">
        <v>45748</v>
      </c>
      <c r="U203" s="40" t="s">
        <v>604</v>
      </c>
      <c r="V203" s="41" t="s">
        <v>605</v>
      </c>
      <c r="W203" s="41" t="s">
        <v>119</v>
      </c>
      <c r="X203" s="41" t="s">
        <v>2182</v>
      </c>
      <c r="Y203" s="64">
        <v>45920</v>
      </c>
      <c r="Z203" s="64"/>
      <c r="AA203" s="40" t="s">
        <v>604</v>
      </c>
      <c r="AB203" s="41" t="s">
        <v>607</v>
      </c>
      <c r="AC203" s="41" t="s">
        <v>119</v>
      </c>
      <c r="AD203" s="41" t="s">
        <v>766</v>
      </c>
      <c r="AE203" s="41" t="s">
        <v>162</v>
      </c>
      <c r="AF203" s="42"/>
      <c r="AH203" s="41" t="s">
        <v>1198</v>
      </c>
      <c r="AI203" s="41" t="s">
        <v>1634</v>
      </c>
      <c r="AJ203" s="41" t="s">
        <v>2175</v>
      </c>
    </row>
    <row r="204" spans="6:36" ht="43.5" x14ac:dyDescent="0.35">
      <c r="F204" s="40" t="s">
        <v>2071</v>
      </c>
      <c r="G204" s="40" t="s">
        <v>603</v>
      </c>
      <c r="H204" s="41" t="s">
        <v>208</v>
      </c>
      <c r="J204" s="40" t="s">
        <v>760</v>
      </c>
      <c r="O204" s="40" t="s">
        <v>604</v>
      </c>
      <c r="P204" s="41" t="s">
        <v>605</v>
      </c>
      <c r="Q204" s="41" t="s">
        <v>119</v>
      </c>
      <c r="R204" s="41" t="s">
        <v>765</v>
      </c>
      <c r="S204" s="86" t="s">
        <v>104</v>
      </c>
      <c r="T204" s="86">
        <v>45748</v>
      </c>
      <c r="U204" s="40" t="s">
        <v>604</v>
      </c>
      <c r="V204" s="41" t="s">
        <v>605</v>
      </c>
      <c r="W204" s="41" t="s">
        <v>119</v>
      </c>
      <c r="X204" s="41" t="s">
        <v>2182</v>
      </c>
      <c r="Y204" s="64">
        <v>45920</v>
      </c>
      <c r="Z204" s="64"/>
      <c r="AA204" s="40" t="s">
        <v>604</v>
      </c>
      <c r="AB204" s="41" t="s">
        <v>607</v>
      </c>
      <c r="AC204" s="41" t="s">
        <v>119</v>
      </c>
      <c r="AD204" s="41" t="s">
        <v>766</v>
      </c>
      <c r="AE204" s="41" t="s">
        <v>162</v>
      </c>
      <c r="AF204" s="42"/>
      <c r="AH204" s="41" t="s">
        <v>1199</v>
      </c>
      <c r="AI204" s="41" t="s">
        <v>1635</v>
      </c>
      <c r="AJ204" s="41" t="s">
        <v>2175</v>
      </c>
    </row>
    <row r="205" spans="6:36" ht="43.5" x14ac:dyDescent="0.35">
      <c r="F205" s="40" t="s">
        <v>2072</v>
      </c>
      <c r="G205" s="40" t="s">
        <v>603</v>
      </c>
      <c r="H205" s="41" t="s">
        <v>208</v>
      </c>
      <c r="J205" s="40" t="s">
        <v>678</v>
      </c>
      <c r="O205" s="40" t="s">
        <v>604</v>
      </c>
      <c r="P205" s="41" t="s">
        <v>605</v>
      </c>
      <c r="Q205" s="41" t="s">
        <v>119</v>
      </c>
      <c r="R205" s="41" t="s">
        <v>765</v>
      </c>
      <c r="S205" s="86" t="s">
        <v>104</v>
      </c>
      <c r="T205" s="86">
        <v>45748</v>
      </c>
      <c r="U205" s="40" t="s">
        <v>604</v>
      </c>
      <c r="V205" s="41" t="s">
        <v>605</v>
      </c>
      <c r="W205" s="41" t="s">
        <v>119</v>
      </c>
      <c r="X205" s="41" t="s">
        <v>2182</v>
      </c>
      <c r="Y205" s="64">
        <v>45920</v>
      </c>
      <c r="Z205" s="64"/>
      <c r="AA205" s="40" t="s">
        <v>604</v>
      </c>
      <c r="AB205" s="41" t="s">
        <v>607</v>
      </c>
      <c r="AC205" s="41" t="s">
        <v>119</v>
      </c>
      <c r="AD205" s="41" t="s">
        <v>766</v>
      </c>
      <c r="AE205" s="41" t="s">
        <v>162</v>
      </c>
      <c r="AF205" s="42"/>
      <c r="AH205" s="41" t="s">
        <v>1200</v>
      </c>
      <c r="AI205" s="41" t="s">
        <v>1636</v>
      </c>
      <c r="AJ205" s="41" t="s">
        <v>2175</v>
      </c>
    </row>
    <row r="206" spans="6:36" ht="43.5" x14ac:dyDescent="0.35">
      <c r="F206" s="40" t="s">
        <v>2073</v>
      </c>
      <c r="G206" s="40" t="s">
        <v>603</v>
      </c>
      <c r="H206" s="41" t="s">
        <v>208</v>
      </c>
      <c r="J206" s="40" t="s">
        <v>767</v>
      </c>
      <c r="O206" s="40" t="s">
        <v>604</v>
      </c>
      <c r="P206" s="41" t="s">
        <v>605</v>
      </c>
      <c r="Q206" s="41" t="s">
        <v>119</v>
      </c>
      <c r="R206" s="41" t="s">
        <v>765</v>
      </c>
      <c r="S206" s="86" t="s">
        <v>104</v>
      </c>
      <c r="T206" s="86">
        <v>45748</v>
      </c>
      <c r="U206" s="40" t="s">
        <v>604</v>
      </c>
      <c r="V206" s="41" t="s">
        <v>605</v>
      </c>
      <c r="W206" s="41" t="s">
        <v>119</v>
      </c>
      <c r="X206" s="41" t="s">
        <v>2182</v>
      </c>
      <c r="Y206" s="64">
        <v>45920</v>
      </c>
      <c r="Z206" s="64"/>
      <c r="AA206" s="40" t="s">
        <v>604</v>
      </c>
      <c r="AB206" s="41" t="s">
        <v>607</v>
      </c>
      <c r="AC206" s="41" t="s">
        <v>119</v>
      </c>
      <c r="AD206" s="41" t="s">
        <v>766</v>
      </c>
      <c r="AE206" s="41" t="s">
        <v>162</v>
      </c>
      <c r="AF206" s="42"/>
      <c r="AH206" s="41" t="s">
        <v>1201</v>
      </c>
      <c r="AI206" s="41" t="s">
        <v>1637</v>
      </c>
      <c r="AJ206" s="41" t="s">
        <v>2175</v>
      </c>
    </row>
    <row r="207" spans="6:36" ht="29" x14ac:dyDescent="0.35">
      <c r="F207" s="40" t="s">
        <v>2074</v>
      </c>
      <c r="G207" s="40" t="s">
        <v>603</v>
      </c>
      <c r="H207" s="41" t="s">
        <v>208</v>
      </c>
      <c r="J207" s="40" t="s">
        <v>761</v>
      </c>
      <c r="O207" s="40" t="s">
        <v>604</v>
      </c>
      <c r="P207" s="41" t="s">
        <v>605</v>
      </c>
      <c r="Q207" s="41" t="s">
        <v>119</v>
      </c>
      <c r="R207" s="41" t="s">
        <v>768</v>
      </c>
      <c r="S207" s="86" t="s">
        <v>104</v>
      </c>
      <c r="T207" s="86">
        <v>45748</v>
      </c>
      <c r="U207" s="40" t="s">
        <v>604</v>
      </c>
      <c r="V207" s="41" t="s">
        <v>605</v>
      </c>
      <c r="W207" s="41" t="s">
        <v>119</v>
      </c>
      <c r="X207" s="41" t="s">
        <v>2183</v>
      </c>
      <c r="Y207" s="64">
        <v>45920</v>
      </c>
      <c r="Z207" s="64"/>
      <c r="AA207" s="40" t="s">
        <v>604</v>
      </c>
      <c r="AB207" s="41" t="s">
        <v>607</v>
      </c>
      <c r="AC207" s="41" t="s">
        <v>119</v>
      </c>
      <c r="AD207" s="41" t="s">
        <v>769</v>
      </c>
      <c r="AE207" s="41" t="s">
        <v>162</v>
      </c>
      <c r="AF207" s="42"/>
      <c r="AH207" s="41" t="s">
        <v>1202</v>
      </c>
      <c r="AI207" s="41" t="s">
        <v>1638</v>
      </c>
      <c r="AJ207" s="41" t="s">
        <v>2175</v>
      </c>
    </row>
    <row r="208" spans="6:36" ht="29" x14ac:dyDescent="0.35">
      <c r="F208" s="40" t="s">
        <v>2075</v>
      </c>
      <c r="G208" s="40" t="s">
        <v>603</v>
      </c>
      <c r="H208" s="41" t="s">
        <v>208</v>
      </c>
      <c r="J208" s="40" t="s">
        <v>764</v>
      </c>
      <c r="O208" s="40" t="s">
        <v>604</v>
      </c>
      <c r="P208" s="41" t="s">
        <v>605</v>
      </c>
      <c r="Q208" s="41" t="s">
        <v>119</v>
      </c>
      <c r="R208" s="41" t="s">
        <v>768</v>
      </c>
      <c r="S208" s="86" t="s">
        <v>104</v>
      </c>
      <c r="T208" s="86">
        <v>45748</v>
      </c>
      <c r="U208" s="40" t="s">
        <v>604</v>
      </c>
      <c r="V208" s="41" t="s">
        <v>605</v>
      </c>
      <c r="W208" s="41" t="s">
        <v>119</v>
      </c>
      <c r="X208" s="41" t="s">
        <v>2183</v>
      </c>
      <c r="Y208" s="64">
        <v>45920</v>
      </c>
      <c r="Z208" s="64"/>
      <c r="AA208" s="40" t="s">
        <v>604</v>
      </c>
      <c r="AB208" s="41" t="s">
        <v>607</v>
      </c>
      <c r="AC208" s="41" t="s">
        <v>119</v>
      </c>
      <c r="AD208" s="41" t="s">
        <v>769</v>
      </c>
      <c r="AE208" s="41" t="s">
        <v>162</v>
      </c>
      <c r="AF208" s="42"/>
      <c r="AH208" s="41" t="s">
        <v>1203</v>
      </c>
      <c r="AI208" s="41" t="s">
        <v>1639</v>
      </c>
      <c r="AJ208" s="41" t="s">
        <v>2175</v>
      </c>
    </row>
    <row r="209" spans="6:36" ht="29" x14ac:dyDescent="0.35">
      <c r="F209" s="40" t="s">
        <v>2076</v>
      </c>
      <c r="G209" s="40" t="s">
        <v>603</v>
      </c>
      <c r="H209" s="41" t="s">
        <v>208</v>
      </c>
      <c r="J209" s="40" t="s">
        <v>616</v>
      </c>
      <c r="O209" s="40" t="s">
        <v>604</v>
      </c>
      <c r="P209" s="41" t="s">
        <v>605</v>
      </c>
      <c r="Q209" s="41" t="s">
        <v>119</v>
      </c>
      <c r="R209" s="41" t="s">
        <v>768</v>
      </c>
      <c r="S209" s="86" t="s">
        <v>104</v>
      </c>
      <c r="T209" s="86">
        <v>45748</v>
      </c>
      <c r="U209" s="40" t="s">
        <v>604</v>
      </c>
      <c r="V209" s="41" t="s">
        <v>605</v>
      </c>
      <c r="W209" s="41" t="s">
        <v>119</v>
      </c>
      <c r="X209" s="41" t="s">
        <v>2183</v>
      </c>
      <c r="Y209" s="64">
        <v>45920</v>
      </c>
      <c r="Z209" s="64"/>
      <c r="AA209" s="40" t="s">
        <v>604</v>
      </c>
      <c r="AB209" s="41" t="s">
        <v>607</v>
      </c>
      <c r="AC209" s="41" t="s">
        <v>119</v>
      </c>
      <c r="AD209" s="41" t="s">
        <v>769</v>
      </c>
      <c r="AE209" s="41" t="s">
        <v>162</v>
      </c>
      <c r="AF209" s="42"/>
      <c r="AH209" s="41" t="s">
        <v>1204</v>
      </c>
      <c r="AI209" s="41" t="s">
        <v>1640</v>
      </c>
      <c r="AJ209" s="41" t="s">
        <v>2175</v>
      </c>
    </row>
    <row r="210" spans="6:36" ht="29" x14ac:dyDescent="0.35">
      <c r="F210" s="40" t="s">
        <v>2077</v>
      </c>
      <c r="G210" s="40" t="s">
        <v>603</v>
      </c>
      <c r="H210" s="41" t="s">
        <v>208</v>
      </c>
      <c r="J210" s="40" t="s">
        <v>759</v>
      </c>
      <c r="O210" s="40" t="s">
        <v>604</v>
      </c>
      <c r="P210" s="41" t="s">
        <v>605</v>
      </c>
      <c r="Q210" s="41" t="s">
        <v>119</v>
      </c>
      <c r="R210" s="41" t="s">
        <v>768</v>
      </c>
      <c r="S210" s="86" t="s">
        <v>104</v>
      </c>
      <c r="T210" s="86">
        <v>45748</v>
      </c>
      <c r="U210" s="40" t="s">
        <v>604</v>
      </c>
      <c r="V210" s="41" t="s">
        <v>605</v>
      </c>
      <c r="W210" s="41" t="s">
        <v>119</v>
      </c>
      <c r="X210" s="41" t="s">
        <v>2183</v>
      </c>
      <c r="Y210" s="64">
        <v>45920</v>
      </c>
      <c r="Z210" s="64"/>
      <c r="AA210" s="40" t="s">
        <v>604</v>
      </c>
      <c r="AB210" s="41" t="s">
        <v>607</v>
      </c>
      <c r="AC210" s="41" t="s">
        <v>119</v>
      </c>
      <c r="AD210" s="41" t="s">
        <v>769</v>
      </c>
      <c r="AE210" s="41" t="s">
        <v>162</v>
      </c>
      <c r="AF210" s="42"/>
      <c r="AH210" s="41" t="s">
        <v>1205</v>
      </c>
      <c r="AI210" s="41" t="s">
        <v>1641</v>
      </c>
      <c r="AJ210" s="41" t="s">
        <v>2175</v>
      </c>
    </row>
    <row r="211" spans="6:36" ht="29" x14ac:dyDescent="0.35">
      <c r="F211" s="40" t="s">
        <v>2078</v>
      </c>
      <c r="G211" s="40" t="s">
        <v>603</v>
      </c>
      <c r="H211" s="41" t="s">
        <v>208</v>
      </c>
      <c r="J211" s="40" t="s">
        <v>760</v>
      </c>
      <c r="O211" s="40" t="s">
        <v>604</v>
      </c>
      <c r="P211" s="41" t="s">
        <v>605</v>
      </c>
      <c r="Q211" s="41" t="s">
        <v>119</v>
      </c>
      <c r="R211" s="41" t="s">
        <v>768</v>
      </c>
      <c r="S211" s="86" t="s">
        <v>104</v>
      </c>
      <c r="T211" s="86">
        <v>45748</v>
      </c>
      <c r="U211" s="40" t="s">
        <v>604</v>
      </c>
      <c r="V211" s="41" t="s">
        <v>605</v>
      </c>
      <c r="W211" s="41" t="s">
        <v>119</v>
      </c>
      <c r="X211" s="41" t="s">
        <v>2183</v>
      </c>
      <c r="Y211" s="64">
        <v>45920</v>
      </c>
      <c r="Z211" s="64"/>
      <c r="AA211" s="40" t="s">
        <v>604</v>
      </c>
      <c r="AB211" s="41" t="s">
        <v>607</v>
      </c>
      <c r="AC211" s="41" t="s">
        <v>119</v>
      </c>
      <c r="AD211" s="41" t="s">
        <v>769</v>
      </c>
      <c r="AE211" s="41" t="s">
        <v>162</v>
      </c>
      <c r="AF211" s="42"/>
      <c r="AH211" s="41" t="s">
        <v>1206</v>
      </c>
      <c r="AI211" s="41" t="s">
        <v>1642</v>
      </c>
      <c r="AJ211" s="41" t="s">
        <v>2175</v>
      </c>
    </row>
    <row r="212" spans="6:36" ht="29" x14ac:dyDescent="0.35">
      <c r="F212" s="40" t="s">
        <v>2079</v>
      </c>
      <c r="G212" s="40" t="s">
        <v>603</v>
      </c>
      <c r="H212" s="41" t="s">
        <v>208</v>
      </c>
      <c r="J212" s="40" t="s">
        <v>656</v>
      </c>
      <c r="O212" s="40" t="s">
        <v>604</v>
      </c>
      <c r="P212" s="41" t="s">
        <v>605</v>
      </c>
      <c r="Q212" s="41" t="s">
        <v>119</v>
      </c>
      <c r="R212" s="41" t="s">
        <v>768</v>
      </c>
      <c r="S212" s="86" t="s">
        <v>104</v>
      </c>
      <c r="T212" s="86">
        <v>45748</v>
      </c>
      <c r="U212" s="40" t="s">
        <v>604</v>
      </c>
      <c r="V212" s="41" t="s">
        <v>605</v>
      </c>
      <c r="W212" s="41" t="s">
        <v>119</v>
      </c>
      <c r="X212" s="41" t="s">
        <v>2183</v>
      </c>
      <c r="Y212" s="64">
        <v>45920</v>
      </c>
      <c r="Z212" s="64"/>
      <c r="AA212" s="40" t="s">
        <v>604</v>
      </c>
      <c r="AB212" s="41" t="s">
        <v>607</v>
      </c>
      <c r="AC212" s="41" t="s">
        <v>119</v>
      </c>
      <c r="AD212" s="41" t="s">
        <v>769</v>
      </c>
      <c r="AE212" s="41" t="s">
        <v>162</v>
      </c>
      <c r="AF212" s="42"/>
      <c r="AH212" s="41" t="s">
        <v>1207</v>
      </c>
      <c r="AI212" s="41" t="s">
        <v>1643</v>
      </c>
      <c r="AJ212" s="41" t="s">
        <v>2175</v>
      </c>
    </row>
    <row r="213" spans="6:36" ht="29" x14ac:dyDescent="0.35">
      <c r="F213" s="40" t="s">
        <v>2080</v>
      </c>
      <c r="G213" s="40" t="s">
        <v>603</v>
      </c>
      <c r="H213" s="41" t="s">
        <v>208</v>
      </c>
      <c r="J213" s="40" t="s">
        <v>753</v>
      </c>
      <c r="O213" s="40" t="s">
        <v>604</v>
      </c>
      <c r="P213" s="41" t="s">
        <v>605</v>
      </c>
      <c r="Q213" s="41" t="s">
        <v>119</v>
      </c>
      <c r="R213" s="41" t="s">
        <v>770</v>
      </c>
      <c r="S213" s="86" t="s">
        <v>104</v>
      </c>
      <c r="T213" s="86">
        <v>45748</v>
      </c>
      <c r="U213" s="40" t="s">
        <v>604</v>
      </c>
      <c r="V213" s="41" t="s">
        <v>605</v>
      </c>
      <c r="W213" s="41" t="s">
        <v>119</v>
      </c>
      <c r="X213" s="41" t="s">
        <v>2184</v>
      </c>
      <c r="Y213" s="64">
        <v>45920</v>
      </c>
      <c r="Z213" s="64"/>
      <c r="AA213" s="40" t="s">
        <v>604</v>
      </c>
      <c r="AB213" s="41" t="s">
        <v>607</v>
      </c>
      <c r="AC213" s="41" t="s">
        <v>119</v>
      </c>
      <c r="AD213" s="41" t="s">
        <v>771</v>
      </c>
      <c r="AE213" s="41" t="s">
        <v>162</v>
      </c>
      <c r="AF213" s="42"/>
      <c r="AH213" s="41" t="s">
        <v>1208</v>
      </c>
      <c r="AI213" s="41" t="s">
        <v>1644</v>
      </c>
      <c r="AJ213" s="41" t="s">
        <v>2175</v>
      </c>
    </row>
    <row r="214" spans="6:36" ht="29" x14ac:dyDescent="0.35">
      <c r="F214" s="40" t="s">
        <v>2081</v>
      </c>
      <c r="G214" s="40" t="s">
        <v>603</v>
      </c>
      <c r="H214" s="41" t="s">
        <v>208</v>
      </c>
      <c r="J214" s="40" t="s">
        <v>757</v>
      </c>
      <c r="O214" s="40" t="s">
        <v>604</v>
      </c>
      <c r="P214" s="41" t="s">
        <v>605</v>
      </c>
      <c r="Q214" s="41" t="s">
        <v>119</v>
      </c>
      <c r="R214" s="41" t="s">
        <v>770</v>
      </c>
      <c r="S214" s="86" t="s">
        <v>104</v>
      </c>
      <c r="T214" s="86">
        <v>45748</v>
      </c>
      <c r="U214" s="40" t="s">
        <v>604</v>
      </c>
      <c r="V214" s="41" t="s">
        <v>605</v>
      </c>
      <c r="W214" s="41" t="s">
        <v>119</v>
      </c>
      <c r="X214" s="41" t="s">
        <v>2184</v>
      </c>
      <c r="Y214" s="64">
        <v>45920</v>
      </c>
      <c r="Z214" s="64"/>
      <c r="AA214" s="40" t="s">
        <v>604</v>
      </c>
      <c r="AB214" s="41" t="s">
        <v>607</v>
      </c>
      <c r="AC214" s="41" t="s">
        <v>119</v>
      </c>
      <c r="AD214" s="41" t="s">
        <v>771</v>
      </c>
      <c r="AE214" s="41" t="s">
        <v>162</v>
      </c>
      <c r="AF214" s="42"/>
      <c r="AH214" s="41" t="s">
        <v>1209</v>
      </c>
      <c r="AI214" s="41" t="s">
        <v>1645</v>
      </c>
      <c r="AJ214" s="41" t="s">
        <v>2175</v>
      </c>
    </row>
    <row r="215" spans="6:36" ht="29" x14ac:dyDescent="0.35">
      <c r="F215" s="40" t="s">
        <v>2082</v>
      </c>
      <c r="G215" s="40" t="s">
        <v>603</v>
      </c>
      <c r="H215" s="41" t="s">
        <v>208</v>
      </c>
      <c r="J215" s="40" t="s">
        <v>616</v>
      </c>
      <c r="O215" s="40" t="s">
        <v>604</v>
      </c>
      <c r="P215" s="41" t="s">
        <v>605</v>
      </c>
      <c r="Q215" s="41" t="s">
        <v>119</v>
      </c>
      <c r="R215" s="41" t="s">
        <v>770</v>
      </c>
      <c r="S215" s="86" t="s">
        <v>104</v>
      </c>
      <c r="T215" s="86">
        <v>45748</v>
      </c>
      <c r="U215" s="40" t="s">
        <v>604</v>
      </c>
      <c r="V215" s="41" t="s">
        <v>605</v>
      </c>
      <c r="W215" s="41" t="s">
        <v>119</v>
      </c>
      <c r="X215" s="41" t="s">
        <v>2184</v>
      </c>
      <c r="Y215" s="64">
        <v>45920</v>
      </c>
      <c r="Z215" s="64"/>
      <c r="AA215" s="40" t="s">
        <v>604</v>
      </c>
      <c r="AB215" s="41" t="s">
        <v>607</v>
      </c>
      <c r="AC215" s="41" t="s">
        <v>119</v>
      </c>
      <c r="AD215" s="41" t="s">
        <v>771</v>
      </c>
      <c r="AE215" s="41" t="s">
        <v>162</v>
      </c>
      <c r="AF215" s="42"/>
      <c r="AH215" s="41" t="s">
        <v>1210</v>
      </c>
      <c r="AI215" s="41" t="s">
        <v>1646</v>
      </c>
      <c r="AJ215" s="41" t="s">
        <v>2175</v>
      </c>
    </row>
    <row r="216" spans="6:36" ht="29" x14ac:dyDescent="0.35">
      <c r="F216" s="40" t="s">
        <v>2083</v>
      </c>
      <c r="G216" s="40" t="s">
        <v>603</v>
      </c>
      <c r="H216" s="41" t="s">
        <v>208</v>
      </c>
      <c r="J216" s="40" t="s">
        <v>759</v>
      </c>
      <c r="O216" s="40" t="s">
        <v>604</v>
      </c>
      <c r="P216" s="41" t="s">
        <v>605</v>
      </c>
      <c r="Q216" s="41" t="s">
        <v>119</v>
      </c>
      <c r="R216" s="41" t="s">
        <v>770</v>
      </c>
      <c r="S216" s="86" t="s">
        <v>104</v>
      </c>
      <c r="T216" s="86">
        <v>45748</v>
      </c>
      <c r="U216" s="40" t="s">
        <v>604</v>
      </c>
      <c r="V216" s="41" t="s">
        <v>605</v>
      </c>
      <c r="W216" s="41" t="s">
        <v>119</v>
      </c>
      <c r="X216" s="41" t="s">
        <v>2184</v>
      </c>
      <c r="Y216" s="64">
        <v>45920</v>
      </c>
      <c r="Z216" s="64"/>
      <c r="AA216" s="40" t="s">
        <v>604</v>
      </c>
      <c r="AB216" s="41" t="s">
        <v>607</v>
      </c>
      <c r="AC216" s="41" t="s">
        <v>119</v>
      </c>
      <c r="AD216" s="41" t="s">
        <v>771</v>
      </c>
      <c r="AE216" s="41" t="s">
        <v>162</v>
      </c>
      <c r="AF216" s="42"/>
      <c r="AH216" s="41" t="s">
        <v>1211</v>
      </c>
      <c r="AI216" s="41" t="s">
        <v>1647</v>
      </c>
      <c r="AJ216" s="41" t="s">
        <v>2175</v>
      </c>
    </row>
    <row r="217" spans="6:36" ht="29" x14ac:dyDescent="0.35">
      <c r="F217" s="40" t="s">
        <v>2084</v>
      </c>
      <c r="G217" s="40" t="s">
        <v>603</v>
      </c>
      <c r="H217" s="41" t="s">
        <v>208</v>
      </c>
      <c r="J217" s="40" t="s">
        <v>760</v>
      </c>
      <c r="O217" s="40" t="s">
        <v>604</v>
      </c>
      <c r="P217" s="41" t="s">
        <v>605</v>
      </c>
      <c r="Q217" s="41" t="s">
        <v>119</v>
      </c>
      <c r="R217" s="41" t="s">
        <v>770</v>
      </c>
      <c r="S217" s="86" t="s">
        <v>104</v>
      </c>
      <c r="T217" s="86">
        <v>45748</v>
      </c>
      <c r="U217" s="40" t="s">
        <v>604</v>
      </c>
      <c r="V217" s="41" t="s">
        <v>605</v>
      </c>
      <c r="W217" s="41" t="s">
        <v>119</v>
      </c>
      <c r="X217" s="41" t="s">
        <v>2184</v>
      </c>
      <c r="Y217" s="64">
        <v>45920</v>
      </c>
      <c r="Z217" s="64"/>
      <c r="AA217" s="40" t="s">
        <v>604</v>
      </c>
      <c r="AB217" s="41" t="s">
        <v>607</v>
      </c>
      <c r="AC217" s="41" t="s">
        <v>119</v>
      </c>
      <c r="AD217" s="41" t="s">
        <v>771</v>
      </c>
      <c r="AE217" s="41" t="s">
        <v>162</v>
      </c>
      <c r="AF217" s="42"/>
      <c r="AH217" s="41" t="s">
        <v>1212</v>
      </c>
      <c r="AI217" s="41" t="s">
        <v>1648</v>
      </c>
      <c r="AJ217" s="41" t="s">
        <v>2175</v>
      </c>
    </row>
    <row r="218" spans="6:36" ht="29" x14ac:dyDescent="0.35">
      <c r="F218" s="40" t="s">
        <v>2085</v>
      </c>
      <c r="G218" s="40" t="s">
        <v>603</v>
      </c>
      <c r="H218" s="41" t="s">
        <v>208</v>
      </c>
      <c r="J218" s="40" t="s">
        <v>767</v>
      </c>
      <c r="O218" s="40" t="s">
        <v>604</v>
      </c>
      <c r="P218" s="41" t="s">
        <v>605</v>
      </c>
      <c r="Q218" s="41" t="s">
        <v>119</v>
      </c>
      <c r="R218" s="41" t="s">
        <v>770</v>
      </c>
      <c r="S218" s="86" t="s">
        <v>104</v>
      </c>
      <c r="T218" s="86">
        <v>45748</v>
      </c>
      <c r="U218" s="40" t="s">
        <v>604</v>
      </c>
      <c r="V218" s="41" t="s">
        <v>605</v>
      </c>
      <c r="W218" s="41" t="s">
        <v>119</v>
      </c>
      <c r="X218" s="41" t="s">
        <v>2184</v>
      </c>
      <c r="Y218" s="64">
        <v>45920</v>
      </c>
      <c r="Z218" s="64"/>
      <c r="AA218" s="40" t="s">
        <v>604</v>
      </c>
      <c r="AB218" s="41" t="s">
        <v>607</v>
      </c>
      <c r="AC218" s="41" t="s">
        <v>119</v>
      </c>
      <c r="AD218" s="41" t="s">
        <v>771</v>
      </c>
      <c r="AE218" s="41" t="s">
        <v>162</v>
      </c>
      <c r="AF218" s="42"/>
      <c r="AH218" s="41" t="s">
        <v>1213</v>
      </c>
      <c r="AI218" s="41" t="s">
        <v>1649</v>
      </c>
      <c r="AJ218" s="41" t="s">
        <v>2175</v>
      </c>
    </row>
    <row r="219" spans="6:36" x14ac:dyDescent="0.35">
      <c r="F219" s="40" t="s">
        <v>2086</v>
      </c>
      <c r="G219" s="40" t="s">
        <v>603</v>
      </c>
      <c r="H219" s="41" t="s">
        <v>208</v>
      </c>
      <c r="J219" s="40" t="s">
        <v>761</v>
      </c>
      <c r="O219" s="40" t="s">
        <v>604</v>
      </c>
      <c r="P219" s="41" t="s">
        <v>605</v>
      </c>
      <c r="Q219" s="41" t="s">
        <v>119</v>
      </c>
      <c r="R219" s="41" t="s">
        <v>772</v>
      </c>
      <c r="S219" s="86" t="s">
        <v>104</v>
      </c>
      <c r="T219" s="86">
        <v>45748</v>
      </c>
      <c r="U219" s="40" t="s">
        <v>604</v>
      </c>
      <c r="V219" s="41" t="s">
        <v>605</v>
      </c>
      <c r="W219" s="41" t="s">
        <v>119</v>
      </c>
      <c r="X219" s="41" t="s">
        <v>2185</v>
      </c>
      <c r="Y219" s="64">
        <v>45920</v>
      </c>
      <c r="Z219" s="64"/>
      <c r="AA219" s="40" t="s">
        <v>604</v>
      </c>
      <c r="AB219" s="41" t="s">
        <v>607</v>
      </c>
      <c r="AC219" s="41" t="s">
        <v>119</v>
      </c>
      <c r="AD219" s="41" t="s">
        <v>763</v>
      </c>
      <c r="AE219" s="41" t="s">
        <v>162</v>
      </c>
      <c r="AF219" s="42"/>
      <c r="AH219" s="41" t="s">
        <v>1214</v>
      </c>
      <c r="AI219" s="41" t="s">
        <v>1650</v>
      </c>
      <c r="AJ219" s="41" t="s">
        <v>2175</v>
      </c>
    </row>
    <row r="220" spans="6:36" x14ac:dyDescent="0.35">
      <c r="F220" s="40" t="s">
        <v>2087</v>
      </c>
      <c r="G220" s="40" t="s">
        <v>603</v>
      </c>
      <c r="H220" s="41" t="s">
        <v>208</v>
      </c>
      <c r="J220" s="40" t="s">
        <v>764</v>
      </c>
      <c r="O220" s="40" t="s">
        <v>604</v>
      </c>
      <c r="P220" s="41" t="s">
        <v>605</v>
      </c>
      <c r="Q220" s="41" t="s">
        <v>119</v>
      </c>
      <c r="R220" s="41" t="s">
        <v>773</v>
      </c>
      <c r="S220" s="86" t="s">
        <v>104</v>
      </c>
      <c r="T220" s="86">
        <v>45748</v>
      </c>
      <c r="U220" s="40" t="s">
        <v>604</v>
      </c>
      <c r="V220" s="41" t="s">
        <v>605</v>
      </c>
      <c r="W220" s="41" t="s">
        <v>119</v>
      </c>
      <c r="X220" s="41" t="s">
        <v>2185</v>
      </c>
      <c r="Y220" s="64">
        <v>45920</v>
      </c>
      <c r="Z220" s="64"/>
      <c r="AA220" s="40" t="s">
        <v>604</v>
      </c>
      <c r="AB220" s="41" t="s">
        <v>607</v>
      </c>
      <c r="AC220" s="41" t="s">
        <v>119</v>
      </c>
      <c r="AD220" s="41" t="s">
        <v>763</v>
      </c>
      <c r="AE220" s="41" t="s">
        <v>162</v>
      </c>
      <c r="AF220" s="42"/>
      <c r="AH220" s="41" t="s">
        <v>1215</v>
      </c>
      <c r="AI220" s="41" t="s">
        <v>1651</v>
      </c>
      <c r="AJ220" s="41" t="s">
        <v>2175</v>
      </c>
    </row>
    <row r="221" spans="6:36" x14ac:dyDescent="0.35">
      <c r="F221" s="40" t="s">
        <v>2088</v>
      </c>
      <c r="G221" s="40" t="s">
        <v>603</v>
      </c>
      <c r="H221" s="41" t="s">
        <v>208</v>
      </c>
      <c r="J221" s="40" t="s">
        <v>616</v>
      </c>
      <c r="O221" s="40" t="s">
        <v>604</v>
      </c>
      <c r="P221" s="41" t="s">
        <v>605</v>
      </c>
      <c r="Q221" s="41" t="s">
        <v>119</v>
      </c>
      <c r="R221" s="41" t="s">
        <v>773</v>
      </c>
      <c r="S221" s="86" t="s">
        <v>104</v>
      </c>
      <c r="T221" s="86">
        <v>45748</v>
      </c>
      <c r="U221" s="40" t="s">
        <v>604</v>
      </c>
      <c r="V221" s="41" t="s">
        <v>605</v>
      </c>
      <c r="W221" s="41" t="s">
        <v>119</v>
      </c>
      <c r="X221" s="41" t="s">
        <v>2185</v>
      </c>
      <c r="Y221" s="64">
        <v>45920</v>
      </c>
      <c r="Z221" s="64"/>
      <c r="AA221" s="40" t="s">
        <v>604</v>
      </c>
      <c r="AB221" s="41" t="s">
        <v>607</v>
      </c>
      <c r="AC221" s="41" t="s">
        <v>119</v>
      </c>
      <c r="AD221" s="41" t="s">
        <v>763</v>
      </c>
      <c r="AE221" s="41" t="s">
        <v>162</v>
      </c>
      <c r="AF221" s="42"/>
      <c r="AH221" s="41" t="s">
        <v>1216</v>
      </c>
      <c r="AI221" s="41" t="s">
        <v>1652</v>
      </c>
      <c r="AJ221" s="41" t="s">
        <v>2175</v>
      </c>
    </row>
    <row r="222" spans="6:36" x14ac:dyDescent="0.35">
      <c r="F222" s="40" t="s">
        <v>2089</v>
      </c>
      <c r="G222" s="40" t="s">
        <v>603</v>
      </c>
      <c r="H222" s="41" t="s">
        <v>208</v>
      </c>
      <c r="J222" s="40" t="s">
        <v>759</v>
      </c>
      <c r="O222" s="40" t="s">
        <v>604</v>
      </c>
      <c r="P222" s="41" t="s">
        <v>605</v>
      </c>
      <c r="Q222" s="41" t="s">
        <v>119</v>
      </c>
      <c r="R222" s="41" t="s">
        <v>773</v>
      </c>
      <c r="S222" s="86" t="s">
        <v>104</v>
      </c>
      <c r="T222" s="86">
        <v>45748</v>
      </c>
      <c r="U222" s="40" t="s">
        <v>604</v>
      </c>
      <c r="V222" s="41" t="s">
        <v>605</v>
      </c>
      <c r="W222" s="41" t="s">
        <v>119</v>
      </c>
      <c r="X222" s="41" t="s">
        <v>2185</v>
      </c>
      <c r="Y222" s="64">
        <v>45920</v>
      </c>
      <c r="Z222" s="64"/>
      <c r="AA222" s="40" t="s">
        <v>604</v>
      </c>
      <c r="AB222" s="41" t="s">
        <v>607</v>
      </c>
      <c r="AC222" s="41" t="s">
        <v>119</v>
      </c>
      <c r="AD222" s="41" t="s">
        <v>763</v>
      </c>
      <c r="AE222" s="41" t="s">
        <v>162</v>
      </c>
      <c r="AF222" s="42"/>
      <c r="AH222" s="41" t="s">
        <v>1217</v>
      </c>
      <c r="AI222" s="41" t="s">
        <v>1653</v>
      </c>
      <c r="AJ222" s="41" t="s">
        <v>2175</v>
      </c>
    </row>
    <row r="223" spans="6:36" x14ac:dyDescent="0.35">
      <c r="F223" s="40" t="s">
        <v>2090</v>
      </c>
      <c r="G223" s="40" t="s">
        <v>603</v>
      </c>
      <c r="H223" s="41" t="s">
        <v>208</v>
      </c>
      <c r="J223" s="40" t="s">
        <v>760</v>
      </c>
      <c r="O223" s="40" t="s">
        <v>604</v>
      </c>
      <c r="P223" s="41" t="s">
        <v>605</v>
      </c>
      <c r="Q223" s="41" t="s">
        <v>119</v>
      </c>
      <c r="R223" s="41" t="s">
        <v>773</v>
      </c>
      <c r="S223" s="86" t="s">
        <v>104</v>
      </c>
      <c r="T223" s="86">
        <v>45748</v>
      </c>
      <c r="U223" s="40" t="s">
        <v>604</v>
      </c>
      <c r="V223" s="41" t="s">
        <v>605</v>
      </c>
      <c r="W223" s="41" t="s">
        <v>119</v>
      </c>
      <c r="X223" s="41" t="s">
        <v>2185</v>
      </c>
      <c r="Y223" s="64">
        <v>45920</v>
      </c>
      <c r="Z223" s="64"/>
      <c r="AA223" s="40" t="s">
        <v>604</v>
      </c>
      <c r="AB223" s="41" t="s">
        <v>607</v>
      </c>
      <c r="AC223" s="41" t="s">
        <v>119</v>
      </c>
      <c r="AD223" s="41" t="s">
        <v>763</v>
      </c>
      <c r="AE223" s="41" t="s">
        <v>162</v>
      </c>
      <c r="AF223" s="42"/>
      <c r="AH223" s="41" t="s">
        <v>1218</v>
      </c>
      <c r="AI223" s="41" t="s">
        <v>1654</v>
      </c>
      <c r="AJ223" s="41" t="s">
        <v>2175</v>
      </c>
    </row>
    <row r="224" spans="6:36" x14ac:dyDescent="0.35">
      <c r="F224" s="40" t="s">
        <v>2091</v>
      </c>
      <c r="G224" s="40" t="s">
        <v>603</v>
      </c>
      <c r="H224" s="41" t="s">
        <v>208</v>
      </c>
      <c r="J224" s="40" t="s">
        <v>774</v>
      </c>
      <c r="O224" s="40" t="s">
        <v>604</v>
      </c>
      <c r="P224" s="41" t="s">
        <v>605</v>
      </c>
      <c r="Q224" s="41" t="s">
        <v>119</v>
      </c>
      <c r="R224" s="41" t="s">
        <v>773</v>
      </c>
      <c r="S224" s="86" t="s">
        <v>104</v>
      </c>
      <c r="T224" s="86">
        <v>45748</v>
      </c>
      <c r="U224" s="40" t="s">
        <v>604</v>
      </c>
      <c r="V224" s="41" t="s">
        <v>605</v>
      </c>
      <c r="W224" s="41" t="s">
        <v>119</v>
      </c>
      <c r="X224" s="41" t="s">
        <v>2185</v>
      </c>
      <c r="Y224" s="64">
        <v>45920</v>
      </c>
      <c r="Z224" s="64"/>
      <c r="AA224" s="40" t="s">
        <v>604</v>
      </c>
      <c r="AB224" s="41" t="s">
        <v>607</v>
      </c>
      <c r="AC224" s="41" t="s">
        <v>119</v>
      </c>
      <c r="AD224" s="41" t="s">
        <v>763</v>
      </c>
      <c r="AE224" s="41" t="s">
        <v>162</v>
      </c>
      <c r="AF224" s="42"/>
      <c r="AH224" s="41" t="s">
        <v>1219</v>
      </c>
      <c r="AI224" s="41" t="s">
        <v>1655</v>
      </c>
      <c r="AJ224" s="41" t="s">
        <v>2175</v>
      </c>
    </row>
    <row r="225" spans="6:36" ht="29" x14ac:dyDescent="0.35">
      <c r="F225" s="40" t="s">
        <v>2092</v>
      </c>
      <c r="G225" s="40" t="s">
        <v>603</v>
      </c>
      <c r="H225" s="41" t="s">
        <v>208</v>
      </c>
      <c r="J225" s="40" t="s">
        <v>753</v>
      </c>
      <c r="O225" s="40" t="s">
        <v>604</v>
      </c>
      <c r="P225" s="41" t="s">
        <v>605</v>
      </c>
      <c r="Q225" s="41" t="s">
        <v>119</v>
      </c>
      <c r="R225" s="41" t="s">
        <v>775</v>
      </c>
      <c r="S225" s="86" t="s">
        <v>104</v>
      </c>
      <c r="T225" s="86">
        <v>45748</v>
      </c>
      <c r="U225" s="40" t="s">
        <v>604</v>
      </c>
      <c r="V225" s="41" t="s">
        <v>605</v>
      </c>
      <c r="W225" s="41" t="s">
        <v>119</v>
      </c>
      <c r="X225" s="41" t="s">
        <v>2186</v>
      </c>
      <c r="Y225" s="64">
        <v>45920</v>
      </c>
      <c r="Z225" s="64"/>
      <c r="AA225" s="40" t="s">
        <v>604</v>
      </c>
      <c r="AB225" s="41" t="s">
        <v>607</v>
      </c>
      <c r="AC225" s="41" t="s">
        <v>119</v>
      </c>
      <c r="AD225" s="41" t="s">
        <v>776</v>
      </c>
      <c r="AE225" s="41" t="s">
        <v>162</v>
      </c>
      <c r="AF225" s="42"/>
      <c r="AH225" s="41" t="s">
        <v>1220</v>
      </c>
      <c r="AI225" s="41" t="s">
        <v>1656</v>
      </c>
      <c r="AJ225" s="41" t="s">
        <v>2175</v>
      </c>
    </row>
    <row r="226" spans="6:36" ht="29" x14ac:dyDescent="0.35">
      <c r="F226" s="40" t="s">
        <v>2093</v>
      </c>
      <c r="G226" s="40" t="s">
        <v>603</v>
      </c>
      <c r="H226" s="41" t="s">
        <v>208</v>
      </c>
      <c r="J226" s="40" t="s">
        <v>757</v>
      </c>
      <c r="O226" s="40" t="s">
        <v>604</v>
      </c>
      <c r="P226" s="41" t="s">
        <v>605</v>
      </c>
      <c r="Q226" s="41" t="s">
        <v>119</v>
      </c>
      <c r="R226" s="41" t="s">
        <v>775</v>
      </c>
      <c r="S226" s="86" t="s">
        <v>104</v>
      </c>
      <c r="T226" s="86">
        <v>45748</v>
      </c>
      <c r="U226" s="40" t="s">
        <v>604</v>
      </c>
      <c r="V226" s="41" t="s">
        <v>605</v>
      </c>
      <c r="W226" s="41" t="s">
        <v>119</v>
      </c>
      <c r="X226" s="41" t="s">
        <v>2186</v>
      </c>
      <c r="Y226" s="64">
        <v>45920</v>
      </c>
      <c r="Z226" s="64"/>
      <c r="AA226" s="40" t="s">
        <v>604</v>
      </c>
      <c r="AB226" s="41" t="s">
        <v>607</v>
      </c>
      <c r="AC226" s="41" t="s">
        <v>119</v>
      </c>
      <c r="AD226" s="41" t="s">
        <v>776</v>
      </c>
      <c r="AE226" s="41" t="s">
        <v>162</v>
      </c>
      <c r="AF226" s="42"/>
      <c r="AH226" s="41" t="s">
        <v>1221</v>
      </c>
      <c r="AI226" s="41" t="s">
        <v>1657</v>
      </c>
      <c r="AJ226" s="41" t="s">
        <v>2175</v>
      </c>
    </row>
    <row r="227" spans="6:36" ht="29" x14ac:dyDescent="0.35">
      <c r="F227" s="40" t="s">
        <v>2094</v>
      </c>
      <c r="G227" s="40" t="s">
        <v>603</v>
      </c>
      <c r="H227" s="41" t="s">
        <v>208</v>
      </c>
      <c r="J227" s="40" t="s">
        <v>616</v>
      </c>
      <c r="O227" s="40" t="s">
        <v>604</v>
      </c>
      <c r="P227" s="41" t="s">
        <v>605</v>
      </c>
      <c r="Q227" s="41" t="s">
        <v>119</v>
      </c>
      <c r="R227" s="41" t="s">
        <v>775</v>
      </c>
      <c r="S227" s="86" t="s">
        <v>104</v>
      </c>
      <c r="T227" s="86">
        <v>45748</v>
      </c>
      <c r="U227" s="40" t="s">
        <v>604</v>
      </c>
      <c r="V227" s="41" t="s">
        <v>605</v>
      </c>
      <c r="W227" s="41" t="s">
        <v>119</v>
      </c>
      <c r="X227" s="41" t="s">
        <v>2186</v>
      </c>
      <c r="Y227" s="64">
        <v>45920</v>
      </c>
      <c r="Z227" s="64"/>
      <c r="AA227" s="40" t="s">
        <v>604</v>
      </c>
      <c r="AB227" s="41" t="s">
        <v>607</v>
      </c>
      <c r="AC227" s="41" t="s">
        <v>119</v>
      </c>
      <c r="AD227" s="41" t="s">
        <v>776</v>
      </c>
      <c r="AE227" s="41" t="s">
        <v>162</v>
      </c>
      <c r="AF227" s="42"/>
      <c r="AH227" s="41" t="s">
        <v>1222</v>
      </c>
      <c r="AI227" s="41" t="s">
        <v>1658</v>
      </c>
      <c r="AJ227" s="41" t="s">
        <v>2175</v>
      </c>
    </row>
    <row r="228" spans="6:36" ht="29" x14ac:dyDescent="0.35">
      <c r="F228" s="40" t="s">
        <v>2095</v>
      </c>
      <c r="G228" s="40" t="s">
        <v>603</v>
      </c>
      <c r="H228" s="41" t="s">
        <v>208</v>
      </c>
      <c r="J228" s="40" t="s">
        <v>759</v>
      </c>
      <c r="O228" s="40" t="s">
        <v>604</v>
      </c>
      <c r="P228" s="41" t="s">
        <v>605</v>
      </c>
      <c r="Q228" s="41" t="s">
        <v>119</v>
      </c>
      <c r="R228" s="41" t="s">
        <v>775</v>
      </c>
      <c r="S228" s="86" t="s">
        <v>104</v>
      </c>
      <c r="T228" s="86">
        <v>45748</v>
      </c>
      <c r="U228" s="40" t="s">
        <v>604</v>
      </c>
      <c r="V228" s="41" t="s">
        <v>605</v>
      </c>
      <c r="W228" s="41" t="s">
        <v>119</v>
      </c>
      <c r="X228" s="41" t="s">
        <v>2186</v>
      </c>
      <c r="Y228" s="64">
        <v>45920</v>
      </c>
      <c r="Z228" s="64"/>
      <c r="AA228" s="40" t="s">
        <v>604</v>
      </c>
      <c r="AB228" s="41" t="s">
        <v>607</v>
      </c>
      <c r="AC228" s="41" t="s">
        <v>119</v>
      </c>
      <c r="AD228" s="41" t="s">
        <v>776</v>
      </c>
      <c r="AE228" s="41" t="s">
        <v>162</v>
      </c>
      <c r="AF228" s="42"/>
      <c r="AH228" s="41" t="s">
        <v>1223</v>
      </c>
      <c r="AI228" s="41" t="s">
        <v>1659</v>
      </c>
      <c r="AJ228" s="41" t="s">
        <v>2175</v>
      </c>
    </row>
    <row r="229" spans="6:36" ht="29" x14ac:dyDescent="0.35">
      <c r="F229" s="40" t="s">
        <v>2096</v>
      </c>
      <c r="G229" s="40" t="s">
        <v>603</v>
      </c>
      <c r="H229" s="41" t="s">
        <v>208</v>
      </c>
      <c r="J229" s="40" t="s">
        <v>760</v>
      </c>
      <c r="O229" s="40" t="s">
        <v>604</v>
      </c>
      <c r="P229" s="41" t="s">
        <v>605</v>
      </c>
      <c r="Q229" s="41" t="s">
        <v>119</v>
      </c>
      <c r="R229" s="41" t="s">
        <v>775</v>
      </c>
      <c r="S229" s="86" t="s">
        <v>104</v>
      </c>
      <c r="T229" s="86">
        <v>45748</v>
      </c>
      <c r="U229" s="40" t="s">
        <v>604</v>
      </c>
      <c r="V229" s="41" t="s">
        <v>605</v>
      </c>
      <c r="W229" s="41" t="s">
        <v>119</v>
      </c>
      <c r="X229" s="41" t="s">
        <v>2186</v>
      </c>
      <c r="Y229" s="64">
        <v>45920</v>
      </c>
      <c r="Z229" s="64"/>
      <c r="AA229" s="40" t="s">
        <v>604</v>
      </c>
      <c r="AB229" s="41" t="s">
        <v>607</v>
      </c>
      <c r="AC229" s="41" t="s">
        <v>119</v>
      </c>
      <c r="AD229" s="41" t="s">
        <v>776</v>
      </c>
      <c r="AE229" s="41" t="s">
        <v>162</v>
      </c>
      <c r="AF229" s="42"/>
      <c r="AH229" s="41" t="s">
        <v>1224</v>
      </c>
      <c r="AI229" s="41" t="s">
        <v>1660</v>
      </c>
      <c r="AJ229" s="41" t="s">
        <v>2175</v>
      </c>
    </row>
    <row r="230" spans="6:36" ht="29" x14ac:dyDescent="0.35">
      <c r="F230" s="40" t="s">
        <v>2097</v>
      </c>
      <c r="G230" s="40" t="s">
        <v>603</v>
      </c>
      <c r="H230" s="41" t="s">
        <v>208</v>
      </c>
      <c r="J230" s="40" t="s">
        <v>656</v>
      </c>
      <c r="O230" s="40" t="s">
        <v>604</v>
      </c>
      <c r="P230" s="41" t="s">
        <v>605</v>
      </c>
      <c r="Q230" s="41" t="s">
        <v>119</v>
      </c>
      <c r="R230" s="41" t="s">
        <v>775</v>
      </c>
      <c r="S230" s="86" t="s">
        <v>104</v>
      </c>
      <c r="T230" s="86">
        <v>45748</v>
      </c>
      <c r="U230" s="40" t="s">
        <v>604</v>
      </c>
      <c r="V230" s="41" t="s">
        <v>605</v>
      </c>
      <c r="W230" s="41" t="s">
        <v>119</v>
      </c>
      <c r="X230" s="41" t="s">
        <v>2186</v>
      </c>
      <c r="Y230" s="64">
        <v>45920</v>
      </c>
      <c r="Z230" s="64"/>
      <c r="AA230" s="40" t="s">
        <v>604</v>
      </c>
      <c r="AB230" s="41" t="s">
        <v>607</v>
      </c>
      <c r="AC230" s="41" t="s">
        <v>119</v>
      </c>
      <c r="AD230" s="41" t="s">
        <v>776</v>
      </c>
      <c r="AE230" s="41" t="s">
        <v>162</v>
      </c>
      <c r="AF230" s="42"/>
      <c r="AH230" s="41" t="s">
        <v>1225</v>
      </c>
      <c r="AI230" s="41" t="s">
        <v>1661</v>
      </c>
      <c r="AJ230" s="41" t="s">
        <v>2175</v>
      </c>
    </row>
    <row r="231" spans="6:36" ht="29" x14ac:dyDescent="0.35">
      <c r="F231" s="40" t="s">
        <v>2098</v>
      </c>
      <c r="G231" s="40" t="s">
        <v>603</v>
      </c>
      <c r="H231" s="41" t="s">
        <v>208</v>
      </c>
      <c r="J231" s="40" t="s">
        <v>678</v>
      </c>
      <c r="O231" s="40" t="s">
        <v>604</v>
      </c>
      <c r="P231" s="41" t="s">
        <v>605</v>
      </c>
      <c r="Q231" s="41" t="s">
        <v>119</v>
      </c>
      <c r="R231" s="41" t="s">
        <v>775</v>
      </c>
      <c r="S231" s="86" t="s">
        <v>104</v>
      </c>
      <c r="T231" s="86">
        <v>45748</v>
      </c>
      <c r="U231" s="40" t="s">
        <v>604</v>
      </c>
      <c r="V231" s="41" t="s">
        <v>605</v>
      </c>
      <c r="W231" s="41" t="s">
        <v>119</v>
      </c>
      <c r="X231" s="41" t="s">
        <v>2186</v>
      </c>
      <c r="Y231" s="64">
        <v>45920</v>
      </c>
      <c r="Z231" s="64"/>
      <c r="AA231" s="40" t="s">
        <v>604</v>
      </c>
      <c r="AB231" s="41" t="s">
        <v>607</v>
      </c>
      <c r="AC231" s="41" t="s">
        <v>119</v>
      </c>
      <c r="AD231" s="41" t="s">
        <v>776</v>
      </c>
      <c r="AE231" s="41" t="s">
        <v>162</v>
      </c>
      <c r="AF231" s="42"/>
      <c r="AH231" s="41" t="s">
        <v>1226</v>
      </c>
      <c r="AI231" s="41" t="s">
        <v>1662</v>
      </c>
      <c r="AJ231" s="41" t="s">
        <v>2175</v>
      </c>
    </row>
    <row r="232" spans="6:36" ht="29" x14ac:dyDescent="0.35">
      <c r="F232" s="40" t="s">
        <v>2099</v>
      </c>
      <c r="G232" s="40" t="s">
        <v>603</v>
      </c>
      <c r="H232" s="41" t="s">
        <v>208</v>
      </c>
      <c r="J232" s="40" t="s">
        <v>690</v>
      </c>
      <c r="O232" s="40" t="s">
        <v>604</v>
      </c>
      <c r="P232" s="41" t="s">
        <v>607</v>
      </c>
      <c r="Q232" s="41" t="s">
        <v>121</v>
      </c>
      <c r="R232" s="41" t="s">
        <v>721</v>
      </c>
      <c r="S232" s="86" t="s">
        <v>104</v>
      </c>
      <c r="T232" s="86">
        <v>45748</v>
      </c>
      <c r="U232" s="40" t="s">
        <v>604</v>
      </c>
      <c r="V232" s="41" t="s">
        <v>605</v>
      </c>
      <c r="W232" s="41" t="s">
        <v>119</v>
      </c>
      <c r="X232" s="41" t="s">
        <v>2186</v>
      </c>
      <c r="Y232" s="64">
        <v>45920</v>
      </c>
      <c r="Z232" s="64"/>
      <c r="AA232" s="40" t="s">
        <v>604</v>
      </c>
      <c r="AB232" s="41" t="s">
        <v>607</v>
      </c>
      <c r="AC232" s="41" t="s">
        <v>121</v>
      </c>
      <c r="AD232" s="41" t="s">
        <v>721</v>
      </c>
      <c r="AE232" s="41" t="s">
        <v>162</v>
      </c>
      <c r="AF232" s="42"/>
      <c r="AH232" s="41" t="s">
        <v>1227</v>
      </c>
      <c r="AI232" s="41" t="s">
        <v>1663</v>
      </c>
      <c r="AJ232" s="41" t="s">
        <v>2175</v>
      </c>
    </row>
    <row r="233" spans="6:36" ht="43.5" x14ac:dyDescent="0.35">
      <c r="F233" s="40" t="s">
        <v>2100</v>
      </c>
      <c r="G233" s="40" t="s">
        <v>603</v>
      </c>
      <c r="H233" s="41" t="s">
        <v>208</v>
      </c>
      <c r="J233" s="40" t="s">
        <v>761</v>
      </c>
      <c r="O233" s="40" t="s">
        <v>604</v>
      </c>
      <c r="P233" s="41" t="s">
        <v>605</v>
      </c>
      <c r="Q233" s="41" t="s">
        <v>119</v>
      </c>
      <c r="R233" s="41" t="s">
        <v>777</v>
      </c>
      <c r="S233" s="86" t="s">
        <v>104</v>
      </c>
      <c r="T233" s="86">
        <v>45748</v>
      </c>
      <c r="U233" s="40" t="s">
        <v>604</v>
      </c>
      <c r="V233" s="41" t="s">
        <v>605</v>
      </c>
      <c r="W233" s="41" t="s">
        <v>119</v>
      </c>
      <c r="X233" s="41" t="s">
        <v>2187</v>
      </c>
      <c r="Y233" s="64">
        <v>45920</v>
      </c>
      <c r="Z233" s="64"/>
      <c r="AA233" s="40" t="s">
        <v>604</v>
      </c>
      <c r="AB233" s="41" t="s">
        <v>607</v>
      </c>
      <c r="AC233" s="41" t="s">
        <v>119</v>
      </c>
      <c r="AD233" s="41" t="s">
        <v>778</v>
      </c>
      <c r="AE233" s="41" t="s">
        <v>162</v>
      </c>
      <c r="AF233" s="42"/>
      <c r="AH233" s="41" t="s">
        <v>1228</v>
      </c>
      <c r="AI233" s="41" t="s">
        <v>1664</v>
      </c>
      <c r="AJ233" s="41" t="s">
        <v>2175</v>
      </c>
    </row>
    <row r="234" spans="6:36" ht="43.5" x14ac:dyDescent="0.35">
      <c r="F234" s="40" t="s">
        <v>2101</v>
      </c>
      <c r="G234" s="40" t="s">
        <v>603</v>
      </c>
      <c r="H234" s="41" t="s">
        <v>208</v>
      </c>
      <c r="J234" s="40" t="s">
        <v>764</v>
      </c>
      <c r="O234" s="40" t="s">
        <v>604</v>
      </c>
      <c r="P234" s="41" t="s">
        <v>605</v>
      </c>
      <c r="Q234" s="41" t="s">
        <v>119</v>
      </c>
      <c r="R234" s="41" t="s">
        <v>777</v>
      </c>
      <c r="S234" s="86" t="s">
        <v>104</v>
      </c>
      <c r="T234" s="86">
        <v>45748</v>
      </c>
      <c r="U234" s="40" t="s">
        <v>604</v>
      </c>
      <c r="V234" s="41" t="s">
        <v>605</v>
      </c>
      <c r="W234" s="41" t="s">
        <v>119</v>
      </c>
      <c r="X234" s="41" t="s">
        <v>2187</v>
      </c>
      <c r="Y234" s="64">
        <v>45920</v>
      </c>
      <c r="Z234" s="64"/>
      <c r="AA234" s="40" t="s">
        <v>604</v>
      </c>
      <c r="AB234" s="41" t="s">
        <v>607</v>
      </c>
      <c r="AC234" s="41" t="s">
        <v>119</v>
      </c>
      <c r="AD234" s="41" t="s">
        <v>778</v>
      </c>
      <c r="AE234" s="41" t="s">
        <v>162</v>
      </c>
      <c r="AF234" s="42"/>
      <c r="AH234" s="41" t="s">
        <v>1229</v>
      </c>
      <c r="AI234" s="41" t="s">
        <v>1665</v>
      </c>
      <c r="AJ234" s="41" t="s">
        <v>2175</v>
      </c>
    </row>
    <row r="235" spans="6:36" ht="43.5" x14ac:dyDescent="0.35">
      <c r="F235" s="40" t="s">
        <v>2102</v>
      </c>
      <c r="G235" s="40" t="s">
        <v>603</v>
      </c>
      <c r="H235" s="41" t="s">
        <v>208</v>
      </c>
      <c r="J235" s="40" t="s">
        <v>616</v>
      </c>
      <c r="O235" s="40" t="s">
        <v>604</v>
      </c>
      <c r="P235" s="41" t="s">
        <v>605</v>
      </c>
      <c r="Q235" s="41" t="s">
        <v>119</v>
      </c>
      <c r="R235" s="41" t="s">
        <v>777</v>
      </c>
      <c r="S235" s="86" t="s">
        <v>104</v>
      </c>
      <c r="T235" s="86">
        <v>45748</v>
      </c>
      <c r="U235" s="40" t="s">
        <v>604</v>
      </c>
      <c r="V235" s="41" t="s">
        <v>605</v>
      </c>
      <c r="W235" s="41" t="s">
        <v>119</v>
      </c>
      <c r="X235" s="41" t="s">
        <v>2187</v>
      </c>
      <c r="Y235" s="64">
        <v>45920</v>
      </c>
      <c r="Z235" s="64"/>
      <c r="AA235" s="40" t="s">
        <v>604</v>
      </c>
      <c r="AB235" s="41" t="s">
        <v>607</v>
      </c>
      <c r="AC235" s="41" t="s">
        <v>119</v>
      </c>
      <c r="AD235" s="41" t="s">
        <v>778</v>
      </c>
      <c r="AE235" s="41" t="s">
        <v>162</v>
      </c>
      <c r="AF235" s="42"/>
      <c r="AH235" s="41" t="s">
        <v>1230</v>
      </c>
      <c r="AI235" s="41" t="s">
        <v>1666</v>
      </c>
      <c r="AJ235" s="41" t="s">
        <v>2175</v>
      </c>
    </row>
    <row r="236" spans="6:36" ht="43.5" x14ac:dyDescent="0.35">
      <c r="F236" s="40" t="s">
        <v>2103</v>
      </c>
      <c r="G236" s="40" t="s">
        <v>603</v>
      </c>
      <c r="H236" s="41" t="s">
        <v>208</v>
      </c>
      <c r="J236" s="40" t="s">
        <v>759</v>
      </c>
      <c r="O236" s="40" t="s">
        <v>604</v>
      </c>
      <c r="P236" s="41" t="s">
        <v>605</v>
      </c>
      <c r="Q236" s="41" t="s">
        <v>119</v>
      </c>
      <c r="R236" s="41" t="s">
        <v>777</v>
      </c>
      <c r="S236" s="86" t="s">
        <v>104</v>
      </c>
      <c r="T236" s="86">
        <v>45748</v>
      </c>
      <c r="U236" s="40" t="s">
        <v>604</v>
      </c>
      <c r="V236" s="41" t="s">
        <v>605</v>
      </c>
      <c r="W236" s="41" t="s">
        <v>119</v>
      </c>
      <c r="X236" s="41" t="s">
        <v>2187</v>
      </c>
      <c r="Y236" s="64">
        <v>45920</v>
      </c>
      <c r="Z236" s="64"/>
      <c r="AA236" s="40" t="s">
        <v>604</v>
      </c>
      <c r="AB236" s="41" t="s">
        <v>607</v>
      </c>
      <c r="AC236" s="41" t="s">
        <v>119</v>
      </c>
      <c r="AD236" s="41" t="s">
        <v>778</v>
      </c>
      <c r="AE236" s="41" t="s">
        <v>162</v>
      </c>
      <c r="AF236" s="42"/>
      <c r="AH236" s="41" t="s">
        <v>1231</v>
      </c>
      <c r="AI236" s="41" t="s">
        <v>1667</v>
      </c>
      <c r="AJ236" s="41" t="s">
        <v>2175</v>
      </c>
    </row>
    <row r="237" spans="6:36" ht="43.5" x14ac:dyDescent="0.35">
      <c r="F237" s="40" t="s">
        <v>2104</v>
      </c>
      <c r="G237" s="40" t="s">
        <v>603</v>
      </c>
      <c r="H237" s="41" t="s">
        <v>208</v>
      </c>
      <c r="J237" s="40" t="s">
        <v>760</v>
      </c>
      <c r="O237" s="40" t="s">
        <v>604</v>
      </c>
      <c r="P237" s="41" t="s">
        <v>605</v>
      </c>
      <c r="Q237" s="41" t="s">
        <v>119</v>
      </c>
      <c r="R237" s="41" t="s">
        <v>777</v>
      </c>
      <c r="S237" s="86" t="s">
        <v>104</v>
      </c>
      <c r="T237" s="86">
        <v>45748</v>
      </c>
      <c r="U237" s="40" t="s">
        <v>604</v>
      </c>
      <c r="V237" s="41" t="s">
        <v>605</v>
      </c>
      <c r="W237" s="41" t="s">
        <v>119</v>
      </c>
      <c r="X237" s="41" t="s">
        <v>2187</v>
      </c>
      <c r="Y237" s="64">
        <v>45920</v>
      </c>
      <c r="Z237" s="64"/>
      <c r="AA237" s="40" t="s">
        <v>604</v>
      </c>
      <c r="AB237" s="41" t="s">
        <v>607</v>
      </c>
      <c r="AC237" s="41" t="s">
        <v>119</v>
      </c>
      <c r="AD237" s="41" t="s">
        <v>778</v>
      </c>
      <c r="AE237" s="41" t="s">
        <v>162</v>
      </c>
      <c r="AF237" s="42"/>
      <c r="AH237" s="41" t="s">
        <v>1232</v>
      </c>
      <c r="AI237" s="41" t="s">
        <v>1668</v>
      </c>
      <c r="AJ237" s="41" t="s">
        <v>2175</v>
      </c>
    </row>
    <row r="238" spans="6:36" ht="43.5" x14ac:dyDescent="0.35">
      <c r="F238" s="40" t="s">
        <v>2105</v>
      </c>
      <c r="G238" s="40" t="s">
        <v>603</v>
      </c>
      <c r="H238" s="41" t="s">
        <v>208</v>
      </c>
      <c r="J238" s="40" t="s">
        <v>779</v>
      </c>
      <c r="O238" s="40" t="s">
        <v>604</v>
      </c>
      <c r="P238" s="41" t="s">
        <v>605</v>
      </c>
      <c r="Q238" s="41" t="s">
        <v>119</v>
      </c>
      <c r="R238" s="41" t="s">
        <v>777</v>
      </c>
      <c r="S238" s="86" t="s">
        <v>104</v>
      </c>
      <c r="T238" s="86">
        <v>45748</v>
      </c>
      <c r="U238" s="40" t="s">
        <v>604</v>
      </c>
      <c r="V238" s="41" t="s">
        <v>605</v>
      </c>
      <c r="W238" s="41" t="s">
        <v>119</v>
      </c>
      <c r="X238" s="41" t="s">
        <v>2187</v>
      </c>
      <c r="Y238" s="64">
        <v>45920</v>
      </c>
      <c r="Z238" s="64"/>
      <c r="AA238" s="40" t="s">
        <v>604</v>
      </c>
      <c r="AB238" s="41" t="s">
        <v>607</v>
      </c>
      <c r="AC238" s="41" t="s">
        <v>119</v>
      </c>
      <c r="AD238" s="41" t="s">
        <v>778</v>
      </c>
      <c r="AE238" s="41" t="s">
        <v>162</v>
      </c>
      <c r="AF238" s="42"/>
      <c r="AH238" s="41" t="s">
        <v>1233</v>
      </c>
      <c r="AI238" s="41" t="s">
        <v>1669</v>
      </c>
      <c r="AJ238" s="41" t="s">
        <v>2175</v>
      </c>
    </row>
    <row r="239" spans="6:36" ht="29" x14ac:dyDescent="0.35">
      <c r="F239" s="40" t="s">
        <v>2106</v>
      </c>
      <c r="G239" s="40" t="s">
        <v>603</v>
      </c>
      <c r="H239" s="41" t="s">
        <v>208</v>
      </c>
      <c r="J239" s="40" t="s">
        <v>753</v>
      </c>
      <c r="O239" s="40" t="s">
        <v>604</v>
      </c>
      <c r="P239" s="41" t="s">
        <v>605</v>
      </c>
      <c r="Q239" s="41" t="s">
        <v>119</v>
      </c>
      <c r="R239" s="41" t="s">
        <v>780</v>
      </c>
      <c r="S239" s="86" t="s">
        <v>104</v>
      </c>
      <c r="T239" s="86">
        <v>45748</v>
      </c>
      <c r="U239" s="40" t="s">
        <v>604</v>
      </c>
      <c r="V239" s="41" t="s">
        <v>605</v>
      </c>
      <c r="W239" s="41" t="s">
        <v>119</v>
      </c>
      <c r="X239" s="41" t="s">
        <v>2188</v>
      </c>
      <c r="Y239" s="64">
        <v>45920</v>
      </c>
      <c r="Z239" s="64"/>
      <c r="AA239" s="40" t="s">
        <v>604</v>
      </c>
      <c r="AB239" s="41" t="s">
        <v>607</v>
      </c>
      <c r="AC239" s="41" t="s">
        <v>119</v>
      </c>
      <c r="AD239" s="41" t="s">
        <v>781</v>
      </c>
      <c r="AE239" s="41" t="s">
        <v>162</v>
      </c>
      <c r="AF239" s="42"/>
      <c r="AH239" s="41" t="s">
        <v>1234</v>
      </c>
      <c r="AI239" s="41" t="s">
        <v>1670</v>
      </c>
      <c r="AJ239" s="41" t="s">
        <v>2175</v>
      </c>
    </row>
    <row r="240" spans="6:36" ht="29" x14ac:dyDescent="0.35">
      <c r="F240" s="40" t="s">
        <v>2107</v>
      </c>
      <c r="G240" s="40" t="s">
        <v>603</v>
      </c>
      <c r="H240" s="41" t="s">
        <v>208</v>
      </c>
      <c r="J240" s="40" t="s">
        <v>757</v>
      </c>
      <c r="O240" s="40" t="s">
        <v>604</v>
      </c>
      <c r="P240" s="41" t="s">
        <v>605</v>
      </c>
      <c r="Q240" s="41" t="s">
        <v>119</v>
      </c>
      <c r="R240" s="41" t="s">
        <v>780</v>
      </c>
      <c r="S240" s="86" t="s">
        <v>104</v>
      </c>
      <c r="T240" s="86">
        <v>45748</v>
      </c>
      <c r="U240" s="40" t="s">
        <v>604</v>
      </c>
      <c r="V240" s="41" t="s">
        <v>605</v>
      </c>
      <c r="W240" s="41" t="s">
        <v>119</v>
      </c>
      <c r="X240" s="41" t="s">
        <v>2188</v>
      </c>
      <c r="Y240" s="64">
        <v>45920</v>
      </c>
      <c r="Z240" s="64"/>
      <c r="AA240" s="40" t="s">
        <v>604</v>
      </c>
      <c r="AB240" s="41" t="s">
        <v>607</v>
      </c>
      <c r="AC240" s="41" t="s">
        <v>119</v>
      </c>
      <c r="AD240" s="41" t="s">
        <v>781</v>
      </c>
      <c r="AE240" s="41" t="s">
        <v>162</v>
      </c>
      <c r="AF240" s="42"/>
      <c r="AH240" s="41" t="s">
        <v>1235</v>
      </c>
      <c r="AI240" s="41" t="s">
        <v>1671</v>
      </c>
      <c r="AJ240" s="41" t="s">
        <v>2175</v>
      </c>
    </row>
    <row r="241" spans="6:36" ht="29" x14ac:dyDescent="0.35">
      <c r="F241" s="40" t="s">
        <v>2108</v>
      </c>
      <c r="G241" s="40" t="s">
        <v>603</v>
      </c>
      <c r="H241" s="41" t="s">
        <v>208</v>
      </c>
      <c r="J241" s="40" t="s">
        <v>616</v>
      </c>
      <c r="O241" s="40" t="s">
        <v>604</v>
      </c>
      <c r="P241" s="41" t="s">
        <v>605</v>
      </c>
      <c r="Q241" s="41" t="s">
        <v>119</v>
      </c>
      <c r="R241" s="41" t="s">
        <v>780</v>
      </c>
      <c r="S241" s="86" t="s">
        <v>104</v>
      </c>
      <c r="T241" s="86">
        <v>45748</v>
      </c>
      <c r="U241" s="40" t="s">
        <v>604</v>
      </c>
      <c r="V241" s="41" t="s">
        <v>605</v>
      </c>
      <c r="W241" s="41" t="s">
        <v>119</v>
      </c>
      <c r="X241" s="41" t="s">
        <v>2188</v>
      </c>
      <c r="Y241" s="64">
        <v>45920</v>
      </c>
      <c r="Z241" s="64"/>
      <c r="AA241" s="40" t="s">
        <v>604</v>
      </c>
      <c r="AB241" s="41" t="s">
        <v>607</v>
      </c>
      <c r="AC241" s="41" t="s">
        <v>119</v>
      </c>
      <c r="AD241" s="41" t="s">
        <v>781</v>
      </c>
      <c r="AE241" s="41" t="s">
        <v>162</v>
      </c>
      <c r="AF241" s="42"/>
      <c r="AH241" s="41" t="s">
        <v>1236</v>
      </c>
      <c r="AI241" s="41" t="s">
        <v>1672</v>
      </c>
      <c r="AJ241" s="41" t="s">
        <v>2175</v>
      </c>
    </row>
    <row r="242" spans="6:36" ht="29" x14ac:dyDescent="0.35">
      <c r="F242" s="40" t="s">
        <v>2109</v>
      </c>
      <c r="G242" s="40" t="s">
        <v>603</v>
      </c>
      <c r="H242" s="41" t="s">
        <v>208</v>
      </c>
      <c r="J242" s="40" t="s">
        <v>759</v>
      </c>
      <c r="O242" s="40" t="s">
        <v>604</v>
      </c>
      <c r="P242" s="41" t="s">
        <v>605</v>
      </c>
      <c r="Q242" s="41" t="s">
        <v>119</v>
      </c>
      <c r="R242" s="41" t="s">
        <v>780</v>
      </c>
      <c r="S242" s="86" t="s">
        <v>104</v>
      </c>
      <c r="T242" s="86">
        <v>45748</v>
      </c>
      <c r="U242" s="40" t="s">
        <v>604</v>
      </c>
      <c r="V242" s="41" t="s">
        <v>605</v>
      </c>
      <c r="W242" s="41" t="s">
        <v>119</v>
      </c>
      <c r="X242" s="41" t="s">
        <v>2188</v>
      </c>
      <c r="Y242" s="64">
        <v>45920</v>
      </c>
      <c r="Z242" s="64"/>
      <c r="AA242" s="40" t="s">
        <v>604</v>
      </c>
      <c r="AB242" s="41" t="s">
        <v>607</v>
      </c>
      <c r="AC242" s="41" t="s">
        <v>119</v>
      </c>
      <c r="AD242" s="41" t="s">
        <v>781</v>
      </c>
      <c r="AE242" s="41" t="s">
        <v>162</v>
      </c>
      <c r="AF242" s="42"/>
      <c r="AH242" s="41" t="s">
        <v>1237</v>
      </c>
      <c r="AI242" s="41" t="s">
        <v>1673</v>
      </c>
      <c r="AJ242" s="41" t="s">
        <v>2175</v>
      </c>
    </row>
    <row r="243" spans="6:36" ht="29" x14ac:dyDescent="0.35">
      <c r="F243" s="40" t="s">
        <v>2110</v>
      </c>
      <c r="G243" s="40" t="s">
        <v>603</v>
      </c>
      <c r="H243" s="41" t="s">
        <v>208</v>
      </c>
      <c r="J243" s="40" t="s">
        <v>760</v>
      </c>
      <c r="O243" s="40" t="s">
        <v>604</v>
      </c>
      <c r="P243" s="41" t="s">
        <v>605</v>
      </c>
      <c r="Q243" s="41" t="s">
        <v>119</v>
      </c>
      <c r="R243" s="41" t="s">
        <v>780</v>
      </c>
      <c r="S243" s="86" t="s">
        <v>104</v>
      </c>
      <c r="T243" s="86">
        <v>45748</v>
      </c>
      <c r="U243" s="40" t="s">
        <v>604</v>
      </c>
      <c r="V243" s="41" t="s">
        <v>605</v>
      </c>
      <c r="W243" s="41" t="s">
        <v>119</v>
      </c>
      <c r="X243" s="41" t="s">
        <v>2188</v>
      </c>
      <c r="Y243" s="64">
        <v>45920</v>
      </c>
      <c r="Z243" s="64"/>
      <c r="AA243" s="40" t="s">
        <v>604</v>
      </c>
      <c r="AB243" s="41" t="s">
        <v>607</v>
      </c>
      <c r="AC243" s="41" t="s">
        <v>119</v>
      </c>
      <c r="AD243" s="41" t="s">
        <v>781</v>
      </c>
      <c r="AE243" s="41" t="s">
        <v>162</v>
      </c>
      <c r="AF243" s="42"/>
      <c r="AH243" s="41" t="s">
        <v>1238</v>
      </c>
      <c r="AI243" s="41" t="s">
        <v>1674</v>
      </c>
      <c r="AJ243" s="41" t="s">
        <v>2175</v>
      </c>
    </row>
    <row r="244" spans="6:36" ht="29" x14ac:dyDescent="0.35">
      <c r="F244" s="40" t="s">
        <v>2111</v>
      </c>
      <c r="G244" s="40" t="s">
        <v>603</v>
      </c>
      <c r="H244" s="41" t="s">
        <v>208</v>
      </c>
      <c r="J244" s="40" t="s">
        <v>761</v>
      </c>
      <c r="O244" s="40" t="s">
        <v>604</v>
      </c>
      <c r="P244" s="41" t="s">
        <v>605</v>
      </c>
      <c r="Q244" s="41" t="s">
        <v>119</v>
      </c>
      <c r="R244" s="41" t="s">
        <v>782</v>
      </c>
      <c r="S244" s="86" t="s">
        <v>104</v>
      </c>
      <c r="T244" s="86">
        <v>45748</v>
      </c>
      <c r="U244" s="40" t="s">
        <v>604</v>
      </c>
      <c r="V244" s="41" t="s">
        <v>605</v>
      </c>
      <c r="W244" s="41" t="s">
        <v>119</v>
      </c>
      <c r="X244" s="41" t="s">
        <v>2189</v>
      </c>
      <c r="Y244" s="64">
        <v>45920</v>
      </c>
      <c r="Z244" s="64"/>
      <c r="AA244" s="40" t="s">
        <v>604</v>
      </c>
      <c r="AB244" s="41" t="s">
        <v>607</v>
      </c>
      <c r="AC244" s="41" t="s">
        <v>119</v>
      </c>
      <c r="AD244" s="41" t="s">
        <v>783</v>
      </c>
      <c r="AE244" s="41" t="s">
        <v>162</v>
      </c>
      <c r="AF244" s="42"/>
      <c r="AH244" s="41" t="s">
        <v>1239</v>
      </c>
      <c r="AI244" s="41" t="s">
        <v>1675</v>
      </c>
      <c r="AJ244" s="41" t="s">
        <v>2175</v>
      </c>
    </row>
    <row r="245" spans="6:36" ht="29" x14ac:dyDescent="0.35">
      <c r="F245" s="40" t="s">
        <v>2112</v>
      </c>
      <c r="G245" s="40" t="s">
        <v>603</v>
      </c>
      <c r="H245" s="41" t="s">
        <v>208</v>
      </c>
      <c r="J245" s="40" t="s">
        <v>764</v>
      </c>
      <c r="O245" s="40" t="s">
        <v>604</v>
      </c>
      <c r="P245" s="41" t="s">
        <v>605</v>
      </c>
      <c r="Q245" s="41" t="s">
        <v>119</v>
      </c>
      <c r="R245" s="41" t="s">
        <v>782</v>
      </c>
      <c r="S245" s="86" t="s">
        <v>104</v>
      </c>
      <c r="T245" s="86">
        <v>45748</v>
      </c>
      <c r="U245" s="40" t="s">
        <v>604</v>
      </c>
      <c r="V245" s="41" t="s">
        <v>605</v>
      </c>
      <c r="W245" s="41" t="s">
        <v>119</v>
      </c>
      <c r="X245" s="41" t="s">
        <v>2189</v>
      </c>
      <c r="Y245" s="64">
        <v>45920</v>
      </c>
      <c r="Z245" s="64"/>
      <c r="AA245" s="40" t="s">
        <v>604</v>
      </c>
      <c r="AB245" s="41" t="s">
        <v>607</v>
      </c>
      <c r="AC245" s="41" t="s">
        <v>119</v>
      </c>
      <c r="AD245" s="41" t="s">
        <v>783</v>
      </c>
      <c r="AE245" s="41" t="s">
        <v>162</v>
      </c>
      <c r="AF245" s="42"/>
      <c r="AH245" s="41" t="s">
        <v>1240</v>
      </c>
      <c r="AI245" s="41" t="s">
        <v>1676</v>
      </c>
      <c r="AJ245" s="41" t="s">
        <v>2175</v>
      </c>
    </row>
    <row r="246" spans="6:36" ht="29" x14ac:dyDescent="0.35">
      <c r="F246" s="40" t="s">
        <v>2113</v>
      </c>
      <c r="G246" s="40" t="s">
        <v>603</v>
      </c>
      <c r="H246" s="41" t="s">
        <v>208</v>
      </c>
      <c r="J246" s="40" t="s">
        <v>616</v>
      </c>
      <c r="O246" s="40" t="s">
        <v>604</v>
      </c>
      <c r="P246" s="41" t="s">
        <v>605</v>
      </c>
      <c r="Q246" s="41" t="s">
        <v>119</v>
      </c>
      <c r="R246" s="41" t="s">
        <v>782</v>
      </c>
      <c r="S246" s="86" t="s">
        <v>104</v>
      </c>
      <c r="T246" s="86">
        <v>45748</v>
      </c>
      <c r="U246" s="40" t="s">
        <v>604</v>
      </c>
      <c r="V246" s="41" t="s">
        <v>605</v>
      </c>
      <c r="W246" s="41" t="s">
        <v>119</v>
      </c>
      <c r="X246" s="41" t="s">
        <v>2189</v>
      </c>
      <c r="Y246" s="64">
        <v>45920</v>
      </c>
      <c r="Z246" s="64"/>
      <c r="AA246" s="40" t="s">
        <v>604</v>
      </c>
      <c r="AB246" s="41" t="s">
        <v>607</v>
      </c>
      <c r="AC246" s="41" t="s">
        <v>119</v>
      </c>
      <c r="AD246" s="41" t="s">
        <v>783</v>
      </c>
      <c r="AE246" s="41" t="s">
        <v>162</v>
      </c>
      <c r="AF246" s="42"/>
      <c r="AH246" s="41" t="s">
        <v>1241</v>
      </c>
      <c r="AI246" s="41" t="s">
        <v>1677</v>
      </c>
      <c r="AJ246" s="41" t="s">
        <v>2175</v>
      </c>
    </row>
    <row r="247" spans="6:36" ht="29" x14ac:dyDescent="0.35">
      <c r="F247" s="40" t="s">
        <v>2114</v>
      </c>
      <c r="G247" s="40" t="s">
        <v>603</v>
      </c>
      <c r="H247" s="41" t="s">
        <v>208</v>
      </c>
      <c r="J247" s="40" t="s">
        <v>759</v>
      </c>
      <c r="O247" s="40" t="s">
        <v>604</v>
      </c>
      <c r="P247" s="41" t="s">
        <v>605</v>
      </c>
      <c r="Q247" s="41" t="s">
        <v>119</v>
      </c>
      <c r="R247" s="41" t="s">
        <v>782</v>
      </c>
      <c r="S247" s="86" t="s">
        <v>104</v>
      </c>
      <c r="T247" s="86">
        <v>45748</v>
      </c>
      <c r="U247" s="40" t="s">
        <v>604</v>
      </c>
      <c r="V247" s="41" t="s">
        <v>605</v>
      </c>
      <c r="W247" s="41" t="s">
        <v>119</v>
      </c>
      <c r="X247" s="41" t="s">
        <v>2189</v>
      </c>
      <c r="Y247" s="64">
        <v>45920</v>
      </c>
      <c r="Z247" s="64"/>
      <c r="AA247" s="40" t="s">
        <v>604</v>
      </c>
      <c r="AB247" s="41" t="s">
        <v>607</v>
      </c>
      <c r="AC247" s="41" t="s">
        <v>119</v>
      </c>
      <c r="AD247" s="41" t="s">
        <v>783</v>
      </c>
      <c r="AE247" s="41" t="s">
        <v>162</v>
      </c>
      <c r="AF247" s="42"/>
      <c r="AH247" s="41" t="s">
        <v>1242</v>
      </c>
      <c r="AI247" s="41" t="s">
        <v>1678</v>
      </c>
      <c r="AJ247" s="41" t="s">
        <v>2175</v>
      </c>
    </row>
    <row r="248" spans="6:36" ht="29" x14ac:dyDescent="0.35">
      <c r="F248" s="40" t="s">
        <v>2115</v>
      </c>
      <c r="G248" s="40" t="s">
        <v>603</v>
      </c>
      <c r="H248" s="41" t="s">
        <v>208</v>
      </c>
      <c r="J248" s="40" t="s">
        <v>760</v>
      </c>
      <c r="O248" s="40" t="s">
        <v>604</v>
      </c>
      <c r="P248" s="41" t="s">
        <v>605</v>
      </c>
      <c r="Q248" s="41" t="s">
        <v>119</v>
      </c>
      <c r="R248" s="41" t="s">
        <v>782</v>
      </c>
      <c r="S248" s="86" t="s">
        <v>104</v>
      </c>
      <c r="T248" s="86">
        <v>45748</v>
      </c>
      <c r="U248" s="40" t="s">
        <v>604</v>
      </c>
      <c r="V248" s="41" t="s">
        <v>605</v>
      </c>
      <c r="W248" s="41" t="s">
        <v>119</v>
      </c>
      <c r="X248" s="41" t="s">
        <v>2189</v>
      </c>
      <c r="Y248" s="64">
        <v>45920</v>
      </c>
      <c r="Z248" s="64"/>
      <c r="AA248" s="40" t="s">
        <v>604</v>
      </c>
      <c r="AB248" s="41" t="s">
        <v>607</v>
      </c>
      <c r="AC248" s="41" t="s">
        <v>119</v>
      </c>
      <c r="AD248" s="41" t="s">
        <v>783</v>
      </c>
      <c r="AE248" s="41" t="s">
        <v>162</v>
      </c>
      <c r="AF248" s="42"/>
      <c r="AH248" s="41" t="s">
        <v>1243</v>
      </c>
      <c r="AI248" s="41" t="s">
        <v>1679</v>
      </c>
      <c r="AJ248" s="41" t="s">
        <v>2175</v>
      </c>
    </row>
    <row r="249" spans="6:36" ht="29" x14ac:dyDescent="0.35">
      <c r="F249" s="40" t="s">
        <v>2116</v>
      </c>
      <c r="G249" s="40" t="s">
        <v>603</v>
      </c>
      <c r="H249" s="41" t="s">
        <v>208</v>
      </c>
      <c r="J249" s="40" t="s">
        <v>753</v>
      </c>
      <c r="O249" s="40" t="s">
        <v>604</v>
      </c>
      <c r="P249" s="41" t="s">
        <v>605</v>
      </c>
      <c r="Q249" s="41" t="s">
        <v>119</v>
      </c>
      <c r="R249" s="41" t="s">
        <v>784</v>
      </c>
      <c r="S249" s="86" t="s">
        <v>104</v>
      </c>
      <c r="T249" s="86">
        <v>45748</v>
      </c>
      <c r="U249" s="40" t="s">
        <v>604</v>
      </c>
      <c r="V249" s="41" t="s">
        <v>605</v>
      </c>
      <c r="W249" s="41" t="s">
        <v>119</v>
      </c>
      <c r="X249" s="41" t="s">
        <v>2190</v>
      </c>
      <c r="Y249" s="64">
        <v>45920</v>
      </c>
      <c r="Z249" s="64"/>
      <c r="AA249" s="40" t="s">
        <v>604</v>
      </c>
      <c r="AB249" s="41" t="s">
        <v>607</v>
      </c>
      <c r="AC249" s="41" t="s">
        <v>119</v>
      </c>
      <c r="AD249" s="41" t="s">
        <v>785</v>
      </c>
      <c r="AE249" s="41" t="s">
        <v>162</v>
      </c>
      <c r="AF249" s="42"/>
      <c r="AH249" s="41" t="s">
        <v>1244</v>
      </c>
      <c r="AI249" s="41" t="s">
        <v>1680</v>
      </c>
      <c r="AJ249" s="41" t="s">
        <v>2175</v>
      </c>
    </row>
    <row r="250" spans="6:36" ht="29" x14ac:dyDescent="0.35">
      <c r="F250" s="40" t="s">
        <v>2117</v>
      </c>
      <c r="G250" s="40" t="s">
        <v>603</v>
      </c>
      <c r="H250" s="41" t="s">
        <v>208</v>
      </c>
      <c r="J250" s="40" t="s">
        <v>757</v>
      </c>
      <c r="O250" s="40" t="s">
        <v>604</v>
      </c>
      <c r="P250" s="41" t="s">
        <v>605</v>
      </c>
      <c r="Q250" s="41" t="s">
        <v>119</v>
      </c>
      <c r="R250" s="41" t="s">
        <v>784</v>
      </c>
      <c r="S250" s="86" t="s">
        <v>104</v>
      </c>
      <c r="T250" s="86">
        <v>45748</v>
      </c>
      <c r="U250" s="40" t="s">
        <v>604</v>
      </c>
      <c r="V250" s="41" t="s">
        <v>605</v>
      </c>
      <c r="W250" s="41" t="s">
        <v>119</v>
      </c>
      <c r="X250" s="41" t="s">
        <v>2190</v>
      </c>
      <c r="Y250" s="64">
        <v>45920</v>
      </c>
      <c r="Z250" s="64"/>
      <c r="AA250" s="40" t="s">
        <v>604</v>
      </c>
      <c r="AB250" s="41" t="s">
        <v>607</v>
      </c>
      <c r="AC250" s="41" t="s">
        <v>119</v>
      </c>
      <c r="AD250" s="41" t="s">
        <v>785</v>
      </c>
      <c r="AE250" s="41" t="s">
        <v>162</v>
      </c>
      <c r="AF250" s="42"/>
      <c r="AH250" s="41" t="s">
        <v>1245</v>
      </c>
      <c r="AI250" s="41" t="s">
        <v>1681</v>
      </c>
      <c r="AJ250" s="41" t="s">
        <v>2175</v>
      </c>
    </row>
    <row r="251" spans="6:36" ht="29" x14ac:dyDescent="0.35">
      <c r="F251" s="40" t="s">
        <v>2118</v>
      </c>
      <c r="G251" s="40" t="s">
        <v>603</v>
      </c>
      <c r="H251" s="41" t="s">
        <v>208</v>
      </c>
      <c r="J251" s="40" t="s">
        <v>616</v>
      </c>
      <c r="O251" s="40" t="s">
        <v>604</v>
      </c>
      <c r="P251" s="41" t="s">
        <v>605</v>
      </c>
      <c r="Q251" s="41" t="s">
        <v>119</v>
      </c>
      <c r="R251" s="41" t="s">
        <v>784</v>
      </c>
      <c r="S251" s="86" t="s">
        <v>104</v>
      </c>
      <c r="T251" s="86">
        <v>45748</v>
      </c>
      <c r="U251" s="40" t="s">
        <v>604</v>
      </c>
      <c r="V251" s="41" t="s">
        <v>605</v>
      </c>
      <c r="W251" s="41" t="s">
        <v>119</v>
      </c>
      <c r="X251" s="41" t="s">
        <v>2190</v>
      </c>
      <c r="Y251" s="64">
        <v>45920</v>
      </c>
      <c r="Z251" s="64"/>
      <c r="AA251" s="40" t="s">
        <v>604</v>
      </c>
      <c r="AB251" s="41" t="s">
        <v>607</v>
      </c>
      <c r="AC251" s="41" t="s">
        <v>119</v>
      </c>
      <c r="AD251" s="41" t="s">
        <v>785</v>
      </c>
      <c r="AE251" s="41" t="s">
        <v>162</v>
      </c>
      <c r="AF251" s="42"/>
      <c r="AH251" s="41" t="s">
        <v>1246</v>
      </c>
      <c r="AI251" s="41" t="s">
        <v>1682</v>
      </c>
      <c r="AJ251" s="41" t="s">
        <v>2175</v>
      </c>
    </row>
    <row r="252" spans="6:36" ht="29" x14ac:dyDescent="0.35">
      <c r="F252" s="40" t="s">
        <v>2119</v>
      </c>
      <c r="G252" s="40" t="s">
        <v>603</v>
      </c>
      <c r="H252" s="41" t="s">
        <v>208</v>
      </c>
      <c r="J252" s="40" t="s">
        <v>759</v>
      </c>
      <c r="O252" s="40" t="s">
        <v>604</v>
      </c>
      <c r="P252" s="41" t="s">
        <v>605</v>
      </c>
      <c r="Q252" s="41" t="s">
        <v>119</v>
      </c>
      <c r="R252" s="41" t="s">
        <v>784</v>
      </c>
      <c r="S252" s="86" t="s">
        <v>104</v>
      </c>
      <c r="T252" s="86">
        <v>45748</v>
      </c>
      <c r="U252" s="40" t="s">
        <v>604</v>
      </c>
      <c r="V252" s="41" t="s">
        <v>605</v>
      </c>
      <c r="W252" s="41" t="s">
        <v>119</v>
      </c>
      <c r="X252" s="41" t="s">
        <v>2190</v>
      </c>
      <c r="Y252" s="64">
        <v>45920</v>
      </c>
      <c r="Z252" s="64"/>
      <c r="AA252" s="40" t="s">
        <v>604</v>
      </c>
      <c r="AB252" s="41" t="s">
        <v>607</v>
      </c>
      <c r="AC252" s="41" t="s">
        <v>119</v>
      </c>
      <c r="AD252" s="41" t="s">
        <v>785</v>
      </c>
      <c r="AE252" s="41" t="s">
        <v>162</v>
      </c>
      <c r="AF252" s="42"/>
      <c r="AH252" s="41" t="s">
        <v>1247</v>
      </c>
      <c r="AI252" s="41" t="s">
        <v>1683</v>
      </c>
      <c r="AJ252" s="41" t="s">
        <v>2175</v>
      </c>
    </row>
    <row r="253" spans="6:36" ht="29" x14ac:dyDescent="0.35">
      <c r="F253" s="40" t="s">
        <v>2120</v>
      </c>
      <c r="G253" s="40" t="s">
        <v>603</v>
      </c>
      <c r="H253" s="41" t="s">
        <v>208</v>
      </c>
      <c r="J253" s="40" t="s">
        <v>760</v>
      </c>
      <c r="O253" s="40" t="s">
        <v>604</v>
      </c>
      <c r="P253" s="41" t="s">
        <v>605</v>
      </c>
      <c r="Q253" s="41" t="s">
        <v>119</v>
      </c>
      <c r="R253" s="41" t="s">
        <v>784</v>
      </c>
      <c r="S253" s="86" t="s">
        <v>104</v>
      </c>
      <c r="T253" s="86">
        <v>45748</v>
      </c>
      <c r="U253" s="40" t="s">
        <v>604</v>
      </c>
      <c r="V253" s="41" t="s">
        <v>605</v>
      </c>
      <c r="W253" s="41" t="s">
        <v>119</v>
      </c>
      <c r="X253" s="41" t="s">
        <v>2190</v>
      </c>
      <c r="Y253" s="64">
        <v>45920</v>
      </c>
      <c r="Z253" s="64"/>
      <c r="AA253" s="40" t="s">
        <v>604</v>
      </c>
      <c r="AB253" s="41" t="s">
        <v>607</v>
      </c>
      <c r="AC253" s="41" t="s">
        <v>119</v>
      </c>
      <c r="AD253" s="41" t="s">
        <v>785</v>
      </c>
      <c r="AE253" s="41" t="s">
        <v>162</v>
      </c>
      <c r="AF253" s="42"/>
      <c r="AH253" s="41" t="s">
        <v>1248</v>
      </c>
      <c r="AI253" s="41" t="s">
        <v>1684</v>
      </c>
      <c r="AJ253" s="41" t="s">
        <v>2175</v>
      </c>
    </row>
    <row r="254" spans="6:36" ht="29" x14ac:dyDescent="0.35">
      <c r="F254" s="40" t="s">
        <v>2121</v>
      </c>
      <c r="G254" s="40" t="s">
        <v>603</v>
      </c>
      <c r="H254" s="41" t="s">
        <v>208</v>
      </c>
      <c r="J254" s="40" t="s">
        <v>786</v>
      </c>
      <c r="O254" s="40" t="s">
        <v>604</v>
      </c>
      <c r="P254" s="41" t="s">
        <v>605</v>
      </c>
      <c r="Q254" s="41" t="s">
        <v>119</v>
      </c>
      <c r="R254" s="41" t="s">
        <v>784</v>
      </c>
      <c r="S254" s="86" t="s">
        <v>104</v>
      </c>
      <c r="T254" s="86">
        <v>45748</v>
      </c>
      <c r="U254" s="40" t="s">
        <v>604</v>
      </c>
      <c r="V254" s="41" t="s">
        <v>605</v>
      </c>
      <c r="W254" s="41" t="s">
        <v>119</v>
      </c>
      <c r="X254" s="41" t="s">
        <v>2190</v>
      </c>
      <c r="Y254" s="64">
        <v>45920</v>
      </c>
      <c r="Z254" s="64"/>
      <c r="AA254" s="40" t="s">
        <v>604</v>
      </c>
      <c r="AB254" s="41" t="s">
        <v>607</v>
      </c>
      <c r="AC254" s="41" t="s">
        <v>119</v>
      </c>
      <c r="AD254" s="41" t="s">
        <v>785</v>
      </c>
      <c r="AE254" s="41" t="s">
        <v>162</v>
      </c>
      <c r="AF254" s="42"/>
      <c r="AH254" s="41" t="s">
        <v>1249</v>
      </c>
      <c r="AI254" s="41" t="s">
        <v>1685</v>
      </c>
      <c r="AJ254" s="41" t="s">
        <v>2175</v>
      </c>
    </row>
    <row r="255" spans="6:36" ht="29" x14ac:dyDescent="0.35">
      <c r="F255" s="40" t="s">
        <v>2122</v>
      </c>
      <c r="G255" s="40" t="s">
        <v>603</v>
      </c>
      <c r="H255" s="41" t="s">
        <v>208</v>
      </c>
      <c r="J255" s="40" t="s">
        <v>656</v>
      </c>
      <c r="O255" s="40" t="s">
        <v>604</v>
      </c>
      <c r="P255" s="41" t="s">
        <v>605</v>
      </c>
      <c r="Q255" s="41" t="s">
        <v>119</v>
      </c>
      <c r="R255" s="41" t="s">
        <v>784</v>
      </c>
      <c r="S255" s="86" t="s">
        <v>104</v>
      </c>
      <c r="T255" s="86">
        <v>45748</v>
      </c>
      <c r="U255" s="40" t="s">
        <v>604</v>
      </c>
      <c r="V255" s="41" t="s">
        <v>605</v>
      </c>
      <c r="W255" s="41" t="s">
        <v>119</v>
      </c>
      <c r="X255" s="41" t="s">
        <v>2190</v>
      </c>
      <c r="Y255" s="64">
        <v>45920</v>
      </c>
      <c r="Z255" s="64"/>
      <c r="AA255" s="40" t="s">
        <v>604</v>
      </c>
      <c r="AB255" s="41" t="s">
        <v>607</v>
      </c>
      <c r="AC255" s="41" t="s">
        <v>119</v>
      </c>
      <c r="AD255" s="41" t="s">
        <v>785</v>
      </c>
      <c r="AE255" s="41" t="s">
        <v>162</v>
      </c>
      <c r="AF255" s="42"/>
      <c r="AH255" s="41" t="s">
        <v>1250</v>
      </c>
      <c r="AI255" s="41" t="s">
        <v>1686</v>
      </c>
      <c r="AJ255" s="41" t="s">
        <v>2175</v>
      </c>
    </row>
    <row r="256" spans="6:36" ht="29" x14ac:dyDescent="0.35">
      <c r="F256" s="40" t="s">
        <v>2123</v>
      </c>
      <c r="G256" s="40" t="s">
        <v>603</v>
      </c>
      <c r="H256" s="41" t="s">
        <v>208</v>
      </c>
      <c r="J256" s="40" t="s">
        <v>761</v>
      </c>
      <c r="O256" s="40" t="s">
        <v>604</v>
      </c>
      <c r="P256" s="41" t="s">
        <v>605</v>
      </c>
      <c r="Q256" s="41" t="s">
        <v>119</v>
      </c>
      <c r="R256" s="41" t="s">
        <v>787</v>
      </c>
      <c r="S256" s="86" t="s">
        <v>104</v>
      </c>
      <c r="T256" s="86">
        <v>45748</v>
      </c>
      <c r="U256" s="40" t="s">
        <v>604</v>
      </c>
      <c r="V256" s="41" t="s">
        <v>605</v>
      </c>
      <c r="W256" s="41" t="s">
        <v>119</v>
      </c>
      <c r="X256" s="41" t="s">
        <v>2191</v>
      </c>
      <c r="Y256" s="64">
        <v>45920</v>
      </c>
      <c r="Z256" s="64"/>
      <c r="AA256" s="40" t="s">
        <v>604</v>
      </c>
      <c r="AB256" s="41" t="s">
        <v>607</v>
      </c>
      <c r="AC256" s="41" t="s">
        <v>119</v>
      </c>
      <c r="AD256" s="41" t="s">
        <v>788</v>
      </c>
      <c r="AE256" s="41" t="s">
        <v>162</v>
      </c>
      <c r="AF256" s="42"/>
      <c r="AH256" s="41" t="s">
        <v>1251</v>
      </c>
      <c r="AI256" s="41" t="s">
        <v>1687</v>
      </c>
      <c r="AJ256" s="41" t="s">
        <v>2175</v>
      </c>
    </row>
    <row r="257" spans="6:36" ht="29" x14ac:dyDescent="0.35">
      <c r="F257" s="40" t="s">
        <v>2124</v>
      </c>
      <c r="G257" s="40" t="s">
        <v>603</v>
      </c>
      <c r="H257" s="41" t="s">
        <v>208</v>
      </c>
      <c r="J257" s="40" t="s">
        <v>764</v>
      </c>
      <c r="O257" s="40" t="s">
        <v>604</v>
      </c>
      <c r="P257" s="41" t="s">
        <v>605</v>
      </c>
      <c r="Q257" s="41" t="s">
        <v>119</v>
      </c>
      <c r="R257" s="41" t="s">
        <v>787</v>
      </c>
      <c r="S257" s="86" t="s">
        <v>104</v>
      </c>
      <c r="T257" s="86">
        <v>45748</v>
      </c>
      <c r="U257" s="40" t="s">
        <v>604</v>
      </c>
      <c r="V257" s="41" t="s">
        <v>605</v>
      </c>
      <c r="W257" s="41" t="s">
        <v>119</v>
      </c>
      <c r="X257" s="41" t="s">
        <v>2191</v>
      </c>
      <c r="Y257" s="64">
        <v>45920</v>
      </c>
      <c r="Z257" s="64"/>
      <c r="AA257" s="40" t="s">
        <v>604</v>
      </c>
      <c r="AB257" s="41" t="s">
        <v>607</v>
      </c>
      <c r="AC257" s="41" t="s">
        <v>119</v>
      </c>
      <c r="AD257" s="41" t="s">
        <v>788</v>
      </c>
      <c r="AE257" s="41" t="s">
        <v>162</v>
      </c>
      <c r="AF257" s="42"/>
      <c r="AH257" s="41" t="s">
        <v>1252</v>
      </c>
      <c r="AI257" s="41" t="s">
        <v>1688</v>
      </c>
      <c r="AJ257" s="41" t="s">
        <v>2175</v>
      </c>
    </row>
    <row r="258" spans="6:36" ht="29" x14ac:dyDescent="0.35">
      <c r="F258" s="40" t="s">
        <v>2125</v>
      </c>
      <c r="G258" s="40" t="s">
        <v>603</v>
      </c>
      <c r="H258" s="41" t="s">
        <v>208</v>
      </c>
      <c r="J258" s="40" t="s">
        <v>616</v>
      </c>
      <c r="O258" s="40" t="s">
        <v>604</v>
      </c>
      <c r="P258" s="41" t="s">
        <v>605</v>
      </c>
      <c r="Q258" s="41" t="s">
        <v>119</v>
      </c>
      <c r="R258" s="41" t="s">
        <v>787</v>
      </c>
      <c r="S258" s="86" t="s">
        <v>104</v>
      </c>
      <c r="T258" s="86">
        <v>45748</v>
      </c>
      <c r="U258" s="40" t="s">
        <v>604</v>
      </c>
      <c r="V258" s="41" t="s">
        <v>605</v>
      </c>
      <c r="W258" s="41" t="s">
        <v>119</v>
      </c>
      <c r="X258" s="41" t="s">
        <v>2191</v>
      </c>
      <c r="Y258" s="64">
        <v>45920</v>
      </c>
      <c r="Z258" s="64"/>
      <c r="AA258" s="40" t="s">
        <v>604</v>
      </c>
      <c r="AB258" s="41" t="s">
        <v>607</v>
      </c>
      <c r="AC258" s="41" t="s">
        <v>119</v>
      </c>
      <c r="AD258" s="41" t="s">
        <v>788</v>
      </c>
      <c r="AE258" s="41" t="s">
        <v>162</v>
      </c>
      <c r="AF258" s="42"/>
      <c r="AH258" s="41" t="s">
        <v>1253</v>
      </c>
      <c r="AI258" s="41" t="s">
        <v>1689</v>
      </c>
      <c r="AJ258" s="41" t="s">
        <v>2175</v>
      </c>
    </row>
    <row r="259" spans="6:36" ht="29" x14ac:dyDescent="0.35">
      <c r="F259" s="40" t="s">
        <v>2126</v>
      </c>
      <c r="G259" s="40" t="s">
        <v>603</v>
      </c>
      <c r="H259" s="41" t="s">
        <v>208</v>
      </c>
      <c r="J259" s="40" t="s">
        <v>759</v>
      </c>
      <c r="O259" s="40" t="s">
        <v>604</v>
      </c>
      <c r="P259" s="41" t="s">
        <v>605</v>
      </c>
      <c r="Q259" s="41" t="s">
        <v>119</v>
      </c>
      <c r="R259" s="41" t="s">
        <v>787</v>
      </c>
      <c r="S259" s="86" t="s">
        <v>104</v>
      </c>
      <c r="T259" s="86">
        <v>45748</v>
      </c>
      <c r="U259" s="40" t="s">
        <v>604</v>
      </c>
      <c r="V259" s="41" t="s">
        <v>605</v>
      </c>
      <c r="W259" s="41" t="s">
        <v>119</v>
      </c>
      <c r="X259" s="41" t="s">
        <v>2191</v>
      </c>
      <c r="Y259" s="64">
        <v>45920</v>
      </c>
      <c r="Z259" s="64"/>
      <c r="AA259" s="40" t="s">
        <v>604</v>
      </c>
      <c r="AB259" s="41" t="s">
        <v>607</v>
      </c>
      <c r="AC259" s="41" t="s">
        <v>119</v>
      </c>
      <c r="AD259" s="41" t="s">
        <v>788</v>
      </c>
      <c r="AE259" s="41" t="s">
        <v>162</v>
      </c>
      <c r="AF259" s="42"/>
      <c r="AH259" s="41" t="s">
        <v>1254</v>
      </c>
      <c r="AI259" s="41" t="s">
        <v>1690</v>
      </c>
      <c r="AJ259" s="41" t="s">
        <v>2175</v>
      </c>
    </row>
    <row r="260" spans="6:36" ht="29" x14ac:dyDescent="0.35">
      <c r="F260" s="40" t="s">
        <v>2127</v>
      </c>
      <c r="G260" s="40" t="s">
        <v>603</v>
      </c>
      <c r="H260" s="41" t="s">
        <v>208</v>
      </c>
      <c r="J260" s="40" t="s">
        <v>760</v>
      </c>
      <c r="O260" s="40" t="s">
        <v>604</v>
      </c>
      <c r="P260" s="41" t="s">
        <v>605</v>
      </c>
      <c r="Q260" s="41" t="s">
        <v>119</v>
      </c>
      <c r="R260" s="41" t="s">
        <v>787</v>
      </c>
      <c r="S260" s="86" t="s">
        <v>104</v>
      </c>
      <c r="T260" s="86">
        <v>45748</v>
      </c>
      <c r="U260" s="40" t="s">
        <v>604</v>
      </c>
      <c r="V260" s="41" t="s">
        <v>605</v>
      </c>
      <c r="W260" s="41" t="s">
        <v>119</v>
      </c>
      <c r="X260" s="41" t="s">
        <v>2191</v>
      </c>
      <c r="Y260" s="64">
        <v>45920</v>
      </c>
      <c r="Z260" s="64"/>
      <c r="AA260" s="40" t="s">
        <v>604</v>
      </c>
      <c r="AB260" s="41" t="s">
        <v>607</v>
      </c>
      <c r="AC260" s="41" t="s">
        <v>119</v>
      </c>
      <c r="AD260" s="41" t="s">
        <v>788</v>
      </c>
      <c r="AE260" s="41" t="s">
        <v>162</v>
      </c>
      <c r="AF260" s="42"/>
      <c r="AH260" s="41" t="s">
        <v>1255</v>
      </c>
      <c r="AI260" s="41" t="s">
        <v>1691</v>
      </c>
      <c r="AJ260" s="41" t="s">
        <v>2175</v>
      </c>
    </row>
    <row r="261" spans="6:36" ht="29" x14ac:dyDescent="0.35">
      <c r="F261" s="40" t="s">
        <v>2128</v>
      </c>
      <c r="G261" s="40" t="s">
        <v>603</v>
      </c>
      <c r="H261" s="41" t="s">
        <v>208</v>
      </c>
      <c r="J261" s="40" t="s">
        <v>753</v>
      </c>
      <c r="O261" s="40" t="s">
        <v>604</v>
      </c>
      <c r="P261" s="41" t="s">
        <v>605</v>
      </c>
      <c r="Q261" s="41" t="s">
        <v>119</v>
      </c>
      <c r="R261" s="41" t="s">
        <v>789</v>
      </c>
      <c r="S261" s="86" t="s">
        <v>104</v>
      </c>
      <c r="T261" s="86">
        <v>45748</v>
      </c>
      <c r="U261" s="40" t="s">
        <v>604</v>
      </c>
      <c r="V261" s="41" t="s">
        <v>605</v>
      </c>
      <c r="W261" s="41" t="s">
        <v>119</v>
      </c>
      <c r="X261" s="41" t="s">
        <v>2192</v>
      </c>
      <c r="Y261" s="64">
        <v>45920</v>
      </c>
      <c r="Z261" s="64"/>
      <c r="AA261" s="40" t="s">
        <v>604</v>
      </c>
      <c r="AB261" s="41" t="s">
        <v>607</v>
      </c>
      <c r="AC261" s="41" t="s">
        <v>119</v>
      </c>
      <c r="AD261" s="41" t="s">
        <v>790</v>
      </c>
      <c r="AE261" s="41" t="s">
        <v>162</v>
      </c>
      <c r="AF261" s="42"/>
      <c r="AH261" s="41" t="s">
        <v>1256</v>
      </c>
      <c r="AI261" s="41" t="s">
        <v>1692</v>
      </c>
      <c r="AJ261" s="41" t="s">
        <v>2175</v>
      </c>
    </row>
    <row r="262" spans="6:36" ht="29" x14ac:dyDescent="0.35">
      <c r="F262" s="40" t="s">
        <v>2129</v>
      </c>
      <c r="G262" s="40" t="s">
        <v>603</v>
      </c>
      <c r="H262" s="41" t="s">
        <v>208</v>
      </c>
      <c r="J262" s="40" t="s">
        <v>757</v>
      </c>
      <c r="O262" s="40" t="s">
        <v>604</v>
      </c>
      <c r="P262" s="41" t="s">
        <v>605</v>
      </c>
      <c r="Q262" s="41" t="s">
        <v>119</v>
      </c>
      <c r="R262" s="41" t="s">
        <v>789</v>
      </c>
      <c r="S262" s="86" t="s">
        <v>104</v>
      </c>
      <c r="T262" s="86">
        <v>45748</v>
      </c>
      <c r="U262" s="40" t="s">
        <v>604</v>
      </c>
      <c r="V262" s="41" t="s">
        <v>605</v>
      </c>
      <c r="W262" s="41" t="s">
        <v>119</v>
      </c>
      <c r="X262" s="41" t="s">
        <v>2192</v>
      </c>
      <c r="Y262" s="64">
        <v>45920</v>
      </c>
      <c r="Z262" s="64"/>
      <c r="AA262" s="40" t="s">
        <v>604</v>
      </c>
      <c r="AB262" s="41" t="s">
        <v>607</v>
      </c>
      <c r="AC262" s="41" t="s">
        <v>119</v>
      </c>
      <c r="AD262" s="41" t="s">
        <v>790</v>
      </c>
      <c r="AE262" s="41" t="s">
        <v>162</v>
      </c>
      <c r="AF262" s="42"/>
      <c r="AH262" s="41" t="s">
        <v>1257</v>
      </c>
      <c r="AI262" s="41" t="s">
        <v>1693</v>
      </c>
      <c r="AJ262" s="41" t="s">
        <v>2175</v>
      </c>
    </row>
    <row r="263" spans="6:36" ht="29" x14ac:dyDescent="0.35">
      <c r="F263" s="40" t="s">
        <v>2130</v>
      </c>
      <c r="G263" s="40" t="s">
        <v>603</v>
      </c>
      <c r="H263" s="41" t="s">
        <v>208</v>
      </c>
      <c r="J263" s="40" t="s">
        <v>616</v>
      </c>
      <c r="O263" s="40" t="s">
        <v>604</v>
      </c>
      <c r="P263" s="41" t="s">
        <v>605</v>
      </c>
      <c r="Q263" s="41" t="s">
        <v>119</v>
      </c>
      <c r="R263" s="41" t="s">
        <v>789</v>
      </c>
      <c r="S263" s="86" t="s">
        <v>104</v>
      </c>
      <c r="T263" s="86">
        <v>45748</v>
      </c>
      <c r="U263" s="40" t="s">
        <v>604</v>
      </c>
      <c r="V263" s="41" t="s">
        <v>605</v>
      </c>
      <c r="W263" s="41" t="s">
        <v>119</v>
      </c>
      <c r="X263" s="41" t="s">
        <v>2192</v>
      </c>
      <c r="Y263" s="64">
        <v>45920</v>
      </c>
      <c r="Z263" s="64"/>
      <c r="AA263" s="40" t="s">
        <v>604</v>
      </c>
      <c r="AB263" s="41" t="s">
        <v>607</v>
      </c>
      <c r="AC263" s="41" t="s">
        <v>119</v>
      </c>
      <c r="AD263" s="41" t="s">
        <v>790</v>
      </c>
      <c r="AE263" s="41" t="s">
        <v>162</v>
      </c>
      <c r="AF263" s="42"/>
      <c r="AH263" s="41" t="s">
        <v>1258</v>
      </c>
      <c r="AI263" s="41" t="s">
        <v>1694</v>
      </c>
      <c r="AJ263" s="41" t="s">
        <v>2175</v>
      </c>
    </row>
    <row r="264" spans="6:36" ht="29" x14ac:dyDescent="0.35">
      <c r="F264" s="40" t="s">
        <v>2131</v>
      </c>
      <c r="G264" s="40" t="s">
        <v>603</v>
      </c>
      <c r="H264" s="41" t="s">
        <v>208</v>
      </c>
      <c r="J264" s="40" t="s">
        <v>759</v>
      </c>
      <c r="O264" s="40" t="s">
        <v>604</v>
      </c>
      <c r="P264" s="41" t="s">
        <v>605</v>
      </c>
      <c r="Q264" s="41" t="s">
        <v>119</v>
      </c>
      <c r="R264" s="41" t="s">
        <v>789</v>
      </c>
      <c r="S264" s="86" t="s">
        <v>104</v>
      </c>
      <c r="T264" s="86">
        <v>45748</v>
      </c>
      <c r="U264" s="40" t="s">
        <v>604</v>
      </c>
      <c r="V264" s="41" t="s">
        <v>605</v>
      </c>
      <c r="W264" s="41" t="s">
        <v>119</v>
      </c>
      <c r="X264" s="41" t="s">
        <v>2192</v>
      </c>
      <c r="Y264" s="64">
        <v>45920</v>
      </c>
      <c r="Z264" s="64"/>
      <c r="AA264" s="40" t="s">
        <v>604</v>
      </c>
      <c r="AB264" s="41" t="s">
        <v>607</v>
      </c>
      <c r="AC264" s="41" t="s">
        <v>119</v>
      </c>
      <c r="AD264" s="41" t="s">
        <v>790</v>
      </c>
      <c r="AE264" s="41" t="s">
        <v>162</v>
      </c>
      <c r="AF264" s="42"/>
      <c r="AH264" s="41" t="s">
        <v>1259</v>
      </c>
      <c r="AI264" s="41" t="s">
        <v>1695</v>
      </c>
      <c r="AJ264" s="41" t="s">
        <v>2175</v>
      </c>
    </row>
    <row r="265" spans="6:36" ht="29" x14ac:dyDescent="0.35">
      <c r="F265" s="40" t="s">
        <v>2132</v>
      </c>
      <c r="G265" s="40" t="s">
        <v>603</v>
      </c>
      <c r="H265" s="41" t="s">
        <v>208</v>
      </c>
      <c r="J265" s="40" t="s">
        <v>690</v>
      </c>
      <c r="O265" s="40" t="s">
        <v>604</v>
      </c>
      <c r="P265" s="41" t="s">
        <v>607</v>
      </c>
      <c r="Q265" s="41" t="s">
        <v>121</v>
      </c>
      <c r="R265" s="41" t="s">
        <v>721</v>
      </c>
      <c r="S265" s="86" t="s">
        <v>104</v>
      </c>
      <c r="T265" s="86">
        <v>45748</v>
      </c>
      <c r="U265" s="40" t="s">
        <v>604</v>
      </c>
      <c r="V265" s="41" t="s">
        <v>605</v>
      </c>
      <c r="W265" s="41" t="s">
        <v>119</v>
      </c>
      <c r="X265" s="41" t="s">
        <v>2192</v>
      </c>
      <c r="Y265" s="64">
        <v>45920</v>
      </c>
      <c r="Z265" s="64"/>
      <c r="AA265" s="40" t="s">
        <v>604</v>
      </c>
      <c r="AB265" s="41" t="s">
        <v>607</v>
      </c>
      <c r="AC265" s="41" t="s">
        <v>121</v>
      </c>
      <c r="AD265" s="41" t="s">
        <v>721</v>
      </c>
      <c r="AE265" s="41" t="s">
        <v>162</v>
      </c>
      <c r="AF265" s="42"/>
      <c r="AH265" s="41" t="s">
        <v>1260</v>
      </c>
      <c r="AI265" s="41" t="s">
        <v>1696</v>
      </c>
      <c r="AJ265" s="41" t="s">
        <v>2175</v>
      </c>
    </row>
    <row r="266" spans="6:36" ht="29" x14ac:dyDescent="0.35">
      <c r="F266" s="40" t="s">
        <v>2133</v>
      </c>
      <c r="G266" s="40" t="s">
        <v>603</v>
      </c>
      <c r="H266" s="41" t="s">
        <v>208</v>
      </c>
      <c r="J266" s="40" t="s">
        <v>761</v>
      </c>
      <c r="O266" s="40" t="s">
        <v>604</v>
      </c>
      <c r="P266" s="41" t="s">
        <v>605</v>
      </c>
      <c r="Q266" s="41" t="s">
        <v>119</v>
      </c>
      <c r="R266" s="41" t="s">
        <v>791</v>
      </c>
      <c r="S266" s="86" t="s">
        <v>104</v>
      </c>
      <c r="T266" s="86">
        <v>45748</v>
      </c>
      <c r="U266" s="40" t="s">
        <v>604</v>
      </c>
      <c r="V266" s="41" t="s">
        <v>605</v>
      </c>
      <c r="W266" s="41" t="s">
        <v>119</v>
      </c>
      <c r="X266" s="41" t="s">
        <v>2193</v>
      </c>
      <c r="Y266" s="64">
        <v>45920</v>
      </c>
      <c r="Z266" s="64"/>
      <c r="AA266" s="40" t="s">
        <v>604</v>
      </c>
      <c r="AB266" s="41" t="s">
        <v>607</v>
      </c>
      <c r="AC266" s="41" t="s">
        <v>119</v>
      </c>
      <c r="AD266" s="41" t="s">
        <v>792</v>
      </c>
      <c r="AE266" s="41" t="s">
        <v>162</v>
      </c>
      <c r="AF266" s="42"/>
      <c r="AH266" s="41" t="s">
        <v>1261</v>
      </c>
      <c r="AI266" s="41" t="s">
        <v>1697</v>
      </c>
      <c r="AJ266" s="41" t="s">
        <v>2175</v>
      </c>
    </row>
    <row r="267" spans="6:36" ht="29" x14ac:dyDescent="0.35">
      <c r="F267" s="40" t="s">
        <v>2134</v>
      </c>
      <c r="G267" s="40" t="s">
        <v>603</v>
      </c>
      <c r="H267" s="41" t="s">
        <v>208</v>
      </c>
      <c r="J267" s="40" t="s">
        <v>764</v>
      </c>
      <c r="O267" s="40" t="s">
        <v>604</v>
      </c>
      <c r="P267" s="41" t="s">
        <v>605</v>
      </c>
      <c r="Q267" s="41" t="s">
        <v>119</v>
      </c>
      <c r="R267" s="41" t="s">
        <v>791</v>
      </c>
      <c r="S267" s="86" t="s">
        <v>104</v>
      </c>
      <c r="T267" s="86">
        <v>45748</v>
      </c>
      <c r="U267" s="40" t="s">
        <v>604</v>
      </c>
      <c r="V267" s="41" t="s">
        <v>605</v>
      </c>
      <c r="W267" s="41" t="s">
        <v>119</v>
      </c>
      <c r="X267" s="41" t="s">
        <v>2193</v>
      </c>
      <c r="Y267" s="64">
        <v>45920</v>
      </c>
      <c r="Z267" s="64"/>
      <c r="AA267" s="40" t="s">
        <v>604</v>
      </c>
      <c r="AB267" s="41" t="s">
        <v>607</v>
      </c>
      <c r="AC267" s="41" t="s">
        <v>119</v>
      </c>
      <c r="AD267" s="41" t="s">
        <v>792</v>
      </c>
      <c r="AE267" s="41" t="s">
        <v>162</v>
      </c>
      <c r="AF267" s="42"/>
      <c r="AH267" s="41" t="s">
        <v>1262</v>
      </c>
      <c r="AI267" s="41" t="s">
        <v>1698</v>
      </c>
      <c r="AJ267" s="41" t="s">
        <v>2175</v>
      </c>
    </row>
    <row r="268" spans="6:36" ht="29" x14ac:dyDescent="0.35">
      <c r="F268" s="40" t="s">
        <v>2135</v>
      </c>
      <c r="G268" s="40" t="s">
        <v>603</v>
      </c>
      <c r="H268" s="41" t="s">
        <v>208</v>
      </c>
      <c r="J268" s="40" t="s">
        <v>616</v>
      </c>
      <c r="O268" s="40" t="s">
        <v>604</v>
      </c>
      <c r="P268" s="41" t="s">
        <v>605</v>
      </c>
      <c r="Q268" s="41" t="s">
        <v>119</v>
      </c>
      <c r="R268" s="41" t="s">
        <v>791</v>
      </c>
      <c r="S268" s="86" t="s">
        <v>104</v>
      </c>
      <c r="T268" s="86">
        <v>45748</v>
      </c>
      <c r="U268" s="40" t="s">
        <v>604</v>
      </c>
      <c r="V268" s="41" t="s">
        <v>605</v>
      </c>
      <c r="W268" s="41" t="s">
        <v>119</v>
      </c>
      <c r="X268" s="41" t="s">
        <v>2193</v>
      </c>
      <c r="Y268" s="64">
        <v>45920</v>
      </c>
      <c r="Z268" s="64"/>
      <c r="AA268" s="40" t="s">
        <v>604</v>
      </c>
      <c r="AB268" s="41" t="s">
        <v>607</v>
      </c>
      <c r="AC268" s="41" t="s">
        <v>119</v>
      </c>
      <c r="AD268" s="41" t="s">
        <v>792</v>
      </c>
      <c r="AE268" s="41" t="s">
        <v>162</v>
      </c>
      <c r="AF268" s="42"/>
      <c r="AH268" s="41" t="s">
        <v>1263</v>
      </c>
      <c r="AI268" s="41" t="s">
        <v>1699</v>
      </c>
      <c r="AJ268" s="41" t="s">
        <v>2175</v>
      </c>
    </row>
    <row r="269" spans="6:36" ht="29" x14ac:dyDescent="0.35">
      <c r="F269" s="40" t="s">
        <v>2136</v>
      </c>
      <c r="G269" s="40" t="s">
        <v>603</v>
      </c>
      <c r="H269" s="41" t="s">
        <v>208</v>
      </c>
      <c r="J269" s="40" t="s">
        <v>759</v>
      </c>
      <c r="O269" s="40" t="s">
        <v>604</v>
      </c>
      <c r="P269" s="41" t="s">
        <v>605</v>
      </c>
      <c r="Q269" s="41" t="s">
        <v>119</v>
      </c>
      <c r="R269" s="41" t="s">
        <v>791</v>
      </c>
      <c r="S269" s="86" t="s">
        <v>104</v>
      </c>
      <c r="T269" s="86">
        <v>45748</v>
      </c>
      <c r="U269" s="40" t="s">
        <v>604</v>
      </c>
      <c r="V269" s="41" t="s">
        <v>605</v>
      </c>
      <c r="W269" s="41" t="s">
        <v>119</v>
      </c>
      <c r="X269" s="41" t="s">
        <v>2193</v>
      </c>
      <c r="Y269" s="64">
        <v>45920</v>
      </c>
      <c r="Z269" s="64"/>
      <c r="AA269" s="40" t="s">
        <v>604</v>
      </c>
      <c r="AB269" s="41" t="s">
        <v>607</v>
      </c>
      <c r="AC269" s="41" t="s">
        <v>119</v>
      </c>
      <c r="AD269" s="41" t="s">
        <v>792</v>
      </c>
      <c r="AE269" s="41" t="s">
        <v>162</v>
      </c>
      <c r="AF269" s="42"/>
      <c r="AH269" s="41" t="s">
        <v>1264</v>
      </c>
      <c r="AI269" s="41" t="s">
        <v>1700</v>
      </c>
      <c r="AJ269" s="41" t="s">
        <v>2175</v>
      </c>
    </row>
    <row r="270" spans="6:36" ht="29" x14ac:dyDescent="0.35">
      <c r="F270" s="40" t="s">
        <v>2137</v>
      </c>
      <c r="G270" s="40" t="s">
        <v>603</v>
      </c>
      <c r="H270" s="41" t="s">
        <v>208</v>
      </c>
      <c r="J270" s="40" t="s">
        <v>760</v>
      </c>
      <c r="O270" s="40" t="s">
        <v>604</v>
      </c>
      <c r="P270" s="41" t="s">
        <v>605</v>
      </c>
      <c r="Q270" s="41" t="s">
        <v>119</v>
      </c>
      <c r="R270" s="41" t="s">
        <v>791</v>
      </c>
      <c r="S270" s="86" t="s">
        <v>104</v>
      </c>
      <c r="T270" s="86">
        <v>45748</v>
      </c>
      <c r="U270" s="40" t="s">
        <v>604</v>
      </c>
      <c r="V270" s="41" t="s">
        <v>605</v>
      </c>
      <c r="W270" s="41" t="s">
        <v>119</v>
      </c>
      <c r="X270" s="41" t="s">
        <v>2193</v>
      </c>
      <c r="Y270" s="64">
        <v>45920</v>
      </c>
      <c r="Z270" s="64"/>
      <c r="AA270" s="40" t="s">
        <v>604</v>
      </c>
      <c r="AB270" s="41" t="s">
        <v>607</v>
      </c>
      <c r="AC270" s="41" t="s">
        <v>119</v>
      </c>
      <c r="AD270" s="41" t="s">
        <v>792</v>
      </c>
      <c r="AE270" s="41" t="s">
        <v>162</v>
      </c>
      <c r="AF270" s="42"/>
      <c r="AH270" s="41" t="s">
        <v>1265</v>
      </c>
      <c r="AI270" s="41" t="s">
        <v>1701</v>
      </c>
      <c r="AJ270" s="41" t="s">
        <v>2175</v>
      </c>
    </row>
    <row r="271" spans="6:36" ht="29" x14ac:dyDescent="0.35">
      <c r="F271" s="40" t="s">
        <v>2138</v>
      </c>
      <c r="G271" s="40" t="s">
        <v>603</v>
      </c>
      <c r="H271" s="41" t="s">
        <v>208</v>
      </c>
      <c r="J271" s="40" t="s">
        <v>690</v>
      </c>
      <c r="O271" s="40" t="s">
        <v>604</v>
      </c>
      <c r="P271" s="41" t="s">
        <v>607</v>
      </c>
      <c r="Q271" s="41" t="s">
        <v>121</v>
      </c>
      <c r="R271" s="41" t="s">
        <v>721</v>
      </c>
      <c r="S271" s="86" t="s">
        <v>104</v>
      </c>
      <c r="T271" s="86">
        <v>45748</v>
      </c>
      <c r="U271" s="40" t="s">
        <v>604</v>
      </c>
      <c r="V271" s="41" t="s">
        <v>605</v>
      </c>
      <c r="W271" s="41" t="s">
        <v>119</v>
      </c>
      <c r="X271" s="41" t="s">
        <v>2193</v>
      </c>
      <c r="Y271" s="64">
        <v>45920</v>
      </c>
      <c r="Z271" s="64"/>
      <c r="AA271" s="40" t="s">
        <v>604</v>
      </c>
      <c r="AB271" s="41" t="s">
        <v>607</v>
      </c>
      <c r="AC271" s="41" t="s">
        <v>121</v>
      </c>
      <c r="AD271" s="41" t="s">
        <v>721</v>
      </c>
      <c r="AE271" s="41" t="s">
        <v>162</v>
      </c>
      <c r="AF271" s="42"/>
      <c r="AH271" s="41" t="s">
        <v>1266</v>
      </c>
      <c r="AI271" s="41" t="s">
        <v>1702</v>
      </c>
      <c r="AJ271" s="41" t="s">
        <v>2175</v>
      </c>
    </row>
    <row r="272" spans="6:36" ht="29" x14ac:dyDescent="0.35">
      <c r="F272" s="40" t="s">
        <v>2139</v>
      </c>
      <c r="G272" s="40" t="s">
        <v>603</v>
      </c>
      <c r="H272" s="41" t="s">
        <v>208</v>
      </c>
      <c r="J272" s="40" t="s">
        <v>678</v>
      </c>
      <c r="O272" s="40" t="s">
        <v>604</v>
      </c>
      <c r="P272" s="41" t="s">
        <v>605</v>
      </c>
      <c r="Q272" s="41" t="s">
        <v>119</v>
      </c>
      <c r="R272" s="41" t="s">
        <v>791</v>
      </c>
      <c r="S272" s="86" t="s">
        <v>104</v>
      </c>
      <c r="T272" s="86">
        <v>45748</v>
      </c>
      <c r="U272" s="40" t="s">
        <v>604</v>
      </c>
      <c r="V272" s="41" t="s">
        <v>605</v>
      </c>
      <c r="W272" s="41" t="s">
        <v>119</v>
      </c>
      <c r="X272" s="41" t="s">
        <v>2193</v>
      </c>
      <c r="Y272" s="64">
        <v>45920</v>
      </c>
      <c r="Z272" s="64"/>
      <c r="AA272" s="40" t="s">
        <v>604</v>
      </c>
      <c r="AB272" s="41" t="s">
        <v>607</v>
      </c>
      <c r="AC272" s="41" t="s">
        <v>119</v>
      </c>
      <c r="AD272" s="41" t="s">
        <v>792</v>
      </c>
      <c r="AE272" s="41" t="s">
        <v>162</v>
      </c>
      <c r="AF272" s="42"/>
      <c r="AH272" s="41" t="s">
        <v>1267</v>
      </c>
      <c r="AI272" s="41" t="s">
        <v>1703</v>
      </c>
      <c r="AJ272" s="41" t="s">
        <v>2175</v>
      </c>
    </row>
    <row r="273" spans="6:36" ht="29" x14ac:dyDescent="0.35">
      <c r="F273" s="40" t="s">
        <v>2140</v>
      </c>
      <c r="G273" s="40" t="s">
        <v>603</v>
      </c>
      <c r="H273" s="41" t="s">
        <v>208</v>
      </c>
      <c r="J273" s="40" t="s">
        <v>753</v>
      </c>
      <c r="O273" s="40" t="s">
        <v>604</v>
      </c>
      <c r="P273" s="41" t="s">
        <v>605</v>
      </c>
      <c r="Q273" s="41" t="s">
        <v>119</v>
      </c>
      <c r="R273" s="41" t="s">
        <v>793</v>
      </c>
      <c r="S273" s="86" t="s">
        <v>104</v>
      </c>
      <c r="T273" s="86">
        <v>45748</v>
      </c>
      <c r="U273" s="40" t="s">
        <v>604</v>
      </c>
      <c r="V273" s="41" t="s">
        <v>605</v>
      </c>
      <c r="W273" s="41" t="s">
        <v>119</v>
      </c>
      <c r="X273" s="41" t="s">
        <v>2194</v>
      </c>
      <c r="Y273" s="64">
        <v>45920</v>
      </c>
      <c r="Z273" s="64"/>
      <c r="AA273" s="40" t="s">
        <v>604</v>
      </c>
      <c r="AB273" s="41" t="s">
        <v>607</v>
      </c>
      <c r="AC273" s="41" t="s">
        <v>119</v>
      </c>
      <c r="AD273" s="41" t="s">
        <v>794</v>
      </c>
      <c r="AE273" s="41" t="s">
        <v>162</v>
      </c>
      <c r="AF273" s="42"/>
      <c r="AH273" s="41" t="s">
        <v>1268</v>
      </c>
      <c r="AI273" s="41" t="s">
        <v>1704</v>
      </c>
      <c r="AJ273" s="41" t="s">
        <v>2175</v>
      </c>
    </row>
    <row r="274" spans="6:36" ht="29" x14ac:dyDescent="0.35">
      <c r="F274" s="40" t="s">
        <v>2141</v>
      </c>
      <c r="G274" s="40" t="s">
        <v>603</v>
      </c>
      <c r="H274" s="41" t="s">
        <v>208</v>
      </c>
      <c r="J274" s="40" t="s">
        <v>757</v>
      </c>
      <c r="O274" s="40" t="s">
        <v>604</v>
      </c>
      <c r="P274" s="41" t="s">
        <v>605</v>
      </c>
      <c r="Q274" s="41" t="s">
        <v>119</v>
      </c>
      <c r="R274" s="41" t="s">
        <v>793</v>
      </c>
      <c r="S274" s="86" t="s">
        <v>104</v>
      </c>
      <c r="T274" s="86">
        <v>45748</v>
      </c>
      <c r="U274" s="40" t="s">
        <v>604</v>
      </c>
      <c r="V274" s="41" t="s">
        <v>605</v>
      </c>
      <c r="W274" s="41" t="s">
        <v>119</v>
      </c>
      <c r="X274" s="41" t="s">
        <v>2194</v>
      </c>
      <c r="Y274" s="64">
        <v>45920</v>
      </c>
      <c r="Z274" s="64"/>
      <c r="AA274" s="40" t="s">
        <v>604</v>
      </c>
      <c r="AB274" s="41" t="s">
        <v>607</v>
      </c>
      <c r="AC274" s="41" t="s">
        <v>119</v>
      </c>
      <c r="AD274" s="41" t="s">
        <v>794</v>
      </c>
      <c r="AE274" s="41" t="s">
        <v>162</v>
      </c>
      <c r="AF274" s="42"/>
      <c r="AH274" s="41" t="s">
        <v>1269</v>
      </c>
      <c r="AI274" s="41" t="s">
        <v>1705</v>
      </c>
      <c r="AJ274" s="41" t="s">
        <v>2175</v>
      </c>
    </row>
    <row r="275" spans="6:36" ht="29" x14ac:dyDescent="0.35">
      <c r="F275" s="40" t="s">
        <v>2142</v>
      </c>
      <c r="G275" s="40" t="s">
        <v>603</v>
      </c>
      <c r="H275" s="41" t="s">
        <v>208</v>
      </c>
      <c r="J275" s="40" t="s">
        <v>616</v>
      </c>
      <c r="O275" s="40" t="s">
        <v>604</v>
      </c>
      <c r="P275" s="41" t="s">
        <v>605</v>
      </c>
      <c r="Q275" s="41" t="s">
        <v>119</v>
      </c>
      <c r="R275" s="41" t="s">
        <v>793</v>
      </c>
      <c r="S275" s="86" t="s">
        <v>104</v>
      </c>
      <c r="T275" s="86">
        <v>45748</v>
      </c>
      <c r="U275" s="40" t="s">
        <v>604</v>
      </c>
      <c r="V275" s="41" t="s">
        <v>605</v>
      </c>
      <c r="W275" s="41" t="s">
        <v>119</v>
      </c>
      <c r="X275" s="41" t="s">
        <v>2194</v>
      </c>
      <c r="Y275" s="64">
        <v>45920</v>
      </c>
      <c r="Z275" s="64"/>
      <c r="AA275" s="40" t="s">
        <v>604</v>
      </c>
      <c r="AB275" s="41" t="s">
        <v>607</v>
      </c>
      <c r="AC275" s="41" t="s">
        <v>119</v>
      </c>
      <c r="AD275" s="41" t="s">
        <v>794</v>
      </c>
      <c r="AE275" s="41" t="s">
        <v>162</v>
      </c>
      <c r="AF275" s="42"/>
      <c r="AH275" s="41" t="s">
        <v>1270</v>
      </c>
      <c r="AI275" s="41" t="s">
        <v>1706</v>
      </c>
      <c r="AJ275" s="41" t="s">
        <v>2175</v>
      </c>
    </row>
    <row r="276" spans="6:36" ht="29" x14ac:dyDescent="0.35">
      <c r="F276" s="40" t="s">
        <v>2143</v>
      </c>
      <c r="G276" s="40" t="s">
        <v>603</v>
      </c>
      <c r="H276" s="41" t="s">
        <v>208</v>
      </c>
      <c r="J276" s="40" t="s">
        <v>759</v>
      </c>
      <c r="O276" s="40" t="s">
        <v>604</v>
      </c>
      <c r="P276" s="41" t="s">
        <v>605</v>
      </c>
      <c r="Q276" s="41" t="s">
        <v>119</v>
      </c>
      <c r="R276" s="41" t="s">
        <v>793</v>
      </c>
      <c r="S276" s="86" t="s">
        <v>104</v>
      </c>
      <c r="T276" s="86">
        <v>45748</v>
      </c>
      <c r="U276" s="40" t="s">
        <v>604</v>
      </c>
      <c r="V276" s="41" t="s">
        <v>605</v>
      </c>
      <c r="W276" s="41" t="s">
        <v>119</v>
      </c>
      <c r="X276" s="41" t="s">
        <v>2194</v>
      </c>
      <c r="Y276" s="64">
        <v>45920</v>
      </c>
      <c r="Z276" s="64"/>
      <c r="AA276" s="40" t="s">
        <v>604</v>
      </c>
      <c r="AB276" s="41" t="s">
        <v>607</v>
      </c>
      <c r="AC276" s="41" t="s">
        <v>119</v>
      </c>
      <c r="AD276" s="41" t="s">
        <v>794</v>
      </c>
      <c r="AE276" s="41" t="s">
        <v>162</v>
      </c>
      <c r="AF276" s="42"/>
      <c r="AH276" s="41" t="s">
        <v>1271</v>
      </c>
      <c r="AI276" s="41" t="s">
        <v>1707</v>
      </c>
      <c r="AJ276" s="41" t="s">
        <v>2175</v>
      </c>
    </row>
    <row r="277" spans="6:36" ht="29" x14ac:dyDescent="0.35">
      <c r="F277" s="40" t="s">
        <v>2144</v>
      </c>
      <c r="G277" s="40" t="s">
        <v>603</v>
      </c>
      <c r="H277" s="41" t="s">
        <v>208</v>
      </c>
      <c r="J277" s="40" t="s">
        <v>654</v>
      </c>
      <c r="O277" s="40" t="s">
        <v>604</v>
      </c>
      <c r="P277" s="41" t="s">
        <v>605</v>
      </c>
      <c r="Q277" s="41" t="s">
        <v>119</v>
      </c>
      <c r="R277" s="41" t="s">
        <v>793</v>
      </c>
      <c r="S277" s="86" t="s">
        <v>104</v>
      </c>
      <c r="T277" s="86">
        <v>45748</v>
      </c>
      <c r="U277" s="40" t="s">
        <v>604</v>
      </c>
      <c r="V277" s="41" t="s">
        <v>605</v>
      </c>
      <c r="W277" s="41" t="s">
        <v>119</v>
      </c>
      <c r="X277" s="41" t="s">
        <v>2194</v>
      </c>
      <c r="Y277" s="64">
        <v>45920</v>
      </c>
      <c r="Z277" s="64"/>
      <c r="AA277" s="40" t="s">
        <v>604</v>
      </c>
      <c r="AB277" s="41" t="s">
        <v>607</v>
      </c>
      <c r="AC277" s="41" t="s">
        <v>119</v>
      </c>
      <c r="AD277" s="41" t="s">
        <v>794</v>
      </c>
      <c r="AE277" s="41" t="s">
        <v>162</v>
      </c>
      <c r="AF277" s="42"/>
      <c r="AH277" s="41" t="s">
        <v>1272</v>
      </c>
      <c r="AI277" s="41" t="s">
        <v>1708</v>
      </c>
      <c r="AJ277" s="41" t="s">
        <v>2175</v>
      </c>
    </row>
    <row r="278" spans="6:36" ht="29" x14ac:dyDescent="0.35">
      <c r="F278" s="40" t="s">
        <v>2145</v>
      </c>
      <c r="G278" s="40" t="s">
        <v>603</v>
      </c>
      <c r="H278" s="41" t="s">
        <v>208</v>
      </c>
      <c r="J278" s="40" t="s">
        <v>732</v>
      </c>
      <c r="O278" s="40" t="s">
        <v>604</v>
      </c>
      <c r="P278" s="41" t="s">
        <v>605</v>
      </c>
      <c r="Q278" s="41" t="s">
        <v>119</v>
      </c>
      <c r="R278" s="41" t="s">
        <v>793</v>
      </c>
      <c r="S278" s="86" t="s">
        <v>104</v>
      </c>
      <c r="T278" s="86">
        <v>45748</v>
      </c>
      <c r="U278" s="40" t="s">
        <v>604</v>
      </c>
      <c r="V278" s="41" t="s">
        <v>605</v>
      </c>
      <c r="W278" s="41" t="s">
        <v>119</v>
      </c>
      <c r="X278" s="41" t="s">
        <v>2194</v>
      </c>
      <c r="Y278" s="64">
        <v>45920</v>
      </c>
      <c r="Z278" s="64"/>
      <c r="AA278" s="40" t="s">
        <v>604</v>
      </c>
      <c r="AB278" s="41" t="s">
        <v>607</v>
      </c>
      <c r="AC278" s="41" t="s">
        <v>119</v>
      </c>
      <c r="AD278" s="41" t="s">
        <v>794</v>
      </c>
      <c r="AE278" s="41" t="s">
        <v>162</v>
      </c>
      <c r="AF278" s="42"/>
      <c r="AH278" s="41" t="s">
        <v>1273</v>
      </c>
      <c r="AI278" s="41" t="s">
        <v>1709</v>
      </c>
      <c r="AJ278" s="41" t="s">
        <v>2175</v>
      </c>
    </row>
    <row r="279" spans="6:36" ht="29" x14ac:dyDescent="0.35">
      <c r="F279" s="40" t="s">
        <v>2146</v>
      </c>
      <c r="G279" s="40" t="s">
        <v>603</v>
      </c>
      <c r="H279" s="41" t="s">
        <v>208</v>
      </c>
      <c r="J279" s="40" t="s">
        <v>795</v>
      </c>
      <c r="O279" s="40" t="s">
        <v>604</v>
      </c>
      <c r="P279" s="41" t="s">
        <v>605</v>
      </c>
      <c r="Q279" s="41" t="s">
        <v>119</v>
      </c>
      <c r="R279" s="41" t="s">
        <v>793</v>
      </c>
      <c r="S279" s="86" t="s">
        <v>104</v>
      </c>
      <c r="T279" s="86">
        <v>45748</v>
      </c>
      <c r="U279" s="40" t="s">
        <v>604</v>
      </c>
      <c r="V279" s="41" t="s">
        <v>605</v>
      </c>
      <c r="W279" s="41" t="s">
        <v>119</v>
      </c>
      <c r="X279" s="41" t="s">
        <v>2194</v>
      </c>
      <c r="Y279" s="64">
        <v>45920</v>
      </c>
      <c r="Z279" s="64"/>
      <c r="AA279" s="40" t="s">
        <v>604</v>
      </c>
      <c r="AB279" s="41" t="s">
        <v>607</v>
      </c>
      <c r="AC279" s="41" t="s">
        <v>119</v>
      </c>
      <c r="AD279" s="41" t="s">
        <v>794</v>
      </c>
      <c r="AE279" s="41" t="s">
        <v>162</v>
      </c>
      <c r="AF279" s="42"/>
      <c r="AH279" s="41" t="s">
        <v>1274</v>
      </c>
      <c r="AI279" s="41" t="s">
        <v>1710</v>
      </c>
      <c r="AJ279" s="41" t="s">
        <v>2175</v>
      </c>
    </row>
    <row r="280" spans="6:36" ht="29" x14ac:dyDescent="0.35">
      <c r="F280" s="40" t="s">
        <v>2147</v>
      </c>
      <c r="G280" s="40" t="s">
        <v>603</v>
      </c>
      <c r="H280" s="41" t="s">
        <v>208</v>
      </c>
      <c r="J280" s="40" t="s">
        <v>678</v>
      </c>
      <c r="O280" s="40" t="s">
        <v>604</v>
      </c>
      <c r="P280" s="41" t="s">
        <v>605</v>
      </c>
      <c r="Q280" s="41" t="s">
        <v>119</v>
      </c>
      <c r="R280" s="41" t="s">
        <v>793</v>
      </c>
      <c r="S280" s="86" t="s">
        <v>104</v>
      </c>
      <c r="T280" s="86">
        <v>45748</v>
      </c>
      <c r="U280" s="40" t="s">
        <v>604</v>
      </c>
      <c r="V280" s="41" t="s">
        <v>605</v>
      </c>
      <c r="W280" s="41" t="s">
        <v>119</v>
      </c>
      <c r="X280" s="41" t="s">
        <v>2194</v>
      </c>
      <c r="Y280" s="64">
        <v>45920</v>
      </c>
      <c r="Z280" s="64"/>
      <c r="AA280" s="40" t="s">
        <v>604</v>
      </c>
      <c r="AB280" s="41" t="s">
        <v>607</v>
      </c>
      <c r="AC280" s="41" t="s">
        <v>119</v>
      </c>
      <c r="AD280" s="41" t="s">
        <v>794</v>
      </c>
      <c r="AE280" s="41" t="s">
        <v>162</v>
      </c>
      <c r="AF280" s="42"/>
      <c r="AH280" s="41" t="s">
        <v>1275</v>
      </c>
      <c r="AI280" s="41" t="s">
        <v>1711</v>
      </c>
      <c r="AJ280" s="41" t="s">
        <v>2175</v>
      </c>
    </row>
    <row r="281" spans="6:36" ht="29" x14ac:dyDescent="0.35">
      <c r="F281" s="40" t="s">
        <v>2148</v>
      </c>
      <c r="G281" s="40" t="s">
        <v>603</v>
      </c>
      <c r="H281" s="41" t="s">
        <v>208</v>
      </c>
      <c r="J281" s="40" t="s">
        <v>690</v>
      </c>
      <c r="O281" s="40" t="s">
        <v>604</v>
      </c>
      <c r="P281" s="41" t="s">
        <v>607</v>
      </c>
      <c r="Q281" s="41" t="s">
        <v>121</v>
      </c>
      <c r="R281" s="41" t="s">
        <v>721</v>
      </c>
      <c r="S281" s="86" t="s">
        <v>104</v>
      </c>
      <c r="T281" s="86">
        <v>45748</v>
      </c>
      <c r="U281" s="40" t="s">
        <v>604</v>
      </c>
      <c r="V281" s="41" t="s">
        <v>605</v>
      </c>
      <c r="W281" s="41" t="s">
        <v>119</v>
      </c>
      <c r="X281" s="41" t="s">
        <v>2194</v>
      </c>
      <c r="Y281" s="64">
        <v>45920</v>
      </c>
      <c r="Z281" s="64"/>
      <c r="AA281" s="40" t="s">
        <v>604</v>
      </c>
      <c r="AB281" s="41" t="s">
        <v>607</v>
      </c>
      <c r="AC281" s="41" t="s">
        <v>121</v>
      </c>
      <c r="AD281" s="41" t="s">
        <v>721</v>
      </c>
      <c r="AE281" s="41" t="s">
        <v>162</v>
      </c>
      <c r="AF281" s="42"/>
      <c r="AH281" s="41" t="s">
        <v>1276</v>
      </c>
      <c r="AI281" s="41" t="s">
        <v>1712</v>
      </c>
      <c r="AJ281" s="41" t="s">
        <v>2175</v>
      </c>
    </row>
    <row r="282" spans="6:36" ht="29" x14ac:dyDescent="0.35">
      <c r="F282" s="40" t="s">
        <v>2149</v>
      </c>
      <c r="G282" s="40" t="s">
        <v>603</v>
      </c>
      <c r="H282" s="41" t="s">
        <v>208</v>
      </c>
      <c r="J282" s="40" t="s">
        <v>761</v>
      </c>
      <c r="O282" s="40" t="s">
        <v>604</v>
      </c>
      <c r="P282" s="41" t="s">
        <v>605</v>
      </c>
      <c r="Q282" s="41" t="s">
        <v>119</v>
      </c>
      <c r="R282" s="41" t="s">
        <v>793</v>
      </c>
      <c r="S282" s="86" t="s">
        <v>104</v>
      </c>
      <c r="T282" s="86">
        <v>45748</v>
      </c>
      <c r="U282" s="40" t="s">
        <v>604</v>
      </c>
      <c r="V282" s="41" t="s">
        <v>605</v>
      </c>
      <c r="W282" s="41" t="s">
        <v>119</v>
      </c>
      <c r="X282" s="41" t="s">
        <v>2194</v>
      </c>
      <c r="Y282" s="64">
        <v>45920</v>
      </c>
      <c r="Z282" s="64"/>
      <c r="AA282" s="40" t="s">
        <v>604</v>
      </c>
      <c r="AB282" s="41" t="s">
        <v>607</v>
      </c>
      <c r="AC282" s="41" t="s">
        <v>119</v>
      </c>
      <c r="AD282" s="41" t="s">
        <v>794</v>
      </c>
      <c r="AE282" s="41" t="s">
        <v>162</v>
      </c>
      <c r="AF282" s="42"/>
      <c r="AH282" s="41" t="s">
        <v>1277</v>
      </c>
      <c r="AI282" s="41" t="s">
        <v>1713</v>
      </c>
      <c r="AJ282" s="41" t="s">
        <v>2175</v>
      </c>
    </row>
    <row r="283" spans="6:36" x14ac:dyDescent="0.35">
      <c r="F283" s="40" t="s">
        <v>2150</v>
      </c>
      <c r="G283" s="40" t="s">
        <v>603</v>
      </c>
      <c r="H283" s="41" t="s">
        <v>208</v>
      </c>
      <c r="J283" s="40" t="s">
        <v>764</v>
      </c>
      <c r="O283" s="40" t="s">
        <v>604</v>
      </c>
      <c r="P283" s="41" t="s">
        <v>605</v>
      </c>
      <c r="Q283" s="41" t="s">
        <v>119</v>
      </c>
      <c r="R283" s="41" t="s">
        <v>796</v>
      </c>
      <c r="S283" s="86" t="s">
        <v>104</v>
      </c>
      <c r="T283" s="86">
        <v>45748</v>
      </c>
      <c r="U283" s="40" t="s">
        <v>604</v>
      </c>
      <c r="V283" s="41" t="s">
        <v>605</v>
      </c>
      <c r="W283" s="41" t="s">
        <v>119</v>
      </c>
      <c r="X283" s="41" t="s">
        <v>2195</v>
      </c>
      <c r="Y283" s="64">
        <v>45920</v>
      </c>
      <c r="Z283" s="64"/>
      <c r="AA283" s="40" t="s">
        <v>604</v>
      </c>
      <c r="AB283" s="41" t="s">
        <v>607</v>
      </c>
      <c r="AC283" s="41" t="s">
        <v>119</v>
      </c>
      <c r="AE283" s="41" t="s">
        <v>162</v>
      </c>
      <c r="AF283" s="42"/>
      <c r="AH283" s="41" t="s">
        <v>1278</v>
      </c>
      <c r="AI283" s="41" t="s">
        <v>1714</v>
      </c>
      <c r="AJ283" s="41" t="s">
        <v>2175</v>
      </c>
    </row>
    <row r="284" spans="6:36" x14ac:dyDescent="0.35">
      <c r="F284" s="40" t="s">
        <v>2151</v>
      </c>
      <c r="G284" s="40" t="s">
        <v>603</v>
      </c>
      <c r="H284" s="41" t="s">
        <v>208</v>
      </c>
      <c r="J284" s="40" t="s">
        <v>616</v>
      </c>
      <c r="O284" s="40" t="s">
        <v>604</v>
      </c>
      <c r="P284" s="41" t="s">
        <v>605</v>
      </c>
      <c r="Q284" s="41" t="s">
        <v>119</v>
      </c>
      <c r="R284" s="41" t="s">
        <v>796</v>
      </c>
      <c r="S284" s="86" t="s">
        <v>104</v>
      </c>
      <c r="T284" s="86">
        <v>45748</v>
      </c>
      <c r="U284" s="40" t="s">
        <v>604</v>
      </c>
      <c r="V284" s="41" t="s">
        <v>605</v>
      </c>
      <c r="W284" s="41" t="s">
        <v>119</v>
      </c>
      <c r="X284" s="41" t="s">
        <v>2195</v>
      </c>
      <c r="Y284" s="64">
        <v>45920</v>
      </c>
      <c r="Z284" s="64"/>
      <c r="AA284" s="40" t="s">
        <v>604</v>
      </c>
      <c r="AB284" s="41" t="s">
        <v>607</v>
      </c>
      <c r="AC284" s="41" t="s">
        <v>119</v>
      </c>
      <c r="AE284" s="41" t="s">
        <v>162</v>
      </c>
      <c r="AF284" s="42"/>
      <c r="AH284" s="41" t="s">
        <v>1279</v>
      </c>
      <c r="AI284" s="41" t="s">
        <v>1715</v>
      </c>
      <c r="AJ284" s="41" t="s">
        <v>2175</v>
      </c>
    </row>
    <row r="285" spans="6:36" x14ac:dyDescent="0.35">
      <c r="F285" s="40" t="s">
        <v>2152</v>
      </c>
      <c r="G285" s="40" t="s">
        <v>603</v>
      </c>
      <c r="H285" s="41" t="s">
        <v>208</v>
      </c>
      <c r="J285" s="40" t="s">
        <v>759</v>
      </c>
      <c r="O285" s="40" t="s">
        <v>604</v>
      </c>
      <c r="P285" s="41" t="s">
        <v>605</v>
      </c>
      <c r="Q285" s="41" t="s">
        <v>119</v>
      </c>
      <c r="R285" s="41" t="s">
        <v>796</v>
      </c>
      <c r="S285" s="86" t="s">
        <v>104</v>
      </c>
      <c r="T285" s="86">
        <v>45748</v>
      </c>
      <c r="U285" s="40" t="s">
        <v>604</v>
      </c>
      <c r="V285" s="41" t="s">
        <v>605</v>
      </c>
      <c r="W285" s="41" t="s">
        <v>119</v>
      </c>
      <c r="X285" s="41" t="s">
        <v>2195</v>
      </c>
      <c r="Y285" s="64">
        <v>45920</v>
      </c>
      <c r="Z285" s="64"/>
      <c r="AA285" s="40" t="s">
        <v>604</v>
      </c>
      <c r="AB285" s="41" t="s">
        <v>607</v>
      </c>
      <c r="AC285" s="41" t="s">
        <v>119</v>
      </c>
      <c r="AE285" s="41" t="s">
        <v>162</v>
      </c>
      <c r="AF285" s="42"/>
      <c r="AH285" s="41" t="s">
        <v>1280</v>
      </c>
      <c r="AI285" s="41" t="s">
        <v>1716</v>
      </c>
      <c r="AJ285" s="41" t="s">
        <v>2175</v>
      </c>
    </row>
    <row r="286" spans="6:36" x14ac:dyDescent="0.35">
      <c r="F286" s="40" t="s">
        <v>2153</v>
      </c>
      <c r="G286" s="40" t="s">
        <v>603</v>
      </c>
      <c r="H286" s="41" t="s">
        <v>208</v>
      </c>
      <c r="J286" s="40" t="s">
        <v>760</v>
      </c>
      <c r="O286" s="40" t="s">
        <v>604</v>
      </c>
      <c r="P286" s="41" t="s">
        <v>605</v>
      </c>
      <c r="Q286" s="41" t="s">
        <v>119</v>
      </c>
      <c r="R286" s="41" t="s">
        <v>796</v>
      </c>
      <c r="S286" s="86" t="s">
        <v>104</v>
      </c>
      <c r="T286" s="86">
        <v>45748</v>
      </c>
      <c r="U286" s="40" t="s">
        <v>604</v>
      </c>
      <c r="V286" s="41" t="s">
        <v>605</v>
      </c>
      <c r="W286" s="41" t="s">
        <v>119</v>
      </c>
      <c r="X286" s="41" t="s">
        <v>2195</v>
      </c>
      <c r="Y286" s="64">
        <v>45920</v>
      </c>
      <c r="Z286" s="64"/>
      <c r="AA286" s="40" t="s">
        <v>604</v>
      </c>
      <c r="AB286" s="41" t="s">
        <v>607</v>
      </c>
      <c r="AC286" s="41" t="s">
        <v>119</v>
      </c>
      <c r="AE286" s="41" t="s">
        <v>162</v>
      </c>
      <c r="AF286" s="42"/>
      <c r="AH286" s="41" t="s">
        <v>1281</v>
      </c>
      <c r="AI286" s="41" t="s">
        <v>1717</v>
      </c>
      <c r="AJ286" s="41" t="s">
        <v>2175</v>
      </c>
    </row>
    <row r="287" spans="6:36" x14ac:dyDescent="0.35">
      <c r="F287" s="40" t="s">
        <v>2154</v>
      </c>
      <c r="G287" s="40" t="s">
        <v>603</v>
      </c>
      <c r="H287" s="41" t="s">
        <v>208</v>
      </c>
      <c r="J287" s="40" t="s">
        <v>656</v>
      </c>
      <c r="O287" s="40" t="s">
        <v>604</v>
      </c>
      <c r="P287" s="41" t="s">
        <v>605</v>
      </c>
      <c r="Q287" s="41" t="s">
        <v>119</v>
      </c>
      <c r="R287" s="41" t="s">
        <v>796</v>
      </c>
      <c r="S287" s="86" t="s">
        <v>104</v>
      </c>
      <c r="T287" s="86">
        <v>45748</v>
      </c>
      <c r="U287" s="40" t="s">
        <v>604</v>
      </c>
      <c r="V287" s="41" t="s">
        <v>605</v>
      </c>
      <c r="W287" s="41" t="s">
        <v>119</v>
      </c>
      <c r="X287" s="41" t="s">
        <v>2195</v>
      </c>
      <c r="Y287" s="64">
        <v>45920</v>
      </c>
      <c r="Z287" s="64"/>
      <c r="AA287" s="40" t="s">
        <v>604</v>
      </c>
      <c r="AB287" s="41" t="s">
        <v>607</v>
      </c>
      <c r="AC287" s="41" t="s">
        <v>119</v>
      </c>
      <c r="AE287" s="41" t="s">
        <v>162</v>
      </c>
      <c r="AF287" s="42"/>
      <c r="AH287" s="41" t="s">
        <v>1282</v>
      </c>
      <c r="AI287" s="41" t="s">
        <v>1718</v>
      </c>
      <c r="AJ287" s="41" t="s">
        <v>2175</v>
      </c>
    </row>
    <row r="288" spans="6:36" ht="29" x14ac:dyDescent="0.35">
      <c r="F288" s="40" t="s">
        <v>2155</v>
      </c>
      <c r="G288" s="40" t="s">
        <v>603</v>
      </c>
      <c r="H288" s="41" t="s">
        <v>208</v>
      </c>
      <c r="J288" s="40" t="s">
        <v>797</v>
      </c>
      <c r="O288" s="40" t="s">
        <v>604</v>
      </c>
      <c r="P288" s="41" t="s">
        <v>605</v>
      </c>
      <c r="Q288" s="41" t="s">
        <v>119</v>
      </c>
      <c r="R288" s="41" t="s">
        <v>796</v>
      </c>
      <c r="S288" s="86" t="s">
        <v>104</v>
      </c>
      <c r="T288" s="86">
        <v>45748</v>
      </c>
      <c r="U288" s="40" t="s">
        <v>604</v>
      </c>
      <c r="V288" s="41" t="s">
        <v>605</v>
      </c>
      <c r="W288" s="41" t="s">
        <v>119</v>
      </c>
      <c r="X288" s="41" t="s">
        <v>2195</v>
      </c>
      <c r="Y288" s="64">
        <v>45920</v>
      </c>
      <c r="Z288" s="64"/>
      <c r="AA288" s="40" t="s">
        <v>604</v>
      </c>
      <c r="AB288" s="41" t="s">
        <v>607</v>
      </c>
      <c r="AC288" s="41" t="s">
        <v>119</v>
      </c>
      <c r="AD288" s="41" t="s">
        <v>798</v>
      </c>
      <c r="AE288" s="41" t="s">
        <v>162</v>
      </c>
      <c r="AF288" s="42"/>
      <c r="AH288" s="41" t="s">
        <v>1283</v>
      </c>
      <c r="AI288" s="41" t="s">
        <v>1719</v>
      </c>
      <c r="AJ288" s="41" t="s">
        <v>2175</v>
      </c>
    </row>
    <row r="289" spans="6:36" ht="29" x14ac:dyDescent="0.35">
      <c r="F289" s="40" t="s">
        <v>2156</v>
      </c>
      <c r="G289" s="40" t="s">
        <v>603</v>
      </c>
      <c r="H289" s="41" t="s">
        <v>208</v>
      </c>
      <c r="J289" s="40" t="s">
        <v>799</v>
      </c>
      <c r="O289" s="40" t="s">
        <v>604</v>
      </c>
      <c r="P289" s="41" t="s">
        <v>605</v>
      </c>
      <c r="Q289" s="41" t="s">
        <v>119</v>
      </c>
      <c r="R289" s="41" t="s">
        <v>800</v>
      </c>
      <c r="S289" s="86" t="s">
        <v>104</v>
      </c>
      <c r="T289" s="86">
        <v>45748</v>
      </c>
      <c r="U289" s="40" t="s">
        <v>604</v>
      </c>
      <c r="V289" s="41" t="s">
        <v>605</v>
      </c>
      <c r="W289" s="41" t="s">
        <v>119</v>
      </c>
      <c r="X289" s="41" t="s">
        <v>2196</v>
      </c>
      <c r="Y289" s="64">
        <v>45920</v>
      </c>
      <c r="Z289" s="64"/>
      <c r="AA289" s="40" t="s">
        <v>604</v>
      </c>
      <c r="AB289" s="41" t="s">
        <v>607</v>
      </c>
      <c r="AC289" s="41" t="s">
        <v>119</v>
      </c>
      <c r="AD289" s="41" t="s">
        <v>800</v>
      </c>
      <c r="AE289" s="41" t="s">
        <v>162</v>
      </c>
      <c r="AF289" s="42"/>
      <c r="AH289" s="41" t="s">
        <v>1284</v>
      </c>
      <c r="AI289" s="41" t="s">
        <v>1720</v>
      </c>
      <c r="AJ289" s="41" t="s">
        <v>2175</v>
      </c>
    </row>
    <row r="290" spans="6:36" ht="43.5" x14ac:dyDescent="0.35">
      <c r="F290" s="40" t="s">
        <v>2157</v>
      </c>
      <c r="G290" s="40" t="s">
        <v>603</v>
      </c>
      <c r="H290" s="41" t="s">
        <v>208</v>
      </c>
      <c r="J290" s="40" t="s">
        <v>801</v>
      </c>
      <c r="O290" s="40" t="s">
        <v>604</v>
      </c>
      <c r="P290" s="41" t="s">
        <v>605</v>
      </c>
      <c r="Q290" s="41" t="s">
        <v>102</v>
      </c>
      <c r="R290" s="41" t="s">
        <v>802</v>
      </c>
      <c r="S290" s="86" t="s">
        <v>104</v>
      </c>
      <c r="T290" s="86">
        <v>45748</v>
      </c>
      <c r="U290" s="40" t="s">
        <v>604</v>
      </c>
      <c r="V290" s="41" t="s">
        <v>605</v>
      </c>
      <c r="W290" s="41" t="s">
        <v>102</v>
      </c>
      <c r="X290" s="41" t="s">
        <v>2196</v>
      </c>
      <c r="Y290" s="64">
        <v>45920</v>
      </c>
      <c r="Z290" s="64"/>
      <c r="AA290" s="40" t="s">
        <v>604</v>
      </c>
      <c r="AB290" s="41" t="s">
        <v>607</v>
      </c>
      <c r="AC290" s="41" t="s">
        <v>102</v>
      </c>
      <c r="AD290" s="41" t="s">
        <v>802</v>
      </c>
      <c r="AE290" s="41" t="s">
        <v>162</v>
      </c>
      <c r="AF290" s="42"/>
      <c r="AH290" s="41" t="s">
        <v>1285</v>
      </c>
      <c r="AI290" s="41" t="s">
        <v>1721</v>
      </c>
      <c r="AJ290" s="41" t="s">
        <v>2175</v>
      </c>
    </row>
  </sheetData>
  <phoneticPr fontId="5" type="noConversion"/>
  <conditionalFormatting sqref="AG8:AG290">
    <cfRule type="cellIs" dxfId="388" priority="7" stopIfTrue="1" operator="equal">
      <formula>"Yes"</formula>
    </cfRule>
  </conditionalFormatting>
  <conditionalFormatting sqref="F8:T290 W8:AK290">
    <cfRule type="expression" dxfId="387" priority="8" stopIfTrue="1">
      <formula>$AE8="On Track"</formula>
    </cfRule>
    <cfRule type="expression" dxfId="386" priority="9" stopIfTrue="1">
      <formula>$AE8="Issue"</formula>
    </cfRule>
    <cfRule type="expression" dxfId="385" priority="10" stopIfTrue="1">
      <formula>$AE8="Complete"</formula>
    </cfRule>
  </conditionalFormatting>
  <conditionalFormatting sqref="U8:U290">
    <cfRule type="expression" dxfId="384" priority="4" stopIfTrue="1">
      <formula>$AE8="On Track"</formula>
    </cfRule>
    <cfRule type="expression" dxfId="383" priority="5" stopIfTrue="1">
      <formula>$AE8="Issue"</formula>
    </cfRule>
    <cfRule type="expression" dxfId="382" priority="6" stopIfTrue="1">
      <formula>$AE8="Complete"</formula>
    </cfRule>
  </conditionalFormatting>
  <conditionalFormatting sqref="V8:V290">
    <cfRule type="expression" dxfId="381" priority="1" stopIfTrue="1">
      <formula>$AE8="On Track"</formula>
    </cfRule>
    <cfRule type="expression" dxfId="380" priority="2" stopIfTrue="1">
      <formula>$AE8="Issue"</formula>
    </cfRule>
    <cfRule type="expression" dxfId="379" priority="3" stopIfTrue="1">
      <formula>$AE8="Complete"</formula>
    </cfRule>
  </conditionalFormatting>
  <dataValidations count="5">
    <dataValidation type="list" allowBlank="1" showInputMessage="1" showErrorMessage="1" sqref="I8:I290" xr:uid="{358ABC47-9582-452B-AD6D-4C41F98F223E}">
      <formula1>OccupantsList</formula1>
    </dataValidation>
    <dataValidation type="list" allowBlank="1" showInputMessage="1" showErrorMessage="1" sqref="Q8:Q290 AC8:AC290 W8:W290" xr:uid="{65F57DBE-C864-4F1F-8312-5EF1D468375D}">
      <formula1>RoomTypeList</formula1>
    </dataValidation>
    <dataValidation type="list" allowBlank="1" showInputMessage="1" showErrorMessage="1" sqref="H8:H290" xr:uid="{2417FE2C-37B8-4E13-98D7-3E9E7529333B}">
      <formula1>SwingSpacePhaseList</formula1>
    </dataValidation>
    <dataValidation type="list" allowBlank="1" showInputMessage="1" showErrorMessage="1" sqref="AE8:AE290" xr:uid="{F1AF0712-4453-4357-A796-F51EE4A193FA}">
      <formula1>MoveStatusList</formula1>
    </dataValidation>
    <dataValidation type="list" allowBlank="1" showInputMessage="1" showErrorMessage="1" sqref="AG8:AG290" xr:uid="{249CBF3B-5FFF-47A7-8EF7-73857AA06D75}">
      <formula1>PunchListItemList</formula1>
    </dataValidation>
  </dataValidations>
  <pageMargins left="0.7" right="0.7" top="0.75" bottom="0.75" header="0.3" footer="0.3"/>
  <pageSetup scale="13"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81919-E111-41DC-BA49-1B29EE907BC7}">
  <sheetPr codeName="Sheet11"/>
  <dimension ref="F7:U8"/>
  <sheetViews>
    <sheetView showGridLines="0" showRowColHeaders="0" workbookViewId="0">
      <pane xSplit="5" ySplit="7" topLeftCell="F8" activePane="bottomRight" state="frozen"/>
      <selection pane="topRight" activeCell="F1" sqref="F1"/>
      <selection pane="bottomLeft" activeCell="A8" sqref="A8"/>
      <selection pane="bottomRight"/>
    </sheetView>
  </sheetViews>
  <sheetFormatPr defaultRowHeight="14.5" x14ac:dyDescent="0.35"/>
  <cols>
    <col min="5" max="5" width="3.90625" customWidth="1"/>
    <col min="6" max="6" width="26.08984375" customWidth="1"/>
    <col min="7" max="7" width="20.90625" customWidth="1"/>
    <col min="8" max="8" width="49.54296875" customWidth="1"/>
    <col min="9" max="9" width="20" customWidth="1"/>
    <col min="10" max="10" width="35" customWidth="1"/>
    <col min="11" max="11" width="23.36328125" customWidth="1"/>
    <col min="12" max="12" width="22.453125" customWidth="1"/>
    <col min="13" max="13" width="18.6328125" customWidth="1"/>
    <col min="14" max="14" width="21.90625" customWidth="1"/>
    <col min="15" max="15" width="22.36328125" customWidth="1"/>
    <col min="16" max="16" width="16.54296875" customWidth="1"/>
    <col min="17" max="17" width="25.54296875" customWidth="1"/>
    <col min="18" max="18" width="29.453125" customWidth="1"/>
    <col min="19" max="19" width="26.08984375" customWidth="1"/>
    <col min="20" max="20" width="25.36328125" customWidth="1"/>
    <col min="21" max="21" width="35.90625" customWidth="1"/>
  </cols>
  <sheetData>
    <row r="7" spans="6:21" x14ac:dyDescent="0.35">
      <c r="F7" s="69" t="s">
        <v>558</v>
      </c>
      <c r="G7" s="70" t="s">
        <v>92</v>
      </c>
      <c r="H7" s="70" t="s">
        <v>71</v>
      </c>
      <c r="I7" s="70" t="s">
        <v>556</v>
      </c>
      <c r="J7" s="70" t="s">
        <v>36</v>
      </c>
      <c r="K7" s="70" t="s">
        <v>37</v>
      </c>
      <c r="L7" s="70" t="s">
        <v>12</v>
      </c>
      <c r="M7" s="70" t="s">
        <v>13</v>
      </c>
      <c r="N7" s="71" t="s">
        <v>557</v>
      </c>
      <c r="O7" s="70" t="s">
        <v>248</v>
      </c>
      <c r="P7" s="70" t="s">
        <v>24</v>
      </c>
      <c r="Q7" s="71" t="s">
        <v>2</v>
      </c>
      <c r="R7" s="71" t="s">
        <v>567</v>
      </c>
      <c r="S7" s="71" t="s">
        <v>51</v>
      </c>
      <c r="T7" s="71" t="s">
        <v>568</v>
      </c>
      <c r="U7" s="70" t="s">
        <v>25</v>
      </c>
    </row>
    <row r="8" spans="6:21" x14ac:dyDescent="0.35">
      <c r="F8" s="72" t="s">
        <v>566</v>
      </c>
      <c r="G8" s="72"/>
      <c r="H8" s="72"/>
      <c r="I8" s="72"/>
      <c r="J8" s="72"/>
      <c r="K8" s="72"/>
      <c r="L8" s="72"/>
      <c r="M8" s="72"/>
      <c r="N8" s="72"/>
      <c r="O8" s="72"/>
      <c r="P8" s="72"/>
      <c r="Q8" s="72"/>
      <c r="R8" s="72"/>
      <c r="S8" s="72"/>
      <c r="T8" s="73"/>
      <c r="U8" s="74"/>
    </row>
  </sheetData>
  <phoneticPr fontId="5" type="noConversion"/>
  <conditionalFormatting sqref="L8 P8:T8">
    <cfRule type="expression" dxfId="343" priority="7" stopIfTrue="1">
      <formula>$AR5="On Track"</formula>
    </cfRule>
    <cfRule type="expression" dxfId="342" priority="8" stopIfTrue="1">
      <formula>$AR5="Issue"</formula>
    </cfRule>
    <cfRule type="expression" dxfId="341" priority="9" stopIfTrue="1">
      <formula>$AR5="Completed &amp; Installed"</formula>
    </cfRule>
  </conditionalFormatting>
  <conditionalFormatting sqref="F8:U1048576">
    <cfRule type="expression" dxfId="340" priority="4" stopIfTrue="1">
      <formula>$N8="On Track"</formula>
    </cfRule>
    <cfRule type="expression" dxfId="339" priority="5" stopIfTrue="1">
      <formula>$N8="Issue"</formula>
    </cfRule>
    <cfRule type="expression" dxfId="338" priority="6" stopIfTrue="1">
      <formula>$N8="Completed"</formula>
    </cfRule>
  </conditionalFormatting>
  <dataValidations count="3">
    <dataValidation type="list" allowBlank="1" showInputMessage="1" showErrorMessage="1" sqref="L8" xr:uid="{516270CA-3DDB-4202-9EC4-AE5CE5D8AB1D}">
      <formula1>RoomTypeList</formula1>
    </dataValidation>
    <dataValidation type="list" allowBlank="1" showInputMessage="1" showErrorMessage="1" sqref="N8" xr:uid="{EA6D951E-B910-44A5-83D4-51146BD54713}">
      <formula1>FFEItemStatusList</formula1>
    </dataValidation>
    <dataValidation type="list" allowBlank="1" showInputMessage="1" showErrorMessage="1" sqref="P8" xr:uid="{37DEBF35-8C5B-4E46-A0D7-B338D9829649}">
      <formula1>PriorityList</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83C3112-62F0-4663-B0FB-75B7BB7A6640}">
          <x14:formula1>
            <xm:f>Settings!$A$234:$A$240</xm:f>
          </x14:formula1>
          <xm:sqref>I8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AE729-2DC4-4CAD-AF64-751F7BEBA479}">
  <sheetPr codeName="Sheet8">
    <pageSetUpPr autoPageBreaks="0"/>
  </sheetPr>
  <dimension ref="F1:S8"/>
  <sheetViews>
    <sheetView showGridLines="0" showRowColHeaders="0" zoomScaleNormal="100" workbookViewId="0">
      <pane xSplit="5" ySplit="7" topLeftCell="F8" activePane="bottomRight" state="frozen"/>
      <selection pane="topRight" activeCell="F1" sqref="F1"/>
      <selection pane="bottomLeft" activeCell="A8" sqref="A8"/>
      <selection pane="bottomRight"/>
    </sheetView>
  </sheetViews>
  <sheetFormatPr defaultRowHeight="14.5" x14ac:dyDescent="0.35"/>
  <cols>
    <col min="5" max="5" width="3.54296875" customWidth="1"/>
    <col min="6" max="6" width="24.54296875" style="41" customWidth="1"/>
    <col min="7" max="7" width="23.08984375" style="40" customWidth="1"/>
    <col min="8" max="10" width="32.90625" style="40" customWidth="1"/>
    <col min="11" max="11" width="30.54296875" style="40" customWidth="1"/>
    <col min="12" max="12" width="17.90625" style="41" customWidth="1"/>
    <col min="13" max="13" width="21.54296875" style="41" customWidth="1"/>
    <col min="14" max="14" width="23.453125" style="41" customWidth="1"/>
    <col min="15" max="15" width="43.453125" style="40" customWidth="1"/>
    <col min="16" max="16" width="21.90625" style="41" customWidth="1"/>
    <col min="17" max="17" width="18.90625" style="41" customWidth="1"/>
    <col min="18" max="18" width="13.453125" style="41" customWidth="1"/>
    <col min="19" max="19" width="33" style="40" customWidth="1"/>
    <col min="20" max="20" width="17.08984375" customWidth="1"/>
    <col min="22" max="22" width="9.54296875" customWidth="1"/>
    <col min="23" max="23" width="17.453125" customWidth="1"/>
    <col min="24" max="24" width="15.54296875" customWidth="1"/>
    <col min="25" max="25" width="11.453125" customWidth="1"/>
    <col min="26" max="26" width="10.453125" customWidth="1"/>
    <col min="28" max="28" width="13" customWidth="1"/>
    <col min="29" max="29" width="11.90625" customWidth="1"/>
    <col min="30" max="30" width="34.54296875" customWidth="1"/>
    <col min="31" max="31" width="9.54296875" customWidth="1"/>
  </cols>
  <sheetData>
    <row r="1" spans="6:19" x14ac:dyDescent="0.35">
      <c r="F1"/>
      <c r="G1"/>
      <c r="H1"/>
      <c r="I1"/>
      <c r="J1"/>
      <c r="K1"/>
      <c r="L1"/>
      <c r="M1"/>
      <c r="N1"/>
      <c r="O1"/>
      <c r="P1"/>
      <c r="Q1"/>
      <c r="R1"/>
      <c r="S1"/>
    </row>
    <row r="2" spans="6:19" x14ac:dyDescent="0.35">
      <c r="F2"/>
      <c r="G2"/>
      <c r="H2"/>
      <c r="I2"/>
      <c r="J2"/>
      <c r="K2"/>
      <c r="L2"/>
      <c r="M2"/>
      <c r="N2"/>
      <c r="O2"/>
      <c r="P2"/>
      <c r="Q2"/>
      <c r="R2"/>
      <c r="S2"/>
    </row>
    <row r="3" spans="6:19" x14ac:dyDescent="0.35">
      <c r="F3"/>
      <c r="G3"/>
      <c r="H3"/>
      <c r="I3"/>
      <c r="J3"/>
      <c r="K3"/>
      <c r="L3"/>
      <c r="M3"/>
      <c r="N3"/>
      <c r="O3"/>
      <c r="P3"/>
      <c r="Q3"/>
      <c r="R3"/>
      <c r="S3"/>
    </row>
    <row r="4" spans="6:19" x14ac:dyDescent="0.35">
      <c r="F4"/>
      <c r="G4"/>
      <c r="H4"/>
      <c r="I4"/>
      <c r="J4"/>
      <c r="K4"/>
      <c r="L4"/>
      <c r="M4"/>
      <c r="N4"/>
      <c r="O4"/>
      <c r="P4"/>
      <c r="Q4"/>
      <c r="R4"/>
      <c r="S4"/>
    </row>
    <row r="5" spans="6:19" x14ac:dyDescent="0.35">
      <c r="F5"/>
      <c r="G5"/>
      <c r="H5"/>
      <c r="I5"/>
      <c r="J5"/>
      <c r="K5"/>
      <c r="L5"/>
      <c r="M5"/>
      <c r="N5"/>
      <c r="O5"/>
      <c r="P5"/>
      <c r="Q5"/>
      <c r="R5"/>
      <c r="S5"/>
    </row>
    <row r="6" spans="6:19" x14ac:dyDescent="0.35">
      <c r="F6"/>
      <c r="G6"/>
      <c r="H6"/>
      <c r="I6"/>
      <c r="J6"/>
      <c r="K6"/>
      <c r="L6"/>
      <c r="M6"/>
      <c r="N6"/>
      <c r="O6"/>
      <c r="P6"/>
      <c r="Q6"/>
      <c r="R6"/>
      <c r="S6"/>
    </row>
    <row r="7" spans="6:19" ht="36" customHeight="1" x14ac:dyDescent="0.35">
      <c r="F7" s="35" t="s">
        <v>84</v>
      </c>
      <c r="G7" s="35" t="s">
        <v>92</v>
      </c>
      <c r="H7" s="35" t="s">
        <v>69</v>
      </c>
      <c r="I7" s="35" t="s">
        <v>70</v>
      </c>
      <c r="J7" s="35" t="s">
        <v>71</v>
      </c>
      <c r="K7" s="35" t="s">
        <v>72</v>
      </c>
      <c r="L7" s="35" t="s">
        <v>249</v>
      </c>
      <c r="M7" s="35" t="s">
        <v>73</v>
      </c>
      <c r="N7" s="35" t="s">
        <v>75</v>
      </c>
      <c r="O7" s="35" t="s">
        <v>34</v>
      </c>
      <c r="P7" s="35" t="s">
        <v>35</v>
      </c>
      <c r="Q7" s="35" t="s">
        <v>248</v>
      </c>
      <c r="R7" s="35" t="s">
        <v>24</v>
      </c>
      <c r="S7" s="35" t="s">
        <v>25</v>
      </c>
    </row>
    <row r="8" spans="6:19" x14ac:dyDescent="0.35">
      <c r="F8" s="40"/>
      <c r="O8" s="62"/>
    </row>
  </sheetData>
  <phoneticPr fontId="5" type="noConversion"/>
  <conditionalFormatting sqref="F8:S8">
    <cfRule type="expression" dxfId="319" priority="1" stopIfTrue="1">
      <formula>$P8="Active"</formula>
    </cfRule>
    <cfRule type="expression" dxfId="318" priority="2" stopIfTrue="1">
      <formula>$P8="Resolved"</formula>
    </cfRule>
    <cfRule type="expression" dxfId="317" priority="3" stopIfTrue="1">
      <formula>$P8="Signed-Off/Closed"</formula>
    </cfRule>
  </conditionalFormatting>
  <dataValidations count="2">
    <dataValidation type="list" allowBlank="1" showInputMessage="1" showErrorMessage="1" sqref="P8" xr:uid="{3E685476-1112-4D99-8E46-052F893CB239}">
      <formula1>PunchListStatusList</formula1>
    </dataValidation>
    <dataValidation type="list" allowBlank="1" showInputMessage="1" showErrorMessage="1" sqref="R8" xr:uid="{CD636B18-8C5C-4707-8972-5AAEAFE64F40}">
      <formula1>PriorityList</formula1>
    </dataValidation>
  </dataValidations>
  <pageMargins left="0.7" right="0.7" top="0.75" bottom="0.75" header="0.3" footer="0.3"/>
  <pageSetup scale="31"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9A229-0C8D-4188-BE2E-7C333571DD9B}">
  <sheetPr codeName="Sheet9">
    <pageSetUpPr autoPageBreaks="0"/>
  </sheetPr>
  <dimension ref="F1:KD47"/>
  <sheetViews>
    <sheetView showGridLines="0" showRowColHeaders="0" topLeftCell="A12" zoomScaleNormal="100" workbookViewId="0">
      <selection activeCell="L39" sqref="L39"/>
    </sheetView>
  </sheetViews>
  <sheetFormatPr defaultRowHeight="14.5" x14ac:dyDescent="0.35"/>
  <cols>
    <col min="5" max="5" width="3.54296875" customWidth="1"/>
    <col min="6" max="6" width="55.54296875" style="10" customWidth="1"/>
    <col min="7" max="7" width="44.90625" style="10" customWidth="1"/>
    <col min="8" max="8" width="25.54296875" style="10" bestFit="1" customWidth="1"/>
    <col min="9" max="9" width="26.90625" style="10" bestFit="1" customWidth="1"/>
    <col min="10" max="10" width="23.54296875" style="10" customWidth="1"/>
    <col min="11" max="11" width="23.54296875" style="10" bestFit="1" customWidth="1"/>
    <col min="12" max="12" width="25.08984375" style="10" bestFit="1" customWidth="1"/>
    <col min="13" max="13" width="19" style="10" customWidth="1"/>
    <col min="14" max="14" width="19.54296875" style="10" bestFit="1" customWidth="1"/>
    <col min="15" max="15" width="23.453125" style="10" bestFit="1" customWidth="1"/>
    <col min="16" max="290" width="4.54296875" bestFit="1" customWidth="1"/>
  </cols>
  <sheetData>
    <row r="1" spans="6:290" x14ac:dyDescent="0.35">
      <c r="F1"/>
      <c r="G1"/>
      <c r="H1"/>
      <c r="I1"/>
      <c r="J1"/>
      <c r="K1"/>
      <c r="L1"/>
      <c r="M1"/>
      <c r="N1"/>
      <c r="O1"/>
    </row>
    <row r="2" spans="6:290" x14ac:dyDescent="0.35">
      <c r="F2"/>
      <c r="G2"/>
      <c r="H2"/>
      <c r="I2"/>
      <c r="J2"/>
      <c r="K2"/>
      <c r="L2"/>
      <c r="M2"/>
      <c r="N2"/>
      <c r="O2"/>
    </row>
    <row r="3" spans="6:290" x14ac:dyDescent="0.35">
      <c r="F3"/>
      <c r="G3"/>
      <c r="H3"/>
      <c r="I3"/>
      <c r="J3"/>
      <c r="K3"/>
      <c r="L3"/>
      <c r="M3"/>
      <c r="N3"/>
      <c r="O3"/>
    </row>
    <row r="4" spans="6:290" x14ac:dyDescent="0.35">
      <c r="F4"/>
      <c r="G4"/>
      <c r="H4"/>
      <c r="I4"/>
      <c r="J4"/>
      <c r="K4"/>
      <c r="L4"/>
      <c r="M4"/>
      <c r="N4"/>
      <c r="O4"/>
    </row>
    <row r="5" spans="6:290" x14ac:dyDescent="0.35">
      <c r="F5"/>
      <c r="G5"/>
      <c r="H5"/>
      <c r="I5"/>
      <c r="J5"/>
      <c r="K5"/>
      <c r="L5"/>
      <c r="M5"/>
      <c r="N5"/>
      <c r="O5"/>
    </row>
    <row r="6" spans="6:290" x14ac:dyDescent="0.35">
      <c r="F6"/>
      <c r="G6"/>
      <c r="H6"/>
      <c r="I6"/>
      <c r="J6"/>
      <c r="K6"/>
      <c r="L6"/>
      <c r="M6"/>
      <c r="N6"/>
      <c r="O6"/>
    </row>
    <row r="7" spans="6:290" x14ac:dyDescent="0.35">
      <c r="F7"/>
      <c r="G7"/>
      <c r="H7"/>
      <c r="I7"/>
      <c r="J7"/>
      <c r="K7"/>
      <c r="L7"/>
      <c r="M7"/>
      <c r="N7"/>
      <c r="O7"/>
    </row>
    <row r="8" spans="6:290" x14ac:dyDescent="0.35">
      <c r="F8"/>
      <c r="G8"/>
      <c r="H8"/>
      <c r="I8"/>
      <c r="J8"/>
      <c r="K8"/>
      <c r="L8"/>
      <c r="M8"/>
      <c r="N8"/>
      <c r="O8"/>
    </row>
    <row r="9" spans="6:290" x14ac:dyDescent="0.35">
      <c r="F9"/>
      <c r="G9"/>
      <c r="H9"/>
      <c r="I9"/>
      <c r="J9"/>
      <c r="K9"/>
      <c r="L9"/>
      <c r="M9"/>
      <c r="N9"/>
      <c r="O9"/>
    </row>
    <row r="10" spans="6:290" x14ac:dyDescent="0.35">
      <c r="F10"/>
      <c r="G10"/>
      <c r="H10"/>
      <c r="I10"/>
      <c r="J10"/>
      <c r="K10"/>
      <c r="L10"/>
      <c r="M10"/>
      <c r="N10"/>
      <c r="O10"/>
    </row>
    <row r="11" spans="6:290" x14ac:dyDescent="0.35">
      <c r="F11"/>
      <c r="G11"/>
      <c r="H11"/>
      <c r="I11"/>
      <c r="J11"/>
      <c r="K11"/>
      <c r="L11"/>
      <c r="M11"/>
      <c r="N11"/>
      <c r="O11"/>
    </row>
    <row r="12" spans="6:290" ht="15" thickBot="1" x14ac:dyDescent="0.4">
      <c r="F12"/>
      <c r="G12"/>
      <c r="H12"/>
      <c r="I12"/>
      <c r="J12"/>
      <c r="K12"/>
      <c r="L12"/>
      <c r="M12"/>
      <c r="N12"/>
      <c r="O12"/>
    </row>
    <row r="13" spans="6:290" ht="37.5" thickBot="1" x14ac:dyDescent="0.4">
      <c r="F13" s="50" t="s">
        <v>211</v>
      </c>
      <c r="G13" s="50" t="s">
        <v>212</v>
      </c>
      <c r="H13" s="50" t="s">
        <v>213</v>
      </c>
      <c r="I13" s="50" t="s">
        <v>214</v>
      </c>
      <c r="J13" s="52" t="s">
        <v>254</v>
      </c>
      <c r="K13" s="50" t="s">
        <v>215</v>
      </c>
      <c r="L13" s="50" t="s">
        <v>216</v>
      </c>
      <c r="M13" s="52" t="s">
        <v>255</v>
      </c>
      <c r="N13" s="52" t="s">
        <v>256</v>
      </c>
      <c r="O13" s="50" t="s">
        <v>217</v>
      </c>
      <c r="P13" s="46" t="s">
        <v>258</v>
      </c>
      <c r="Q13" s="47" t="s">
        <v>257</v>
      </c>
      <c r="R13" s="47" t="s">
        <v>259</v>
      </c>
      <c r="S13" s="47" t="s">
        <v>260</v>
      </c>
      <c r="T13" s="47" t="s">
        <v>261</v>
      </c>
      <c r="U13" s="47" t="s">
        <v>262</v>
      </c>
      <c r="V13" s="47" t="s">
        <v>263</v>
      </c>
      <c r="W13" s="47" t="s">
        <v>264</v>
      </c>
      <c r="X13" s="47" t="s">
        <v>265</v>
      </c>
      <c r="Y13" s="47" t="s">
        <v>266</v>
      </c>
      <c r="Z13" s="47" t="s">
        <v>267</v>
      </c>
      <c r="AA13" s="47" t="s">
        <v>268</v>
      </c>
      <c r="AB13" s="47" t="s">
        <v>269</v>
      </c>
      <c r="AC13" s="47" t="s">
        <v>270</v>
      </c>
      <c r="AD13" s="47" t="s">
        <v>271</v>
      </c>
      <c r="AE13" s="47" t="s">
        <v>272</v>
      </c>
      <c r="AF13" s="47" t="s">
        <v>273</v>
      </c>
      <c r="AG13" s="47" t="s">
        <v>274</v>
      </c>
      <c r="AH13" s="47" t="s">
        <v>275</v>
      </c>
      <c r="AI13" s="47" t="s">
        <v>276</v>
      </c>
      <c r="AJ13" s="47" t="s">
        <v>277</v>
      </c>
      <c r="AK13" s="47" t="s">
        <v>278</v>
      </c>
      <c r="AL13" s="47" t="s">
        <v>279</v>
      </c>
      <c r="AM13" s="47" t="s">
        <v>280</v>
      </c>
      <c r="AN13" s="47" t="s">
        <v>281</v>
      </c>
      <c r="AO13" s="47" t="s">
        <v>282</v>
      </c>
      <c r="AP13" s="47" t="s">
        <v>283</v>
      </c>
      <c r="AQ13" s="47" t="s">
        <v>284</v>
      </c>
      <c r="AR13" s="47" t="s">
        <v>285</v>
      </c>
      <c r="AS13" s="47" t="s">
        <v>286</v>
      </c>
      <c r="AT13" s="47" t="s">
        <v>287</v>
      </c>
      <c r="AU13" s="47" t="s">
        <v>288</v>
      </c>
      <c r="AV13" s="47" t="s">
        <v>289</v>
      </c>
      <c r="AW13" s="47" t="s">
        <v>290</v>
      </c>
      <c r="AX13" s="47" t="s">
        <v>291</v>
      </c>
      <c r="AY13" s="47" t="s">
        <v>292</v>
      </c>
      <c r="AZ13" s="47" t="s">
        <v>293</v>
      </c>
      <c r="BA13" s="47" t="s">
        <v>294</v>
      </c>
      <c r="BB13" s="47" t="s">
        <v>295</v>
      </c>
      <c r="BC13" s="47" t="s">
        <v>296</v>
      </c>
      <c r="BD13" s="47" t="s">
        <v>297</v>
      </c>
      <c r="BE13" s="47" t="s">
        <v>298</v>
      </c>
      <c r="BF13" s="47" t="s">
        <v>299</v>
      </c>
      <c r="BG13" s="47" t="s">
        <v>300</v>
      </c>
      <c r="BH13" s="47" t="s">
        <v>301</v>
      </c>
      <c r="BI13" s="47" t="s">
        <v>302</v>
      </c>
      <c r="BJ13" s="47" t="s">
        <v>303</v>
      </c>
      <c r="BK13" s="47" t="s">
        <v>304</v>
      </c>
      <c r="BL13" s="47" t="s">
        <v>305</v>
      </c>
      <c r="BM13" s="47" t="s">
        <v>306</v>
      </c>
      <c r="BN13" s="47" t="s">
        <v>307</v>
      </c>
      <c r="BO13" s="47" t="s">
        <v>308</v>
      </c>
      <c r="BP13" s="47" t="s">
        <v>309</v>
      </c>
      <c r="BQ13" s="47" t="s">
        <v>310</v>
      </c>
      <c r="BR13" s="47" t="s">
        <v>311</v>
      </c>
      <c r="BS13" s="47" t="s">
        <v>312</v>
      </c>
      <c r="BT13" s="47" t="s">
        <v>313</v>
      </c>
      <c r="BU13" s="47" t="s">
        <v>314</v>
      </c>
      <c r="BV13" s="47" t="s">
        <v>315</v>
      </c>
      <c r="BW13" s="47" t="s">
        <v>316</v>
      </c>
      <c r="BX13" s="47" t="s">
        <v>317</v>
      </c>
      <c r="BY13" s="47" t="s">
        <v>318</v>
      </c>
      <c r="BZ13" s="47" t="s">
        <v>319</v>
      </c>
      <c r="CA13" s="47" t="s">
        <v>320</v>
      </c>
      <c r="CB13" s="47" t="s">
        <v>321</v>
      </c>
      <c r="CC13" s="47" t="s">
        <v>322</v>
      </c>
      <c r="CD13" s="47" t="s">
        <v>323</v>
      </c>
      <c r="CE13" s="47" t="s">
        <v>324</v>
      </c>
      <c r="CF13" s="47" t="s">
        <v>325</v>
      </c>
      <c r="CG13" s="47" t="s">
        <v>326</v>
      </c>
      <c r="CH13" s="47" t="s">
        <v>327</v>
      </c>
      <c r="CI13" s="47" t="s">
        <v>328</v>
      </c>
      <c r="CJ13" s="47" t="s">
        <v>329</v>
      </c>
      <c r="CK13" s="47" t="s">
        <v>330</v>
      </c>
      <c r="CL13" s="47" t="s">
        <v>331</v>
      </c>
      <c r="CM13" s="47" t="s">
        <v>332</v>
      </c>
      <c r="CN13" s="47" t="s">
        <v>333</v>
      </c>
      <c r="CO13" s="47" t="s">
        <v>334</v>
      </c>
      <c r="CP13" s="47" t="s">
        <v>335</v>
      </c>
      <c r="CQ13" s="47" t="s">
        <v>336</v>
      </c>
      <c r="CR13" s="47" t="s">
        <v>337</v>
      </c>
      <c r="CS13" s="47" t="s">
        <v>338</v>
      </c>
      <c r="CT13" s="47" t="s">
        <v>339</v>
      </c>
      <c r="CU13" s="47" t="s">
        <v>340</v>
      </c>
      <c r="CV13" s="47" t="s">
        <v>341</v>
      </c>
      <c r="CW13" s="47" t="s">
        <v>342</v>
      </c>
      <c r="CX13" s="47" t="s">
        <v>343</v>
      </c>
      <c r="CY13" s="47" t="s">
        <v>344</v>
      </c>
      <c r="CZ13" s="47" t="s">
        <v>345</v>
      </c>
      <c r="DA13" s="47" t="s">
        <v>346</v>
      </c>
      <c r="DB13" s="47" t="s">
        <v>347</v>
      </c>
      <c r="DC13" s="47" t="s">
        <v>348</v>
      </c>
      <c r="DD13" s="47" t="s">
        <v>349</v>
      </c>
      <c r="DE13" s="47" t="s">
        <v>350</v>
      </c>
      <c r="DF13" s="47" t="s">
        <v>351</v>
      </c>
      <c r="DG13" s="47" t="s">
        <v>352</v>
      </c>
      <c r="DH13" s="47" t="s">
        <v>353</v>
      </c>
      <c r="DI13" s="47" t="s">
        <v>354</v>
      </c>
      <c r="DJ13" s="47" t="s">
        <v>355</v>
      </c>
      <c r="DK13" s="47" t="s">
        <v>356</v>
      </c>
      <c r="DL13" s="47" t="s">
        <v>357</v>
      </c>
      <c r="DM13" s="47" t="s">
        <v>358</v>
      </c>
      <c r="DN13" s="47" t="s">
        <v>359</v>
      </c>
      <c r="DO13" s="47" t="s">
        <v>360</v>
      </c>
      <c r="DP13" s="47" t="s">
        <v>361</v>
      </c>
      <c r="DQ13" s="47" t="s">
        <v>362</v>
      </c>
      <c r="DR13" s="47" t="s">
        <v>363</v>
      </c>
      <c r="DS13" s="47" t="s">
        <v>364</v>
      </c>
      <c r="DT13" s="47" t="s">
        <v>365</v>
      </c>
      <c r="DU13" s="47" t="s">
        <v>366</v>
      </c>
      <c r="DV13" s="47" t="s">
        <v>367</v>
      </c>
      <c r="DW13" s="47" t="s">
        <v>368</v>
      </c>
      <c r="DX13" s="47" t="s">
        <v>369</v>
      </c>
      <c r="DY13" s="47" t="s">
        <v>370</v>
      </c>
      <c r="DZ13" s="47" t="s">
        <v>371</v>
      </c>
      <c r="EA13" s="47" t="s">
        <v>372</v>
      </c>
      <c r="EB13" s="47" t="s">
        <v>373</v>
      </c>
      <c r="EC13" s="47" t="s">
        <v>374</v>
      </c>
      <c r="ED13" s="47" t="s">
        <v>375</v>
      </c>
      <c r="EE13" s="47" t="s">
        <v>376</v>
      </c>
      <c r="EF13" s="47" t="s">
        <v>377</v>
      </c>
      <c r="EG13" s="47" t="s">
        <v>378</v>
      </c>
      <c r="EH13" s="47" t="s">
        <v>379</v>
      </c>
      <c r="EI13" s="47" t="s">
        <v>380</v>
      </c>
      <c r="EJ13" s="47" t="s">
        <v>381</v>
      </c>
      <c r="EK13" s="47" t="s">
        <v>382</v>
      </c>
      <c r="EL13" s="47" t="s">
        <v>383</v>
      </c>
      <c r="EM13" s="47" t="s">
        <v>384</v>
      </c>
      <c r="EN13" s="47" t="s">
        <v>385</v>
      </c>
      <c r="EO13" s="47" t="s">
        <v>386</v>
      </c>
      <c r="EP13" s="47" t="s">
        <v>387</v>
      </c>
      <c r="EQ13" s="47" t="s">
        <v>388</v>
      </c>
      <c r="ER13" s="47" t="s">
        <v>389</v>
      </c>
      <c r="ES13" s="47" t="s">
        <v>390</v>
      </c>
      <c r="ET13" s="47" t="s">
        <v>391</v>
      </c>
      <c r="EU13" s="47" t="s">
        <v>392</v>
      </c>
      <c r="EV13" s="47" t="s">
        <v>393</v>
      </c>
      <c r="EW13" s="47" t="s">
        <v>394</v>
      </c>
      <c r="EX13" s="47" t="s">
        <v>395</v>
      </c>
      <c r="EY13" s="47" t="s">
        <v>396</v>
      </c>
      <c r="EZ13" s="47" t="s">
        <v>397</v>
      </c>
      <c r="FA13" s="47" t="s">
        <v>398</v>
      </c>
      <c r="FB13" s="47" t="s">
        <v>399</v>
      </c>
      <c r="FC13" s="47" t="s">
        <v>400</v>
      </c>
      <c r="FD13" s="47" t="s">
        <v>401</v>
      </c>
      <c r="FE13" s="47" t="s">
        <v>402</v>
      </c>
      <c r="FF13" s="47" t="s">
        <v>403</v>
      </c>
      <c r="FG13" s="47" t="s">
        <v>404</v>
      </c>
      <c r="FH13" s="47" t="s">
        <v>405</v>
      </c>
      <c r="FI13" s="47" t="s">
        <v>406</v>
      </c>
      <c r="FJ13" s="47" t="s">
        <v>407</v>
      </c>
      <c r="FK13" s="47" t="s">
        <v>408</v>
      </c>
      <c r="FL13" s="47" t="s">
        <v>409</v>
      </c>
      <c r="FM13" s="47" t="s">
        <v>410</v>
      </c>
      <c r="FN13" s="47" t="s">
        <v>411</v>
      </c>
      <c r="FO13" s="47" t="s">
        <v>412</v>
      </c>
      <c r="FP13" s="47" t="s">
        <v>413</v>
      </c>
      <c r="FQ13" s="47" t="s">
        <v>414</v>
      </c>
      <c r="FR13" s="47" t="s">
        <v>415</v>
      </c>
      <c r="FS13" s="47" t="s">
        <v>416</v>
      </c>
      <c r="FT13" s="47" t="s">
        <v>417</v>
      </c>
      <c r="FU13" s="47" t="s">
        <v>418</v>
      </c>
      <c r="FV13" s="47" t="s">
        <v>419</v>
      </c>
      <c r="FW13" s="47" t="s">
        <v>420</v>
      </c>
      <c r="FX13" s="47" t="s">
        <v>421</v>
      </c>
      <c r="FY13" s="47" t="s">
        <v>422</v>
      </c>
      <c r="FZ13" s="47" t="s">
        <v>423</v>
      </c>
      <c r="GA13" s="47" t="s">
        <v>424</v>
      </c>
      <c r="GB13" s="47" t="s">
        <v>425</v>
      </c>
      <c r="GC13" s="47" t="s">
        <v>426</v>
      </c>
      <c r="GD13" s="47" t="s">
        <v>427</v>
      </c>
      <c r="GE13" s="47" t="s">
        <v>428</v>
      </c>
      <c r="GF13" s="47" t="s">
        <v>429</v>
      </c>
      <c r="GG13" s="47" t="s">
        <v>430</v>
      </c>
      <c r="GH13" s="47" t="s">
        <v>431</v>
      </c>
      <c r="GI13" s="47" t="s">
        <v>432</v>
      </c>
      <c r="GJ13" s="47" t="s">
        <v>433</v>
      </c>
      <c r="GK13" s="47" t="s">
        <v>434</v>
      </c>
      <c r="GL13" s="47" t="s">
        <v>435</v>
      </c>
      <c r="GM13" s="47" t="s">
        <v>436</v>
      </c>
      <c r="GN13" s="47" t="s">
        <v>437</v>
      </c>
      <c r="GO13" s="47" t="s">
        <v>438</v>
      </c>
      <c r="GP13" s="47" t="s">
        <v>439</v>
      </c>
      <c r="GQ13" s="47" t="s">
        <v>440</v>
      </c>
      <c r="GR13" s="47" t="s">
        <v>441</v>
      </c>
      <c r="GS13" s="47" t="s">
        <v>442</v>
      </c>
      <c r="GT13" s="47" t="s">
        <v>443</v>
      </c>
      <c r="GU13" s="47" t="s">
        <v>444</v>
      </c>
      <c r="GV13" s="47" t="s">
        <v>445</v>
      </c>
      <c r="GW13" s="47" t="s">
        <v>446</v>
      </c>
      <c r="GX13" s="47" t="s">
        <v>447</v>
      </c>
      <c r="GY13" s="47" t="s">
        <v>448</v>
      </c>
      <c r="GZ13" s="47" t="s">
        <v>449</v>
      </c>
      <c r="HA13" s="47" t="s">
        <v>450</v>
      </c>
      <c r="HB13" s="47" t="s">
        <v>451</v>
      </c>
      <c r="HC13" s="47" t="s">
        <v>452</v>
      </c>
      <c r="HD13" s="47" t="s">
        <v>453</v>
      </c>
      <c r="HE13" s="47" t="s">
        <v>454</v>
      </c>
      <c r="HF13" s="47" t="s">
        <v>455</v>
      </c>
      <c r="HG13" s="47" t="s">
        <v>456</v>
      </c>
      <c r="HH13" s="47" t="s">
        <v>457</v>
      </c>
      <c r="HI13" s="47" t="s">
        <v>458</v>
      </c>
      <c r="HJ13" s="47" t="s">
        <v>459</v>
      </c>
      <c r="HK13" s="47" t="s">
        <v>460</v>
      </c>
      <c r="HL13" s="47" t="s">
        <v>461</v>
      </c>
      <c r="HM13" s="47" t="s">
        <v>462</v>
      </c>
      <c r="HN13" s="47" t="s">
        <v>463</v>
      </c>
      <c r="HO13" s="47" t="s">
        <v>464</v>
      </c>
      <c r="HP13" s="47" t="s">
        <v>465</v>
      </c>
      <c r="HQ13" s="47" t="s">
        <v>466</v>
      </c>
      <c r="HR13" s="47" t="s">
        <v>467</v>
      </c>
      <c r="HS13" s="47" t="s">
        <v>468</v>
      </c>
      <c r="HT13" s="47" t="s">
        <v>469</v>
      </c>
      <c r="HU13" s="47" t="s">
        <v>470</v>
      </c>
      <c r="HV13" s="47" t="s">
        <v>471</v>
      </c>
      <c r="HW13" s="47" t="s">
        <v>472</v>
      </c>
      <c r="HX13" s="47" t="s">
        <v>473</v>
      </c>
      <c r="HY13" s="47" t="s">
        <v>474</v>
      </c>
      <c r="HZ13" s="47" t="s">
        <v>475</v>
      </c>
      <c r="IA13" s="47" t="s">
        <v>476</v>
      </c>
      <c r="IB13" s="47" t="s">
        <v>477</v>
      </c>
      <c r="IC13" s="47" t="s">
        <v>478</v>
      </c>
      <c r="ID13" s="47" t="s">
        <v>479</v>
      </c>
      <c r="IE13" s="47" t="s">
        <v>480</v>
      </c>
      <c r="IF13" s="47" t="s">
        <v>481</v>
      </c>
      <c r="IG13" s="47" t="s">
        <v>482</v>
      </c>
      <c r="IH13" s="47" t="s">
        <v>483</v>
      </c>
      <c r="II13" s="47" t="s">
        <v>484</v>
      </c>
      <c r="IJ13" s="47" t="s">
        <v>485</v>
      </c>
      <c r="IK13" s="47" t="s">
        <v>486</v>
      </c>
      <c r="IL13" s="47" t="s">
        <v>487</v>
      </c>
      <c r="IM13" s="47" t="s">
        <v>488</v>
      </c>
      <c r="IN13" s="47" t="s">
        <v>489</v>
      </c>
      <c r="IO13" s="47" t="s">
        <v>490</v>
      </c>
      <c r="IP13" s="47" t="s">
        <v>491</v>
      </c>
      <c r="IQ13" s="47" t="s">
        <v>492</v>
      </c>
      <c r="IR13" s="47" t="s">
        <v>493</v>
      </c>
      <c r="IS13" s="47" t="s">
        <v>494</v>
      </c>
      <c r="IT13" s="47" t="s">
        <v>495</v>
      </c>
      <c r="IU13" s="47" t="s">
        <v>496</v>
      </c>
      <c r="IV13" s="47" t="s">
        <v>497</v>
      </c>
      <c r="IW13" s="47" t="s">
        <v>498</v>
      </c>
      <c r="IX13" s="47" t="s">
        <v>499</v>
      </c>
      <c r="IY13" s="47" t="s">
        <v>500</v>
      </c>
      <c r="IZ13" s="47" t="s">
        <v>501</v>
      </c>
      <c r="JA13" s="47" t="s">
        <v>502</v>
      </c>
      <c r="JB13" s="47" t="s">
        <v>503</v>
      </c>
      <c r="JC13" s="47" t="s">
        <v>504</v>
      </c>
      <c r="JD13" s="47" t="s">
        <v>505</v>
      </c>
      <c r="JE13" s="47" t="s">
        <v>506</v>
      </c>
      <c r="JF13" s="47" t="s">
        <v>507</v>
      </c>
      <c r="JG13" s="47" t="s">
        <v>508</v>
      </c>
      <c r="JH13" s="47" t="s">
        <v>509</v>
      </c>
      <c r="JI13" s="47" t="s">
        <v>510</v>
      </c>
      <c r="JJ13" s="47" t="s">
        <v>511</v>
      </c>
      <c r="JK13" s="47" t="s">
        <v>512</v>
      </c>
      <c r="JL13" s="47" t="s">
        <v>513</v>
      </c>
      <c r="JM13" s="47" t="s">
        <v>514</v>
      </c>
      <c r="JN13" s="47" t="s">
        <v>515</v>
      </c>
      <c r="JO13" s="47" t="s">
        <v>516</v>
      </c>
      <c r="JP13" s="47" t="s">
        <v>517</v>
      </c>
      <c r="JQ13" s="47" t="s">
        <v>518</v>
      </c>
      <c r="JR13" s="47" t="s">
        <v>519</v>
      </c>
      <c r="JS13" s="47" t="s">
        <v>520</v>
      </c>
      <c r="JT13" s="47" t="s">
        <v>521</v>
      </c>
      <c r="JU13" s="47" t="s">
        <v>522</v>
      </c>
      <c r="JV13" s="47" t="s">
        <v>523</v>
      </c>
      <c r="JW13" s="47" t="s">
        <v>524</v>
      </c>
      <c r="JX13" s="47" t="s">
        <v>525</v>
      </c>
      <c r="JY13" s="47" t="s">
        <v>526</v>
      </c>
      <c r="JZ13" s="47" t="s">
        <v>527</v>
      </c>
      <c r="KA13" s="47" t="s">
        <v>528</v>
      </c>
      <c r="KB13" s="47" t="s">
        <v>529</v>
      </c>
      <c r="KC13" s="47" t="s">
        <v>530</v>
      </c>
      <c r="KD13" s="48" t="s">
        <v>531</v>
      </c>
    </row>
    <row r="14" spans="6:290" x14ac:dyDescent="0.35">
      <c r="F14" s="58" t="s">
        <v>570</v>
      </c>
      <c r="G14" s="51" t="s">
        <v>223</v>
      </c>
      <c r="H14" s="68">
        <v>45751</v>
      </c>
      <c r="I14" s="68">
        <v>45751</v>
      </c>
      <c r="J14" s="65">
        <v>0</v>
      </c>
      <c r="K14" s="68">
        <v>45751</v>
      </c>
      <c r="L14" s="68">
        <v>45751</v>
      </c>
      <c r="M14" s="65">
        <v>0</v>
      </c>
      <c r="N14" s="65">
        <v>0</v>
      </c>
      <c r="O14" s="66">
        <v>1</v>
      </c>
      <c r="P14" s="113"/>
      <c r="Q14" s="113"/>
      <c r="R14" s="113"/>
      <c r="S14" s="81"/>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c r="BS14" s="113"/>
      <c r="BT14" s="113"/>
      <c r="BU14" s="113"/>
      <c r="BV14" s="113"/>
      <c r="BW14" s="113"/>
      <c r="BX14" s="113"/>
      <c r="BY14" s="113"/>
      <c r="BZ14" s="113"/>
      <c r="CA14" s="113"/>
      <c r="CB14" s="113"/>
      <c r="CC14" s="113"/>
      <c r="CD14" s="113"/>
      <c r="CE14" s="113"/>
      <c r="CF14" s="113"/>
      <c r="CG14" s="113"/>
      <c r="CH14" s="113"/>
      <c r="CI14" s="113"/>
      <c r="CJ14" s="113"/>
      <c r="CK14" s="113"/>
      <c r="CL14" s="113"/>
      <c r="CM14" s="113"/>
      <c r="CN14" s="113"/>
      <c r="CO14" s="113"/>
      <c r="CP14" s="113"/>
      <c r="CQ14" s="113"/>
      <c r="CR14" s="113"/>
      <c r="CS14" s="113"/>
      <c r="CT14" s="113"/>
      <c r="CU14" s="113"/>
      <c r="CV14" s="113"/>
      <c r="CW14" s="113"/>
      <c r="CX14" s="113"/>
      <c r="CY14" s="113"/>
      <c r="CZ14" s="113"/>
      <c r="DA14" s="113"/>
      <c r="DB14" s="113"/>
      <c r="DC14" s="113"/>
      <c r="DD14" s="113"/>
      <c r="DE14" s="113"/>
      <c r="DF14" s="113"/>
      <c r="DG14" s="113"/>
      <c r="DH14" s="113"/>
      <c r="DI14" s="113"/>
      <c r="DJ14" s="113"/>
      <c r="DK14" s="113"/>
      <c r="DL14" s="113"/>
      <c r="DM14" s="113"/>
      <c r="DN14" s="113"/>
      <c r="DO14" s="113"/>
      <c r="DP14" s="113"/>
      <c r="DQ14" s="113"/>
      <c r="DR14" s="113"/>
      <c r="DS14" s="113"/>
      <c r="DT14" s="113"/>
      <c r="DU14" s="113"/>
      <c r="DV14" s="113"/>
      <c r="DW14" s="113"/>
      <c r="DX14" s="113"/>
      <c r="DY14" s="113"/>
      <c r="DZ14" s="113"/>
      <c r="EA14" s="113"/>
      <c r="EB14" s="113"/>
      <c r="EC14" s="113"/>
      <c r="ED14" s="113"/>
      <c r="EE14" s="113"/>
      <c r="EF14" s="113"/>
      <c r="EG14" s="113"/>
      <c r="EH14" s="113"/>
      <c r="EI14" s="113"/>
      <c r="EJ14" s="113"/>
      <c r="EK14" s="113"/>
      <c r="EL14" s="113"/>
      <c r="EM14" s="113"/>
      <c r="EN14" s="113"/>
      <c r="EO14" s="113"/>
      <c r="EP14" s="113"/>
      <c r="EQ14" s="113"/>
      <c r="ER14" s="113"/>
      <c r="ES14" s="113"/>
      <c r="ET14" s="113"/>
      <c r="EU14" s="113"/>
      <c r="EV14" s="113"/>
      <c r="EW14" s="113"/>
      <c r="EX14" s="113"/>
      <c r="EY14" s="113"/>
      <c r="EZ14" s="113"/>
      <c r="FA14" s="113"/>
      <c r="FB14" s="113"/>
      <c r="FC14" s="113"/>
      <c r="FD14" s="113"/>
      <c r="FE14" s="113"/>
      <c r="FF14" s="113"/>
      <c r="FG14" s="113"/>
      <c r="FH14" s="113"/>
      <c r="FI14" s="113"/>
      <c r="FJ14" s="113"/>
      <c r="FK14" s="113"/>
      <c r="FL14" s="113"/>
      <c r="FM14" s="113"/>
      <c r="FN14" s="113"/>
      <c r="FO14" s="113"/>
      <c r="FP14" s="113"/>
      <c r="FQ14" s="113"/>
      <c r="FR14" s="113"/>
      <c r="FS14" s="113"/>
      <c r="FT14" s="113"/>
      <c r="FU14" s="113"/>
      <c r="FV14" s="113"/>
      <c r="FW14" s="113"/>
      <c r="FX14" s="113"/>
      <c r="FY14" s="113"/>
      <c r="FZ14" s="113"/>
      <c r="GA14" s="113"/>
      <c r="GB14" s="113"/>
      <c r="GC14" s="113"/>
      <c r="GD14" s="113"/>
      <c r="GE14" s="113"/>
      <c r="GF14" s="113"/>
      <c r="GG14" s="113"/>
      <c r="GH14" s="113"/>
      <c r="GI14" s="113"/>
      <c r="GJ14" s="113"/>
      <c r="GK14" s="113"/>
      <c r="GL14" s="113"/>
      <c r="GM14" s="113"/>
      <c r="GN14" s="113"/>
      <c r="GO14" s="113"/>
      <c r="GP14" s="113"/>
      <c r="GQ14" s="113"/>
      <c r="GR14" s="113"/>
      <c r="GS14" s="113"/>
      <c r="GT14" s="113"/>
      <c r="GU14" s="113"/>
      <c r="GV14" s="113"/>
      <c r="GW14" s="113"/>
      <c r="GX14" s="113"/>
      <c r="GY14" s="113"/>
      <c r="GZ14" s="113"/>
      <c r="HA14" s="113"/>
      <c r="HB14" s="113"/>
      <c r="HC14" s="113"/>
      <c r="HD14" s="113"/>
      <c r="HE14" s="113"/>
      <c r="HF14" s="113"/>
      <c r="HG14" s="113"/>
      <c r="HH14" s="113"/>
      <c r="HI14" s="113"/>
      <c r="HJ14" s="113"/>
      <c r="HK14" s="113"/>
      <c r="HL14" s="113"/>
      <c r="HM14" s="113"/>
      <c r="HN14" s="113"/>
      <c r="HO14" s="113"/>
      <c r="HP14" s="113"/>
      <c r="HQ14" s="113"/>
      <c r="HR14" s="113"/>
      <c r="HS14" s="113"/>
      <c r="HT14" s="113"/>
      <c r="HU14" s="113"/>
      <c r="HV14" s="113"/>
      <c r="HW14" s="113"/>
      <c r="HX14" s="113"/>
      <c r="HY14" s="113"/>
      <c r="HZ14" s="113"/>
      <c r="IA14" s="113"/>
      <c r="IB14" s="113"/>
      <c r="IC14" s="113"/>
      <c r="ID14" s="113"/>
      <c r="IE14" s="113"/>
      <c r="IF14" s="113"/>
      <c r="IG14" s="113"/>
      <c r="IH14" s="113"/>
      <c r="II14" s="113"/>
      <c r="IJ14" s="113"/>
      <c r="IK14" s="113"/>
      <c r="IL14" s="113"/>
      <c r="IM14" s="113"/>
      <c r="IN14" s="113"/>
      <c r="IO14" s="113"/>
      <c r="IP14" s="113"/>
      <c r="IQ14" s="113"/>
      <c r="IR14" s="113"/>
      <c r="IS14" s="113"/>
      <c r="IT14" s="113"/>
      <c r="IU14" s="113"/>
      <c r="IV14" s="113"/>
      <c r="IW14" s="113"/>
      <c r="IX14" s="113"/>
      <c r="IY14" s="113"/>
      <c r="IZ14" s="113"/>
      <c r="JA14" s="113"/>
      <c r="JB14" s="113"/>
      <c r="JC14" s="113"/>
      <c r="JD14" s="113"/>
      <c r="JE14" s="113"/>
      <c r="JF14" s="113"/>
      <c r="JG14" s="113"/>
      <c r="JH14" s="113"/>
      <c r="JI14" s="113"/>
      <c r="JJ14" s="113"/>
      <c r="JK14" s="113"/>
      <c r="JL14" s="113"/>
      <c r="JM14" s="113"/>
      <c r="JN14" s="113"/>
      <c r="JO14" s="113"/>
      <c r="JP14" s="113"/>
      <c r="JQ14" s="113"/>
      <c r="JR14" s="113"/>
      <c r="JS14" s="113"/>
      <c r="JT14" s="113"/>
      <c r="JU14" s="113"/>
      <c r="JV14" s="113"/>
      <c r="JW14" s="113"/>
      <c r="JX14" s="113"/>
      <c r="JY14" s="113"/>
      <c r="JZ14" s="113"/>
      <c r="KA14" s="113"/>
      <c r="KB14" s="113"/>
      <c r="KC14" s="113"/>
      <c r="KD14" s="113"/>
    </row>
    <row r="15" spans="6:290" x14ac:dyDescent="0.35">
      <c r="F15" s="76" t="s">
        <v>571</v>
      </c>
      <c r="G15" s="77" t="s">
        <v>223</v>
      </c>
      <c r="H15" s="68">
        <v>45791</v>
      </c>
      <c r="I15" s="68">
        <v>45791</v>
      </c>
      <c r="J15" s="78">
        <v>0</v>
      </c>
      <c r="K15" s="68">
        <v>45791</v>
      </c>
      <c r="L15" s="68">
        <v>45791</v>
      </c>
      <c r="M15" s="78">
        <v>0</v>
      </c>
      <c r="N15" s="78">
        <v>0</v>
      </c>
      <c r="O15" s="79">
        <v>1</v>
      </c>
      <c r="P15" s="80"/>
      <c r="Q15" s="80"/>
      <c r="R15" s="80"/>
      <c r="S15" s="80"/>
      <c r="T15" s="80"/>
      <c r="U15" s="80"/>
      <c r="V15" s="80"/>
      <c r="W15" s="80"/>
      <c r="X15" s="80"/>
      <c r="Y15" s="80"/>
      <c r="Z15" s="80"/>
      <c r="AA15" s="80"/>
      <c r="AB15" s="80"/>
      <c r="AC15" s="80"/>
      <c r="AD15" s="80"/>
      <c r="AE15" s="80"/>
      <c r="AF15" s="80"/>
      <c r="AG15" s="80"/>
      <c r="AH15" s="80"/>
      <c r="AI15" s="80"/>
      <c r="AJ15" s="80"/>
      <c r="AK15" s="80"/>
      <c r="AL15" s="80"/>
      <c r="AM15" s="80"/>
      <c r="AN15" s="80"/>
      <c r="AO15" s="80"/>
      <c r="AP15" s="80"/>
      <c r="AQ15" s="80"/>
      <c r="AR15" s="80"/>
      <c r="AS15" s="80"/>
      <c r="AT15" s="80"/>
      <c r="AU15" s="80"/>
      <c r="AV15" s="80"/>
      <c r="AW15" s="80"/>
      <c r="AX15" s="80"/>
      <c r="AY15" s="80"/>
      <c r="AZ15" s="80"/>
      <c r="BA15" s="80"/>
      <c r="BB15" s="80"/>
      <c r="BC15" s="80"/>
      <c r="BD15" s="80"/>
      <c r="BE15" s="80"/>
      <c r="BF15" s="80"/>
      <c r="BG15" s="83"/>
      <c r="BH15" s="80"/>
      <c r="BI15" s="80"/>
      <c r="BJ15" s="80"/>
      <c r="BK15" s="80"/>
      <c r="BL15" s="80"/>
      <c r="BM15" s="80"/>
      <c r="BN15" s="80"/>
      <c r="BO15" s="80"/>
      <c r="BP15" s="80"/>
      <c r="BQ15" s="80"/>
      <c r="BR15" s="80"/>
      <c r="BS15" s="80"/>
      <c r="BT15" s="80"/>
      <c r="BU15" s="80"/>
      <c r="BV15" s="80"/>
      <c r="BW15" s="80"/>
      <c r="BX15" s="80"/>
      <c r="BY15" s="80"/>
      <c r="BZ15" s="80"/>
      <c r="CA15" s="80"/>
      <c r="CB15" s="80"/>
      <c r="CC15" s="80"/>
      <c r="CD15" s="80"/>
      <c r="CE15" s="80"/>
      <c r="CF15" s="80"/>
      <c r="CG15" s="80"/>
      <c r="CH15" s="80"/>
      <c r="CI15" s="80"/>
      <c r="CJ15" s="80"/>
      <c r="CK15" s="80"/>
      <c r="CL15" s="80"/>
      <c r="CM15" s="80"/>
      <c r="CN15" s="80"/>
      <c r="CO15" s="80"/>
      <c r="CP15" s="80"/>
      <c r="CQ15" s="80"/>
      <c r="CR15" s="80"/>
      <c r="CS15" s="80"/>
      <c r="CT15" s="80"/>
      <c r="CU15" s="80"/>
      <c r="CV15" s="80"/>
      <c r="CW15" s="80"/>
      <c r="CX15" s="80"/>
      <c r="CY15" s="80"/>
      <c r="CZ15" s="80"/>
      <c r="DA15" s="80"/>
      <c r="DB15" s="80"/>
      <c r="DC15" s="80"/>
      <c r="DD15" s="80"/>
      <c r="DE15" s="80"/>
      <c r="DF15" s="80"/>
      <c r="DG15" s="80"/>
      <c r="DH15" s="80"/>
      <c r="DI15" s="80"/>
      <c r="DJ15" s="80"/>
      <c r="DK15" s="80"/>
      <c r="DL15" s="80"/>
      <c r="DM15" s="80"/>
      <c r="DN15" s="80"/>
      <c r="DO15" s="80"/>
      <c r="DP15" s="80"/>
      <c r="DQ15" s="80"/>
      <c r="DR15" s="80"/>
      <c r="DS15" s="80"/>
      <c r="DT15" s="80"/>
      <c r="DU15" s="80"/>
      <c r="DV15" s="80"/>
      <c r="DW15" s="80"/>
      <c r="DX15" s="80"/>
      <c r="DY15" s="80"/>
      <c r="DZ15" s="80"/>
      <c r="EA15" s="80"/>
      <c r="EB15" s="80"/>
      <c r="EC15" s="80"/>
      <c r="ED15" s="80"/>
      <c r="EE15" s="80"/>
      <c r="EF15" s="80"/>
      <c r="EG15" s="80"/>
      <c r="EH15" s="80"/>
      <c r="EI15" s="80"/>
      <c r="EJ15" s="80"/>
      <c r="EK15" s="80"/>
      <c r="EL15" s="80"/>
      <c r="EM15" s="80"/>
      <c r="EN15" s="80"/>
      <c r="EO15" s="80"/>
      <c r="EP15" s="80"/>
      <c r="EQ15" s="80"/>
      <c r="ER15" s="80"/>
      <c r="ES15" s="80"/>
      <c r="ET15" s="80"/>
      <c r="EU15" s="80"/>
      <c r="EV15" s="80"/>
      <c r="EW15" s="80"/>
      <c r="EX15" s="80"/>
      <c r="EY15" s="80"/>
      <c r="EZ15" s="80"/>
      <c r="FA15" s="80"/>
      <c r="FB15" s="80"/>
      <c r="FC15" s="80"/>
      <c r="FD15" s="80"/>
      <c r="FE15" s="80"/>
      <c r="FF15" s="80"/>
      <c r="FG15" s="80"/>
      <c r="FH15" s="80"/>
      <c r="FI15" s="80"/>
      <c r="FJ15" s="80"/>
      <c r="FK15" s="80"/>
      <c r="FL15" s="80"/>
      <c r="FM15" s="80"/>
      <c r="FN15" s="80"/>
      <c r="FO15" s="80"/>
      <c r="FP15" s="80"/>
      <c r="FQ15" s="80"/>
      <c r="FR15" s="80"/>
      <c r="FS15" s="80"/>
      <c r="FT15" s="80"/>
      <c r="FU15" s="80"/>
      <c r="FV15" s="80"/>
      <c r="FW15" s="80"/>
      <c r="FX15" s="80"/>
      <c r="FY15" s="80"/>
      <c r="FZ15" s="80"/>
      <c r="GA15" s="80"/>
      <c r="GB15" s="80"/>
      <c r="GC15" s="80"/>
      <c r="GD15" s="80"/>
      <c r="GE15" s="80"/>
      <c r="GF15" s="80"/>
      <c r="GG15" s="80"/>
      <c r="GH15" s="80"/>
      <c r="GI15" s="80"/>
      <c r="GJ15" s="80"/>
      <c r="GK15" s="80"/>
      <c r="GL15" s="80"/>
      <c r="GM15" s="80"/>
      <c r="GN15" s="80"/>
      <c r="GO15" s="80"/>
      <c r="GP15" s="80"/>
      <c r="GQ15" s="80"/>
      <c r="GR15" s="80"/>
      <c r="GS15" s="80"/>
      <c r="GT15" s="80"/>
      <c r="GU15" s="80"/>
      <c r="GV15" s="80"/>
      <c r="GW15" s="80"/>
      <c r="GX15" s="80"/>
      <c r="GY15" s="80"/>
      <c r="GZ15" s="80"/>
      <c r="HA15" s="80"/>
      <c r="HB15" s="80"/>
      <c r="HC15" s="80"/>
      <c r="HD15" s="80"/>
      <c r="HE15" s="80"/>
      <c r="HF15" s="80"/>
      <c r="HG15" s="80"/>
      <c r="HH15" s="80"/>
      <c r="HI15" s="80"/>
      <c r="HJ15" s="80"/>
      <c r="HK15" s="80"/>
      <c r="HL15" s="80"/>
      <c r="HM15" s="80"/>
      <c r="HN15" s="80"/>
      <c r="HO15" s="80"/>
      <c r="HP15" s="80"/>
      <c r="HQ15" s="80"/>
      <c r="HR15" s="80"/>
      <c r="HS15" s="80"/>
      <c r="HT15" s="80"/>
      <c r="HU15" s="80"/>
      <c r="HV15" s="80"/>
      <c r="HW15" s="80"/>
      <c r="HX15" s="80"/>
      <c r="HY15" s="80"/>
      <c r="HZ15" s="80"/>
      <c r="IA15" s="80"/>
      <c r="IB15" s="80"/>
      <c r="IC15" s="80"/>
      <c r="ID15" s="80"/>
      <c r="IE15" s="80"/>
      <c r="IF15" s="80"/>
      <c r="IG15" s="80"/>
      <c r="IH15" s="80"/>
      <c r="II15" s="80"/>
      <c r="IJ15" s="80"/>
      <c r="IK15" s="80"/>
      <c r="IL15" s="80"/>
      <c r="IM15" s="80"/>
      <c r="IN15" s="80"/>
      <c r="IO15" s="80"/>
      <c r="IP15" s="80"/>
      <c r="IQ15" s="80"/>
      <c r="IR15" s="80"/>
      <c r="IS15" s="80"/>
      <c r="IT15" s="80"/>
      <c r="IU15" s="80"/>
      <c r="IV15" s="80"/>
      <c r="IW15" s="80"/>
      <c r="IX15" s="80"/>
      <c r="IY15" s="80"/>
      <c r="IZ15" s="80"/>
      <c r="JA15" s="80"/>
      <c r="JB15" s="80"/>
      <c r="JC15" s="80"/>
      <c r="JD15" s="80"/>
      <c r="JE15" s="80"/>
      <c r="JF15" s="80"/>
      <c r="JG15" s="80"/>
      <c r="JH15" s="80"/>
      <c r="JI15" s="80"/>
      <c r="JJ15" s="80"/>
      <c r="JK15" s="80"/>
      <c r="JL15" s="80"/>
      <c r="JM15" s="80"/>
      <c r="JN15" s="80"/>
      <c r="JO15" s="80"/>
      <c r="JP15" s="80"/>
      <c r="JQ15" s="80"/>
      <c r="JR15" s="80"/>
      <c r="JS15" s="80"/>
      <c r="JT15" s="80"/>
      <c r="JU15" s="80"/>
      <c r="JV15" s="80"/>
      <c r="JW15" s="80"/>
      <c r="JX15" s="80"/>
      <c r="JY15" s="80"/>
      <c r="JZ15" s="80"/>
      <c r="KA15" s="80"/>
      <c r="KB15" s="80"/>
      <c r="KC15" s="80"/>
      <c r="KD15" s="80"/>
    </row>
    <row r="16" spans="6:290" x14ac:dyDescent="0.35">
      <c r="F16" s="76" t="s">
        <v>572</v>
      </c>
      <c r="G16" s="77" t="s">
        <v>223</v>
      </c>
      <c r="H16" s="68">
        <v>45813</v>
      </c>
      <c r="I16" s="68">
        <v>45832</v>
      </c>
      <c r="J16" s="78">
        <v>19</v>
      </c>
      <c r="K16" s="68">
        <v>45813</v>
      </c>
      <c r="L16" s="68">
        <v>45832</v>
      </c>
      <c r="M16" s="78">
        <v>19</v>
      </c>
      <c r="N16" s="78">
        <v>0</v>
      </c>
      <c r="O16" s="79">
        <v>1</v>
      </c>
      <c r="P16" s="80"/>
      <c r="Q16" s="80"/>
      <c r="R16" s="80"/>
      <c r="S16" s="80"/>
      <c r="T16" s="80"/>
      <c r="U16" s="80"/>
      <c r="V16" s="80"/>
      <c r="W16" s="80"/>
      <c r="X16" s="80"/>
      <c r="Y16" s="80"/>
      <c r="Z16" s="80"/>
      <c r="AA16" s="80"/>
      <c r="AB16" s="80"/>
      <c r="AC16" s="80"/>
      <c r="AD16" s="80"/>
      <c r="AE16" s="80"/>
      <c r="AF16" s="80"/>
      <c r="AG16" s="80"/>
      <c r="AH16" s="80"/>
      <c r="AI16" s="80"/>
      <c r="AJ16" s="80"/>
      <c r="AK16" s="80"/>
      <c r="AL16" s="80"/>
      <c r="AM16" s="80"/>
      <c r="AN16" s="80"/>
      <c r="AO16" s="80"/>
      <c r="AP16" s="80"/>
      <c r="AQ16" s="80"/>
      <c r="AR16" s="80"/>
      <c r="AS16" s="80"/>
      <c r="AT16" s="80"/>
      <c r="AU16" s="80"/>
      <c r="AV16" s="80"/>
      <c r="AW16" s="80"/>
      <c r="AX16" s="80"/>
      <c r="AY16" s="80"/>
      <c r="AZ16" s="80"/>
      <c r="BA16" s="80"/>
      <c r="BB16" s="80"/>
      <c r="BC16" s="80"/>
      <c r="BD16" s="80"/>
      <c r="BE16" s="80"/>
      <c r="BF16" s="80"/>
      <c r="BG16" s="80"/>
      <c r="BH16" s="80"/>
      <c r="BI16" s="80"/>
      <c r="BJ16" s="80"/>
      <c r="BK16" s="80"/>
      <c r="BL16" s="80"/>
      <c r="BM16" s="80"/>
      <c r="BN16" s="80"/>
      <c r="BO16" s="80"/>
      <c r="BP16" s="80"/>
      <c r="BQ16" s="80"/>
      <c r="BR16" s="80"/>
      <c r="BS16" s="80"/>
      <c r="BT16" s="80"/>
      <c r="BU16" s="80"/>
      <c r="BV16" s="80"/>
      <c r="BW16" s="80"/>
      <c r="BX16" s="80"/>
      <c r="BY16" s="80"/>
      <c r="BZ16" s="80"/>
      <c r="CA16" s="80"/>
      <c r="CB16" s="80"/>
      <c r="CC16" s="83"/>
      <c r="CD16" s="83"/>
      <c r="CE16" s="83"/>
      <c r="CF16" s="83"/>
      <c r="CG16" s="83"/>
      <c r="CH16" s="83"/>
      <c r="CI16" s="83"/>
      <c r="CJ16" s="83"/>
      <c r="CK16" s="83"/>
      <c r="CL16" s="83"/>
      <c r="CM16" s="83"/>
      <c r="CN16" s="83"/>
      <c r="CO16" s="83"/>
      <c r="CP16" s="83"/>
      <c r="CQ16" s="83"/>
      <c r="CR16" s="83"/>
      <c r="CS16" s="83"/>
      <c r="CT16" s="83"/>
      <c r="CU16" s="83"/>
      <c r="CV16" s="83"/>
      <c r="CW16" s="80"/>
      <c r="CX16" s="80"/>
      <c r="CY16" s="80"/>
      <c r="CZ16" s="80"/>
      <c r="DA16" s="80"/>
      <c r="DB16" s="80"/>
      <c r="DC16" s="80"/>
      <c r="DD16" s="80"/>
      <c r="DE16" s="80"/>
      <c r="DF16" s="80"/>
      <c r="DG16" s="80"/>
      <c r="DH16" s="80"/>
      <c r="DI16" s="80"/>
      <c r="DJ16" s="80"/>
      <c r="DK16" s="80"/>
      <c r="DL16" s="80"/>
      <c r="DM16" s="80"/>
      <c r="DN16" s="80"/>
      <c r="DO16" s="80"/>
      <c r="DP16" s="80"/>
      <c r="DQ16" s="80"/>
      <c r="DR16" s="80"/>
      <c r="DS16" s="80"/>
      <c r="DT16" s="80"/>
      <c r="DU16" s="80"/>
      <c r="DV16" s="80"/>
      <c r="DW16" s="80"/>
      <c r="DX16" s="80"/>
      <c r="DY16" s="80"/>
      <c r="DZ16" s="80"/>
      <c r="EA16" s="80"/>
      <c r="EB16" s="80"/>
      <c r="EC16" s="80"/>
      <c r="ED16" s="80"/>
      <c r="EE16" s="80"/>
      <c r="EF16" s="80"/>
      <c r="EG16" s="80"/>
      <c r="EH16" s="80"/>
      <c r="EI16" s="80"/>
      <c r="EJ16" s="80"/>
      <c r="EK16" s="80"/>
      <c r="EL16" s="80"/>
      <c r="EM16" s="80"/>
      <c r="EN16" s="80"/>
      <c r="EO16" s="80"/>
      <c r="EP16" s="80"/>
      <c r="EQ16" s="80"/>
      <c r="ER16" s="80"/>
      <c r="ES16" s="80"/>
      <c r="ET16" s="80"/>
      <c r="EU16" s="80"/>
      <c r="EV16" s="80"/>
      <c r="EW16" s="80"/>
      <c r="EX16" s="80"/>
      <c r="EY16" s="80"/>
      <c r="EZ16" s="80"/>
      <c r="FA16" s="80"/>
      <c r="FB16" s="80"/>
      <c r="FC16" s="80"/>
      <c r="FD16" s="80"/>
      <c r="FE16" s="80"/>
      <c r="FF16" s="80"/>
      <c r="FG16" s="80"/>
      <c r="FH16" s="80"/>
      <c r="FI16" s="80"/>
      <c r="FJ16" s="80"/>
      <c r="FK16" s="80"/>
      <c r="FL16" s="80"/>
      <c r="FM16" s="80"/>
      <c r="FN16" s="80"/>
      <c r="FO16" s="80"/>
      <c r="FP16" s="80"/>
      <c r="FQ16" s="80"/>
      <c r="FR16" s="80"/>
      <c r="FS16" s="80"/>
      <c r="FT16" s="80"/>
      <c r="FU16" s="80"/>
      <c r="FV16" s="80"/>
      <c r="FW16" s="80"/>
      <c r="FX16" s="80"/>
      <c r="FY16" s="80"/>
      <c r="FZ16" s="80"/>
      <c r="GA16" s="80"/>
      <c r="GB16" s="80"/>
      <c r="GC16" s="80"/>
      <c r="GD16" s="80"/>
      <c r="GE16" s="80"/>
      <c r="GF16" s="80"/>
      <c r="GG16" s="80"/>
      <c r="GH16" s="80"/>
      <c r="GI16" s="80"/>
      <c r="GJ16" s="80"/>
      <c r="GK16" s="80"/>
      <c r="GL16" s="80"/>
      <c r="GM16" s="80"/>
      <c r="GN16" s="80"/>
      <c r="GO16" s="80"/>
      <c r="GP16" s="80"/>
      <c r="GQ16" s="80"/>
      <c r="GR16" s="80"/>
      <c r="GS16" s="80"/>
      <c r="GT16" s="80"/>
      <c r="GU16" s="80"/>
      <c r="GV16" s="80"/>
      <c r="GW16" s="80"/>
      <c r="GX16" s="80"/>
      <c r="GY16" s="80"/>
      <c r="GZ16" s="80"/>
      <c r="HA16" s="80"/>
      <c r="HB16" s="80"/>
      <c r="HC16" s="80"/>
      <c r="HD16" s="80"/>
      <c r="HE16" s="80"/>
      <c r="HF16" s="80"/>
      <c r="HG16" s="80"/>
      <c r="HH16" s="80"/>
      <c r="HI16" s="80"/>
      <c r="HJ16" s="80"/>
      <c r="HK16" s="80"/>
      <c r="HL16" s="80"/>
      <c r="HM16" s="80"/>
      <c r="HN16" s="80"/>
      <c r="HO16" s="80"/>
      <c r="HP16" s="80"/>
      <c r="HQ16" s="80"/>
      <c r="HR16" s="80"/>
      <c r="HS16" s="80"/>
      <c r="HT16" s="80"/>
      <c r="HU16" s="80"/>
      <c r="HV16" s="80"/>
      <c r="HW16" s="80"/>
      <c r="HX16" s="80"/>
      <c r="HY16" s="80"/>
      <c r="HZ16" s="80"/>
      <c r="IA16" s="80"/>
      <c r="IB16" s="80"/>
      <c r="IC16" s="80"/>
      <c r="ID16" s="80"/>
      <c r="IE16" s="80"/>
      <c r="IF16" s="80"/>
      <c r="IG16" s="80"/>
      <c r="IH16" s="80"/>
      <c r="II16" s="80"/>
      <c r="IJ16" s="80"/>
      <c r="IK16" s="80"/>
      <c r="IL16" s="80"/>
      <c r="IM16" s="80"/>
      <c r="IN16" s="80"/>
      <c r="IO16" s="80"/>
      <c r="IP16" s="80"/>
      <c r="IQ16" s="80"/>
      <c r="IR16" s="80"/>
      <c r="IS16" s="80"/>
      <c r="IT16" s="80"/>
      <c r="IU16" s="80"/>
      <c r="IV16" s="80"/>
      <c r="IW16" s="80"/>
      <c r="IX16" s="80"/>
      <c r="IY16" s="80"/>
      <c r="IZ16" s="80"/>
      <c r="JA16" s="80"/>
      <c r="JB16" s="80"/>
      <c r="JC16" s="80"/>
      <c r="JD16" s="80"/>
      <c r="JE16" s="80"/>
      <c r="JF16" s="80"/>
      <c r="JG16" s="80"/>
      <c r="JH16" s="80"/>
      <c r="JI16" s="80"/>
      <c r="JJ16" s="80"/>
      <c r="JK16" s="80"/>
      <c r="JL16" s="80"/>
      <c r="JM16" s="80"/>
      <c r="JN16" s="80"/>
      <c r="JO16" s="80"/>
      <c r="JP16" s="80"/>
      <c r="JQ16" s="80"/>
      <c r="JR16" s="80"/>
      <c r="JS16" s="80"/>
      <c r="JT16" s="80"/>
      <c r="JU16" s="80"/>
      <c r="JV16" s="80"/>
      <c r="JW16" s="80"/>
      <c r="JX16" s="80"/>
      <c r="JY16" s="80"/>
      <c r="JZ16" s="80"/>
      <c r="KA16" s="80"/>
      <c r="KB16" s="80"/>
      <c r="KC16" s="80"/>
      <c r="KD16" s="80"/>
    </row>
    <row r="17" spans="6:290" x14ac:dyDescent="0.35">
      <c r="F17" s="76" t="s">
        <v>573</v>
      </c>
      <c r="G17" s="77" t="s">
        <v>223</v>
      </c>
      <c r="H17" s="68">
        <v>45818</v>
      </c>
      <c r="I17" s="68">
        <v>45818</v>
      </c>
      <c r="J17" s="78">
        <v>0</v>
      </c>
      <c r="K17" s="68">
        <v>45818</v>
      </c>
      <c r="L17" s="68">
        <v>45818</v>
      </c>
      <c r="M17" s="78">
        <v>0</v>
      </c>
      <c r="N17" s="78">
        <v>0</v>
      </c>
      <c r="O17" s="79">
        <v>1</v>
      </c>
      <c r="P17" s="80"/>
      <c r="Q17" s="80"/>
      <c r="R17" s="80"/>
      <c r="S17" s="80"/>
      <c r="T17" s="80"/>
      <c r="U17" s="80"/>
      <c r="V17" s="80"/>
      <c r="W17" s="80"/>
      <c r="X17" s="80"/>
      <c r="Y17" s="80"/>
      <c r="Z17" s="80"/>
      <c r="AA17" s="80"/>
      <c r="AB17" s="80"/>
      <c r="AC17" s="80"/>
      <c r="AD17" s="80"/>
      <c r="AE17" s="80"/>
      <c r="AF17" s="80"/>
      <c r="AG17" s="80"/>
      <c r="AH17" s="80"/>
      <c r="AI17" s="80"/>
      <c r="AJ17" s="80"/>
      <c r="AK17" s="80"/>
      <c r="AL17" s="80"/>
      <c r="AM17" s="80"/>
      <c r="AN17" s="80"/>
      <c r="AO17" s="80"/>
      <c r="AP17" s="80"/>
      <c r="AQ17" s="80"/>
      <c r="AR17" s="80"/>
      <c r="AS17" s="80"/>
      <c r="AT17" s="80"/>
      <c r="AU17" s="80"/>
      <c r="AV17" s="80"/>
      <c r="AW17" s="80"/>
      <c r="AX17" s="80"/>
      <c r="AY17" s="80"/>
      <c r="AZ17" s="80"/>
      <c r="BA17" s="80"/>
      <c r="BB17" s="80"/>
      <c r="BC17" s="80"/>
      <c r="BD17" s="80"/>
      <c r="BE17" s="80"/>
      <c r="BF17" s="80"/>
      <c r="BG17" s="80"/>
      <c r="BH17" s="80"/>
      <c r="BI17" s="80"/>
      <c r="BJ17" s="80"/>
      <c r="BK17" s="80"/>
      <c r="BL17" s="80"/>
      <c r="BM17" s="80"/>
      <c r="BN17" s="80"/>
      <c r="BO17" s="80"/>
      <c r="BP17" s="80"/>
      <c r="BQ17" s="80"/>
      <c r="BR17" s="80"/>
      <c r="BS17" s="80"/>
      <c r="BT17" s="80"/>
      <c r="BU17" s="80"/>
      <c r="BV17" s="80"/>
      <c r="BW17" s="80"/>
      <c r="BX17" s="80"/>
      <c r="BY17" s="80"/>
      <c r="BZ17" s="80"/>
      <c r="CA17" s="80"/>
      <c r="CB17" s="80"/>
      <c r="CC17" s="80"/>
      <c r="CD17" s="80"/>
      <c r="CE17" s="80"/>
      <c r="CF17" s="80"/>
      <c r="CG17" s="80"/>
      <c r="CH17" s="83"/>
      <c r="CI17" s="80"/>
      <c r="CJ17" s="80"/>
      <c r="CK17" s="80"/>
      <c r="CL17" s="80"/>
      <c r="CM17" s="80"/>
      <c r="CN17" s="80"/>
      <c r="CO17" s="80"/>
      <c r="CP17" s="80"/>
      <c r="CQ17" s="80"/>
      <c r="CR17" s="80"/>
      <c r="CS17" s="80"/>
      <c r="CT17" s="80"/>
      <c r="CU17" s="80"/>
      <c r="CV17" s="80"/>
      <c r="CW17" s="80"/>
      <c r="CX17" s="80"/>
      <c r="CY17" s="80"/>
      <c r="CZ17" s="80"/>
      <c r="DA17" s="80"/>
      <c r="DB17" s="80"/>
      <c r="DC17" s="80"/>
      <c r="DD17" s="80"/>
      <c r="DE17" s="80"/>
      <c r="DF17" s="80"/>
      <c r="DG17" s="80"/>
      <c r="DH17" s="80"/>
      <c r="DI17" s="80"/>
      <c r="DJ17" s="80"/>
      <c r="DK17" s="80"/>
      <c r="DL17" s="80"/>
      <c r="DM17" s="80"/>
      <c r="DN17" s="80"/>
      <c r="DO17" s="80"/>
      <c r="DP17" s="80"/>
      <c r="DQ17" s="80"/>
      <c r="DR17" s="80"/>
      <c r="DS17" s="80"/>
      <c r="DT17" s="80"/>
      <c r="DU17" s="80"/>
      <c r="DV17" s="80"/>
      <c r="DW17" s="80"/>
      <c r="DX17" s="80"/>
      <c r="DY17" s="80"/>
      <c r="DZ17" s="80"/>
      <c r="EA17" s="80"/>
      <c r="EB17" s="80"/>
      <c r="EC17" s="80"/>
      <c r="ED17" s="80"/>
      <c r="EE17" s="80"/>
      <c r="EF17" s="80"/>
      <c r="EG17" s="80"/>
      <c r="EH17" s="80"/>
      <c r="EI17" s="80"/>
      <c r="EJ17" s="80"/>
      <c r="EK17" s="80"/>
      <c r="EL17" s="80"/>
      <c r="EM17" s="80"/>
      <c r="EN17" s="80"/>
      <c r="EO17" s="80"/>
      <c r="EP17" s="80"/>
      <c r="EQ17" s="80"/>
      <c r="ER17" s="80"/>
      <c r="ES17" s="80"/>
      <c r="ET17" s="80"/>
      <c r="EU17" s="80"/>
      <c r="EV17" s="80"/>
      <c r="EW17" s="80"/>
      <c r="EX17" s="80"/>
      <c r="EY17" s="80"/>
      <c r="EZ17" s="80"/>
      <c r="FA17" s="80"/>
      <c r="FB17" s="80"/>
      <c r="FC17" s="80"/>
      <c r="FD17" s="80"/>
      <c r="FE17" s="80"/>
      <c r="FF17" s="80"/>
      <c r="FG17" s="80"/>
      <c r="FH17" s="80"/>
      <c r="FI17" s="80"/>
      <c r="FJ17" s="80"/>
      <c r="FK17" s="80"/>
      <c r="FL17" s="80"/>
      <c r="FM17" s="80"/>
      <c r="FN17" s="80"/>
      <c r="FO17" s="80"/>
      <c r="FP17" s="80"/>
      <c r="FQ17" s="80"/>
      <c r="FR17" s="80"/>
      <c r="FS17" s="80"/>
      <c r="FT17" s="80"/>
      <c r="FU17" s="80"/>
      <c r="FV17" s="80"/>
      <c r="FW17" s="80"/>
      <c r="FX17" s="80"/>
      <c r="FY17" s="80"/>
      <c r="FZ17" s="80"/>
      <c r="GA17" s="80"/>
      <c r="GB17" s="80"/>
      <c r="GC17" s="80"/>
      <c r="GD17" s="80"/>
      <c r="GE17" s="80"/>
      <c r="GF17" s="80"/>
      <c r="GG17" s="80"/>
      <c r="GH17" s="80"/>
      <c r="GI17" s="80"/>
      <c r="GJ17" s="80"/>
      <c r="GK17" s="80"/>
      <c r="GL17" s="80"/>
      <c r="GM17" s="80"/>
      <c r="GN17" s="80"/>
      <c r="GO17" s="80"/>
      <c r="GP17" s="80"/>
      <c r="GQ17" s="80"/>
      <c r="GR17" s="80"/>
      <c r="GS17" s="80"/>
      <c r="GT17" s="80"/>
      <c r="GU17" s="80"/>
      <c r="GV17" s="80"/>
      <c r="GW17" s="80"/>
      <c r="GX17" s="80"/>
      <c r="GY17" s="80"/>
      <c r="GZ17" s="80"/>
      <c r="HA17" s="80"/>
      <c r="HB17" s="80"/>
      <c r="HC17" s="80"/>
      <c r="HD17" s="80"/>
      <c r="HE17" s="80"/>
      <c r="HF17" s="80"/>
      <c r="HG17" s="80"/>
      <c r="HH17" s="80"/>
      <c r="HI17" s="80"/>
      <c r="HJ17" s="80"/>
      <c r="HK17" s="80"/>
      <c r="HL17" s="80"/>
      <c r="HM17" s="80"/>
      <c r="HN17" s="80"/>
      <c r="HO17" s="80"/>
      <c r="HP17" s="80"/>
      <c r="HQ17" s="80"/>
      <c r="HR17" s="80"/>
      <c r="HS17" s="80"/>
      <c r="HT17" s="80"/>
      <c r="HU17" s="80"/>
      <c r="HV17" s="80"/>
      <c r="HW17" s="80"/>
      <c r="HX17" s="80"/>
      <c r="HY17" s="80"/>
      <c r="HZ17" s="80"/>
      <c r="IA17" s="80"/>
      <c r="IB17" s="80"/>
      <c r="IC17" s="80"/>
      <c r="ID17" s="80"/>
      <c r="IE17" s="80"/>
      <c r="IF17" s="80"/>
      <c r="IG17" s="80"/>
      <c r="IH17" s="80"/>
      <c r="II17" s="80"/>
      <c r="IJ17" s="80"/>
      <c r="IK17" s="80"/>
      <c r="IL17" s="80"/>
      <c r="IM17" s="80"/>
      <c r="IN17" s="80"/>
      <c r="IO17" s="80"/>
      <c r="IP17" s="80"/>
      <c r="IQ17" s="80"/>
      <c r="IR17" s="80"/>
      <c r="IS17" s="80"/>
      <c r="IT17" s="80"/>
      <c r="IU17" s="80"/>
      <c r="IV17" s="80"/>
      <c r="IW17" s="80"/>
      <c r="IX17" s="80"/>
      <c r="IY17" s="80"/>
      <c r="IZ17" s="80"/>
      <c r="JA17" s="80"/>
      <c r="JB17" s="80"/>
      <c r="JC17" s="80"/>
      <c r="JD17" s="80"/>
      <c r="JE17" s="80"/>
      <c r="JF17" s="80"/>
      <c r="JG17" s="80"/>
      <c r="JH17" s="80"/>
      <c r="JI17" s="80"/>
      <c r="JJ17" s="80"/>
      <c r="JK17" s="80"/>
      <c r="JL17" s="80"/>
      <c r="JM17" s="80"/>
      <c r="JN17" s="80"/>
      <c r="JO17" s="80"/>
      <c r="JP17" s="80"/>
      <c r="JQ17" s="80"/>
      <c r="JR17" s="80"/>
      <c r="JS17" s="80"/>
      <c r="JT17" s="80"/>
      <c r="JU17" s="80"/>
      <c r="JV17" s="80"/>
      <c r="JW17" s="80"/>
      <c r="JX17" s="80"/>
      <c r="JY17" s="80"/>
      <c r="JZ17" s="80"/>
      <c r="KA17" s="80"/>
      <c r="KB17" s="80"/>
      <c r="KC17" s="80"/>
      <c r="KD17" s="80"/>
    </row>
    <row r="18" spans="6:290" x14ac:dyDescent="0.35">
      <c r="F18" s="76" t="s">
        <v>574</v>
      </c>
      <c r="G18" s="77" t="s">
        <v>223</v>
      </c>
      <c r="H18" s="68">
        <v>45820</v>
      </c>
      <c r="I18" s="68">
        <v>45820</v>
      </c>
      <c r="J18" s="78">
        <v>0</v>
      </c>
      <c r="K18" s="68">
        <v>45820</v>
      </c>
      <c r="L18" s="68">
        <v>45820</v>
      </c>
      <c r="M18" s="78">
        <v>0</v>
      </c>
      <c r="N18" s="78">
        <v>0</v>
      </c>
      <c r="O18" s="79">
        <v>1</v>
      </c>
      <c r="P18" s="80"/>
      <c r="Q18" s="80"/>
      <c r="R18" s="80"/>
      <c r="S18" s="80"/>
      <c r="T18" s="80"/>
      <c r="U18" s="80"/>
      <c r="V18" s="80"/>
      <c r="W18" s="80"/>
      <c r="X18" s="80"/>
      <c r="Y18" s="80"/>
      <c r="Z18" s="80"/>
      <c r="AA18" s="80"/>
      <c r="AB18" s="80"/>
      <c r="AC18" s="80"/>
      <c r="AD18" s="80"/>
      <c r="AE18" s="80"/>
      <c r="AF18" s="80"/>
      <c r="AG18" s="80"/>
      <c r="AH18" s="80"/>
      <c r="AI18" s="80"/>
      <c r="AJ18" s="80"/>
      <c r="AK18" s="80"/>
      <c r="AL18" s="80"/>
      <c r="AM18" s="80"/>
      <c r="AN18" s="80"/>
      <c r="AO18" s="80"/>
      <c r="AP18" s="80"/>
      <c r="AQ18" s="80"/>
      <c r="AR18" s="80"/>
      <c r="AS18" s="80"/>
      <c r="AT18" s="80"/>
      <c r="AU18" s="80"/>
      <c r="AV18" s="80"/>
      <c r="AW18" s="80"/>
      <c r="AX18" s="80"/>
      <c r="AY18" s="80"/>
      <c r="AZ18" s="80"/>
      <c r="BA18" s="80"/>
      <c r="BB18" s="80"/>
      <c r="BC18" s="80"/>
      <c r="BD18" s="80"/>
      <c r="BE18" s="80"/>
      <c r="BF18" s="80"/>
      <c r="BG18" s="80"/>
      <c r="BH18" s="80"/>
      <c r="BI18" s="80"/>
      <c r="BJ18" s="80"/>
      <c r="BK18" s="80"/>
      <c r="BL18" s="80"/>
      <c r="BM18" s="80"/>
      <c r="BN18" s="80"/>
      <c r="BO18" s="80"/>
      <c r="BP18" s="80"/>
      <c r="BQ18" s="80"/>
      <c r="BR18" s="80"/>
      <c r="BS18" s="80"/>
      <c r="BT18" s="80"/>
      <c r="BU18" s="80"/>
      <c r="BV18" s="80"/>
      <c r="BW18" s="80"/>
      <c r="BX18" s="80"/>
      <c r="BY18" s="80"/>
      <c r="BZ18" s="80"/>
      <c r="CA18" s="80"/>
      <c r="CB18" s="80"/>
      <c r="CC18" s="80"/>
      <c r="CD18" s="80"/>
      <c r="CE18" s="80"/>
      <c r="CF18" s="80"/>
      <c r="CG18" s="80"/>
      <c r="CH18" s="80"/>
      <c r="CI18" s="80"/>
      <c r="CJ18" s="83"/>
      <c r="CK18" s="80"/>
      <c r="CL18" s="80"/>
      <c r="CM18" s="80"/>
      <c r="CN18" s="80"/>
      <c r="CO18" s="80"/>
      <c r="CP18" s="80"/>
      <c r="CQ18" s="80"/>
      <c r="CR18" s="80"/>
      <c r="CS18" s="80"/>
      <c r="CT18" s="80"/>
      <c r="CU18" s="80"/>
      <c r="CV18" s="80"/>
      <c r="CW18" s="80"/>
      <c r="CX18" s="80"/>
      <c r="CY18" s="80"/>
      <c r="CZ18" s="80"/>
      <c r="DA18" s="80"/>
      <c r="DB18" s="80"/>
      <c r="DC18" s="80"/>
      <c r="DD18" s="80"/>
      <c r="DE18" s="80"/>
      <c r="DF18" s="80"/>
      <c r="DG18" s="80"/>
      <c r="DH18" s="80"/>
      <c r="DI18" s="80"/>
      <c r="DJ18" s="80"/>
      <c r="DK18" s="80"/>
      <c r="DL18" s="80"/>
      <c r="DM18" s="80"/>
      <c r="DN18" s="80"/>
      <c r="DO18" s="80"/>
      <c r="DP18" s="80"/>
      <c r="DQ18" s="80"/>
      <c r="DR18" s="80"/>
      <c r="DS18" s="80"/>
      <c r="DT18" s="80"/>
      <c r="DU18" s="80"/>
      <c r="DV18" s="80"/>
      <c r="DW18" s="80"/>
      <c r="DX18" s="80"/>
      <c r="DY18" s="80"/>
      <c r="DZ18" s="80"/>
      <c r="EA18" s="80"/>
      <c r="EB18" s="80"/>
      <c r="EC18" s="80"/>
      <c r="ED18" s="80"/>
      <c r="EE18" s="80"/>
      <c r="EF18" s="80"/>
      <c r="EG18" s="80"/>
      <c r="EH18" s="80"/>
      <c r="EI18" s="80"/>
      <c r="EJ18" s="80"/>
      <c r="EK18" s="80"/>
      <c r="EL18" s="80"/>
      <c r="EM18" s="80"/>
      <c r="EN18" s="80"/>
      <c r="EO18" s="80"/>
      <c r="EP18" s="80"/>
      <c r="EQ18" s="80"/>
      <c r="ER18" s="80"/>
      <c r="ES18" s="80"/>
      <c r="ET18" s="80"/>
      <c r="EU18" s="80"/>
      <c r="EV18" s="80"/>
      <c r="EW18" s="80"/>
      <c r="EX18" s="80"/>
      <c r="EY18" s="80"/>
      <c r="EZ18" s="80"/>
      <c r="FA18" s="80"/>
      <c r="FB18" s="80"/>
      <c r="FC18" s="80"/>
      <c r="FD18" s="80"/>
      <c r="FE18" s="80"/>
      <c r="FF18" s="80"/>
      <c r="FG18" s="80"/>
      <c r="FH18" s="80"/>
      <c r="FI18" s="80"/>
      <c r="FJ18" s="80"/>
      <c r="FK18" s="80"/>
      <c r="FL18" s="80"/>
      <c r="FM18" s="80"/>
      <c r="FN18" s="80"/>
      <c r="FO18" s="80"/>
      <c r="FP18" s="80"/>
      <c r="FQ18" s="80"/>
      <c r="FR18" s="80"/>
      <c r="FS18" s="80"/>
      <c r="FT18" s="80"/>
      <c r="FU18" s="80"/>
      <c r="FV18" s="80"/>
      <c r="FW18" s="80"/>
      <c r="FX18" s="80"/>
      <c r="FY18" s="80"/>
      <c r="FZ18" s="80"/>
      <c r="GA18" s="80"/>
      <c r="GB18" s="80"/>
      <c r="GC18" s="80"/>
      <c r="GD18" s="80"/>
      <c r="GE18" s="80"/>
      <c r="GF18" s="80"/>
      <c r="GG18" s="80"/>
      <c r="GH18" s="80"/>
      <c r="GI18" s="80"/>
      <c r="GJ18" s="80"/>
      <c r="GK18" s="80"/>
      <c r="GL18" s="80"/>
      <c r="GM18" s="80"/>
      <c r="GN18" s="80"/>
      <c r="GO18" s="80"/>
      <c r="GP18" s="80"/>
      <c r="GQ18" s="80"/>
      <c r="GR18" s="80"/>
      <c r="GS18" s="80"/>
      <c r="GT18" s="80"/>
      <c r="GU18" s="80"/>
      <c r="GV18" s="80"/>
      <c r="GW18" s="80"/>
      <c r="GX18" s="80"/>
      <c r="GY18" s="80"/>
      <c r="GZ18" s="80"/>
      <c r="HA18" s="80"/>
      <c r="HB18" s="80"/>
      <c r="HC18" s="80"/>
      <c r="HD18" s="80"/>
      <c r="HE18" s="80"/>
      <c r="HF18" s="80"/>
      <c r="HG18" s="80"/>
      <c r="HH18" s="80"/>
      <c r="HI18" s="80"/>
      <c r="HJ18" s="80"/>
      <c r="HK18" s="80"/>
      <c r="HL18" s="80"/>
      <c r="HM18" s="80"/>
      <c r="HN18" s="80"/>
      <c r="HO18" s="80"/>
      <c r="HP18" s="80"/>
      <c r="HQ18" s="80"/>
      <c r="HR18" s="80"/>
      <c r="HS18" s="80"/>
      <c r="HT18" s="80"/>
      <c r="HU18" s="80"/>
      <c r="HV18" s="80"/>
      <c r="HW18" s="80"/>
      <c r="HX18" s="80"/>
      <c r="HY18" s="80"/>
      <c r="HZ18" s="80"/>
      <c r="IA18" s="80"/>
      <c r="IB18" s="80"/>
      <c r="IC18" s="80"/>
      <c r="ID18" s="80"/>
      <c r="IE18" s="80"/>
      <c r="IF18" s="80"/>
      <c r="IG18" s="80"/>
      <c r="IH18" s="80"/>
      <c r="II18" s="80"/>
      <c r="IJ18" s="80"/>
      <c r="IK18" s="80"/>
      <c r="IL18" s="80"/>
      <c r="IM18" s="80"/>
      <c r="IN18" s="80"/>
      <c r="IO18" s="80"/>
      <c r="IP18" s="80"/>
      <c r="IQ18" s="80"/>
      <c r="IR18" s="80"/>
      <c r="IS18" s="80"/>
      <c r="IT18" s="80"/>
      <c r="IU18" s="80"/>
      <c r="IV18" s="80"/>
      <c r="IW18" s="80"/>
      <c r="IX18" s="80"/>
      <c r="IY18" s="80"/>
      <c r="IZ18" s="80"/>
      <c r="JA18" s="80"/>
      <c r="JB18" s="80"/>
      <c r="JC18" s="80"/>
      <c r="JD18" s="80"/>
      <c r="JE18" s="80"/>
      <c r="JF18" s="80"/>
      <c r="JG18" s="80"/>
      <c r="JH18" s="80"/>
      <c r="JI18" s="80"/>
      <c r="JJ18" s="80"/>
      <c r="JK18" s="80"/>
      <c r="JL18" s="80"/>
      <c r="JM18" s="80"/>
      <c r="JN18" s="80"/>
      <c r="JO18" s="80"/>
      <c r="JP18" s="80"/>
      <c r="JQ18" s="80"/>
      <c r="JR18" s="80"/>
      <c r="JS18" s="80"/>
      <c r="JT18" s="80"/>
      <c r="JU18" s="80"/>
      <c r="JV18" s="80"/>
      <c r="JW18" s="80"/>
      <c r="JX18" s="80"/>
      <c r="JY18" s="80"/>
      <c r="JZ18" s="80"/>
      <c r="KA18" s="80"/>
      <c r="KB18" s="80"/>
      <c r="KC18" s="80"/>
      <c r="KD18" s="80"/>
    </row>
    <row r="19" spans="6:290" x14ac:dyDescent="0.35">
      <c r="F19" s="76" t="s">
        <v>575</v>
      </c>
      <c r="G19" s="77" t="s">
        <v>223</v>
      </c>
      <c r="H19" s="68">
        <v>45823</v>
      </c>
      <c r="I19" s="68">
        <v>45833</v>
      </c>
      <c r="J19" s="78">
        <v>10</v>
      </c>
      <c r="K19" s="68">
        <v>45823</v>
      </c>
      <c r="L19" s="68">
        <v>45833</v>
      </c>
      <c r="M19" s="78">
        <v>10</v>
      </c>
      <c r="N19" s="78">
        <v>0</v>
      </c>
      <c r="O19" s="79">
        <v>1</v>
      </c>
      <c r="P19" s="80"/>
      <c r="Q19" s="80"/>
      <c r="R19" s="80"/>
      <c r="S19" s="80"/>
      <c r="T19" s="80"/>
      <c r="U19" s="80"/>
      <c r="V19" s="80"/>
      <c r="W19" s="80"/>
      <c r="X19" s="80"/>
      <c r="Y19" s="80"/>
      <c r="Z19" s="80"/>
      <c r="AA19" s="80"/>
      <c r="AB19" s="80"/>
      <c r="AC19" s="80"/>
      <c r="AD19" s="80"/>
      <c r="AE19" s="80"/>
      <c r="AF19" s="80"/>
      <c r="AG19" s="80"/>
      <c r="AH19" s="80"/>
      <c r="AI19" s="80"/>
      <c r="AJ19" s="80"/>
      <c r="AK19" s="80"/>
      <c r="AL19" s="80"/>
      <c r="AM19" s="80"/>
      <c r="AN19" s="80"/>
      <c r="AO19" s="80"/>
      <c r="AP19" s="80"/>
      <c r="AQ19" s="80"/>
      <c r="AR19" s="80"/>
      <c r="AS19" s="80"/>
      <c r="AT19" s="80"/>
      <c r="AU19" s="80"/>
      <c r="AV19" s="80"/>
      <c r="AW19" s="80"/>
      <c r="AX19" s="80"/>
      <c r="AY19" s="80"/>
      <c r="AZ19" s="80"/>
      <c r="BA19" s="80"/>
      <c r="BB19" s="80"/>
      <c r="BC19" s="80"/>
      <c r="BD19" s="80"/>
      <c r="BE19" s="80"/>
      <c r="BF19" s="80"/>
      <c r="BG19" s="80"/>
      <c r="BH19" s="80"/>
      <c r="BI19" s="80"/>
      <c r="BJ19" s="80"/>
      <c r="BK19" s="80"/>
      <c r="BL19" s="80"/>
      <c r="BM19" s="80"/>
      <c r="BN19" s="80"/>
      <c r="BO19" s="80"/>
      <c r="BP19" s="80"/>
      <c r="BQ19" s="80"/>
      <c r="BR19" s="80"/>
      <c r="BS19" s="80"/>
      <c r="BT19" s="80"/>
      <c r="BU19" s="80"/>
      <c r="BV19" s="80"/>
      <c r="BW19" s="80"/>
      <c r="BX19" s="80"/>
      <c r="BY19" s="80"/>
      <c r="BZ19" s="80"/>
      <c r="CA19" s="80"/>
      <c r="CB19" s="80"/>
      <c r="CC19" s="80"/>
      <c r="CD19" s="80"/>
      <c r="CE19" s="80"/>
      <c r="CF19" s="80"/>
      <c r="CG19" s="80"/>
      <c r="CH19" s="80"/>
      <c r="CI19" s="80"/>
      <c r="CJ19" s="80"/>
      <c r="CK19" s="80"/>
      <c r="CL19" s="80"/>
      <c r="CM19" s="83"/>
      <c r="CN19" s="83"/>
      <c r="CO19" s="83"/>
      <c r="CP19" s="83"/>
      <c r="CQ19" s="83"/>
      <c r="CR19" s="83"/>
      <c r="CS19" s="83"/>
      <c r="CT19" s="83"/>
      <c r="CU19" s="83"/>
      <c r="CV19" s="83"/>
      <c r="CW19" s="83"/>
      <c r="CX19" s="80"/>
      <c r="CY19" s="80"/>
      <c r="CZ19" s="80"/>
      <c r="DA19" s="80"/>
      <c r="DB19" s="80"/>
      <c r="DC19" s="80"/>
      <c r="DD19" s="80"/>
      <c r="DE19" s="80"/>
      <c r="DF19" s="80"/>
      <c r="DG19" s="80"/>
      <c r="DH19" s="80"/>
      <c r="DI19" s="80"/>
      <c r="DJ19" s="80"/>
      <c r="DK19" s="80"/>
      <c r="DL19" s="80"/>
      <c r="DM19" s="80"/>
      <c r="DN19" s="80"/>
      <c r="DO19" s="80"/>
      <c r="DP19" s="80"/>
      <c r="DQ19" s="80"/>
      <c r="DR19" s="80"/>
      <c r="DS19" s="80"/>
      <c r="DT19" s="80"/>
      <c r="DU19" s="80"/>
      <c r="DV19" s="80"/>
      <c r="DW19" s="80"/>
      <c r="DX19" s="80"/>
      <c r="DY19" s="80"/>
      <c r="DZ19" s="80"/>
      <c r="EA19" s="80"/>
      <c r="EB19" s="80"/>
      <c r="EC19" s="80"/>
      <c r="ED19" s="80"/>
      <c r="EE19" s="80"/>
      <c r="EF19" s="80"/>
      <c r="EG19" s="80"/>
      <c r="EH19" s="80"/>
      <c r="EI19" s="80"/>
      <c r="EJ19" s="80"/>
      <c r="EK19" s="80"/>
      <c r="EL19" s="80"/>
      <c r="EM19" s="80"/>
      <c r="EN19" s="80"/>
      <c r="EO19" s="80"/>
      <c r="EP19" s="80"/>
      <c r="EQ19" s="80"/>
      <c r="ER19" s="80"/>
      <c r="ES19" s="80"/>
      <c r="ET19" s="80"/>
      <c r="EU19" s="80"/>
      <c r="EV19" s="80"/>
      <c r="EW19" s="80"/>
      <c r="EX19" s="80"/>
      <c r="EY19" s="80"/>
      <c r="EZ19" s="80"/>
      <c r="FA19" s="80"/>
      <c r="FB19" s="80"/>
      <c r="FC19" s="80"/>
      <c r="FD19" s="80"/>
      <c r="FE19" s="80"/>
      <c r="FF19" s="80"/>
      <c r="FG19" s="80"/>
      <c r="FH19" s="80"/>
      <c r="FI19" s="80"/>
      <c r="FJ19" s="80"/>
      <c r="FK19" s="80"/>
      <c r="FL19" s="80"/>
      <c r="FM19" s="80"/>
      <c r="FN19" s="80"/>
      <c r="FO19" s="80"/>
      <c r="FP19" s="80"/>
      <c r="FQ19" s="80"/>
      <c r="FR19" s="80"/>
      <c r="FS19" s="80"/>
      <c r="FT19" s="80"/>
      <c r="FU19" s="80"/>
      <c r="FV19" s="80"/>
      <c r="FW19" s="80"/>
      <c r="FX19" s="80"/>
      <c r="FY19" s="80"/>
      <c r="FZ19" s="80"/>
      <c r="GA19" s="80"/>
      <c r="GB19" s="80"/>
      <c r="GC19" s="80"/>
      <c r="GD19" s="80"/>
      <c r="GE19" s="80"/>
      <c r="GF19" s="80"/>
      <c r="GG19" s="80"/>
      <c r="GH19" s="80"/>
      <c r="GI19" s="80"/>
      <c r="GJ19" s="80"/>
      <c r="GK19" s="80"/>
      <c r="GL19" s="80"/>
      <c r="GM19" s="80"/>
      <c r="GN19" s="80"/>
      <c r="GO19" s="80"/>
      <c r="GP19" s="80"/>
      <c r="GQ19" s="80"/>
      <c r="GR19" s="80"/>
      <c r="GS19" s="80"/>
      <c r="GT19" s="80"/>
      <c r="GU19" s="80"/>
      <c r="GV19" s="80"/>
      <c r="GW19" s="80"/>
      <c r="GX19" s="80"/>
      <c r="GY19" s="80"/>
      <c r="GZ19" s="80"/>
      <c r="HA19" s="80"/>
      <c r="HB19" s="80"/>
      <c r="HC19" s="80"/>
      <c r="HD19" s="80"/>
      <c r="HE19" s="80"/>
      <c r="HF19" s="80"/>
      <c r="HG19" s="80"/>
      <c r="HH19" s="80"/>
      <c r="HI19" s="80"/>
      <c r="HJ19" s="80"/>
      <c r="HK19" s="80"/>
      <c r="HL19" s="80"/>
      <c r="HM19" s="80"/>
      <c r="HN19" s="80"/>
      <c r="HO19" s="80"/>
      <c r="HP19" s="80"/>
      <c r="HQ19" s="80"/>
      <c r="HR19" s="80"/>
      <c r="HS19" s="80"/>
      <c r="HT19" s="80"/>
      <c r="HU19" s="80"/>
      <c r="HV19" s="80"/>
      <c r="HW19" s="80"/>
      <c r="HX19" s="80"/>
      <c r="HY19" s="80"/>
      <c r="HZ19" s="80"/>
      <c r="IA19" s="80"/>
      <c r="IB19" s="80"/>
      <c r="IC19" s="80"/>
      <c r="ID19" s="80"/>
      <c r="IE19" s="80"/>
      <c r="IF19" s="80"/>
      <c r="IG19" s="80"/>
      <c r="IH19" s="80"/>
      <c r="II19" s="80"/>
      <c r="IJ19" s="80"/>
      <c r="IK19" s="80"/>
      <c r="IL19" s="80"/>
      <c r="IM19" s="80"/>
      <c r="IN19" s="80"/>
      <c r="IO19" s="80"/>
      <c r="IP19" s="80"/>
      <c r="IQ19" s="80"/>
      <c r="IR19" s="80"/>
      <c r="IS19" s="80"/>
      <c r="IT19" s="80"/>
      <c r="IU19" s="80"/>
      <c r="IV19" s="80"/>
      <c r="IW19" s="80"/>
      <c r="IX19" s="80"/>
      <c r="IY19" s="80"/>
      <c r="IZ19" s="80"/>
      <c r="JA19" s="80"/>
      <c r="JB19" s="80"/>
      <c r="JC19" s="80"/>
      <c r="JD19" s="80"/>
      <c r="JE19" s="80"/>
      <c r="JF19" s="80"/>
      <c r="JG19" s="80"/>
      <c r="JH19" s="80"/>
      <c r="JI19" s="80"/>
      <c r="JJ19" s="80"/>
      <c r="JK19" s="80"/>
      <c r="JL19" s="80"/>
      <c r="JM19" s="80"/>
      <c r="JN19" s="80"/>
      <c r="JO19" s="80"/>
      <c r="JP19" s="80"/>
      <c r="JQ19" s="80"/>
      <c r="JR19" s="80"/>
      <c r="JS19" s="80"/>
      <c r="JT19" s="80"/>
      <c r="JU19" s="80"/>
      <c r="JV19" s="80"/>
      <c r="JW19" s="80"/>
      <c r="JX19" s="80"/>
      <c r="JY19" s="80"/>
      <c r="JZ19" s="80"/>
      <c r="KA19" s="80"/>
      <c r="KB19" s="80"/>
      <c r="KC19" s="80"/>
      <c r="KD19" s="80"/>
    </row>
    <row r="20" spans="6:290" x14ac:dyDescent="0.35">
      <c r="F20" s="76" t="s">
        <v>576</v>
      </c>
      <c r="G20" s="77" t="s">
        <v>101</v>
      </c>
      <c r="H20" s="68">
        <v>45825</v>
      </c>
      <c r="I20" s="68">
        <v>45929</v>
      </c>
      <c r="J20" s="78">
        <v>104</v>
      </c>
      <c r="K20" s="68">
        <v>45825</v>
      </c>
      <c r="L20" s="68">
        <v>45847</v>
      </c>
      <c r="M20" s="78">
        <v>22</v>
      </c>
      <c r="N20" s="78">
        <v>-82</v>
      </c>
      <c r="O20" s="79">
        <v>0</v>
      </c>
      <c r="P20" s="80"/>
      <c r="Q20" s="80"/>
      <c r="R20" s="80"/>
      <c r="S20" s="80"/>
      <c r="T20" s="80"/>
      <c r="U20" s="80"/>
      <c r="V20" s="80"/>
      <c r="W20" s="80"/>
      <c r="X20" s="80"/>
      <c r="Y20" s="80"/>
      <c r="Z20" s="80"/>
      <c r="AA20" s="80"/>
      <c r="AB20" s="80"/>
      <c r="AC20" s="80"/>
      <c r="AD20" s="80"/>
      <c r="AE20" s="80"/>
      <c r="AF20" s="80"/>
      <c r="AG20" s="80"/>
      <c r="AH20" s="80"/>
      <c r="AI20" s="80"/>
      <c r="AJ20" s="80"/>
      <c r="AK20" s="80"/>
      <c r="AL20" s="80"/>
      <c r="AM20" s="80"/>
      <c r="AN20" s="80"/>
      <c r="AO20" s="80"/>
      <c r="AP20" s="80"/>
      <c r="AQ20" s="80"/>
      <c r="AR20" s="80"/>
      <c r="AS20" s="80"/>
      <c r="AT20" s="80"/>
      <c r="AU20" s="80"/>
      <c r="AV20" s="80"/>
      <c r="AW20" s="80"/>
      <c r="AX20" s="80"/>
      <c r="AY20" s="80"/>
      <c r="AZ20" s="80"/>
      <c r="BA20" s="80"/>
      <c r="BB20" s="80"/>
      <c r="BC20" s="80"/>
      <c r="BD20" s="80"/>
      <c r="BE20" s="80"/>
      <c r="BF20" s="80"/>
      <c r="BG20" s="80"/>
      <c r="BH20" s="80"/>
      <c r="BI20" s="80"/>
      <c r="BJ20" s="80"/>
      <c r="BK20" s="80"/>
      <c r="BL20" s="80"/>
      <c r="BM20" s="80"/>
      <c r="BN20" s="80"/>
      <c r="BO20" s="80"/>
      <c r="BP20" s="80"/>
      <c r="BQ20" s="80"/>
      <c r="BR20" s="80"/>
      <c r="BS20" s="80"/>
      <c r="BT20" s="80"/>
      <c r="BU20" s="80"/>
      <c r="BV20" s="80"/>
      <c r="BW20" s="80"/>
      <c r="BX20" s="80"/>
      <c r="BY20" s="80"/>
      <c r="BZ20" s="80"/>
      <c r="CA20" s="80"/>
      <c r="CB20" s="80"/>
      <c r="CC20" s="80"/>
      <c r="CD20" s="80"/>
      <c r="CE20" s="80"/>
      <c r="CF20" s="80"/>
      <c r="CG20" s="80"/>
      <c r="CH20" s="80"/>
      <c r="CI20" s="80"/>
      <c r="CJ20" s="80"/>
      <c r="CK20" s="80"/>
      <c r="CL20" s="80"/>
      <c r="CM20" s="80"/>
      <c r="CN20" s="80"/>
      <c r="CO20" s="107"/>
      <c r="CP20" s="107"/>
      <c r="CQ20" s="107"/>
      <c r="CR20" s="107"/>
      <c r="CS20" s="107"/>
      <c r="CT20" s="107"/>
      <c r="CU20" s="107"/>
      <c r="CV20" s="107"/>
      <c r="CW20" s="107"/>
      <c r="CX20" s="107"/>
      <c r="CY20" s="107"/>
      <c r="CZ20" s="107"/>
      <c r="DA20" s="107"/>
      <c r="DB20" s="107"/>
      <c r="DC20" s="107"/>
      <c r="DD20" s="107"/>
      <c r="DE20" s="107"/>
      <c r="DF20" s="107"/>
      <c r="DG20" s="107"/>
      <c r="DH20" s="107"/>
      <c r="DI20" s="107"/>
      <c r="DJ20" s="107"/>
      <c r="DK20" s="107"/>
      <c r="DL20" s="82"/>
      <c r="DM20" s="82"/>
      <c r="DN20" s="82"/>
      <c r="DO20" s="82"/>
      <c r="DP20" s="82"/>
      <c r="DQ20" s="82"/>
      <c r="DR20" s="82"/>
      <c r="DS20" s="82"/>
      <c r="DT20" s="82"/>
      <c r="DU20" s="82"/>
      <c r="DV20" s="82"/>
      <c r="DW20" s="82"/>
      <c r="DX20" s="82"/>
      <c r="DY20" s="82"/>
      <c r="DZ20" s="82"/>
      <c r="EA20" s="82"/>
      <c r="EB20" s="82"/>
      <c r="EC20" s="82"/>
      <c r="ED20" s="82"/>
      <c r="EE20" s="82"/>
      <c r="EF20" s="82"/>
      <c r="EG20" s="82"/>
      <c r="EH20" s="82"/>
      <c r="EI20" s="82"/>
      <c r="EJ20" s="82"/>
      <c r="EK20" s="82"/>
      <c r="EL20" s="82"/>
      <c r="EM20" s="82"/>
      <c r="EN20" s="82"/>
      <c r="EO20" s="82"/>
      <c r="EP20" s="82"/>
      <c r="EQ20" s="82"/>
      <c r="ER20" s="82"/>
      <c r="ES20" s="82"/>
      <c r="ET20" s="82"/>
      <c r="EU20" s="82"/>
      <c r="EV20" s="82"/>
      <c r="EW20" s="82"/>
      <c r="EX20" s="82"/>
      <c r="EY20" s="82"/>
      <c r="EZ20" s="82"/>
      <c r="FA20" s="82"/>
      <c r="FB20" s="82"/>
      <c r="FC20" s="82"/>
      <c r="FD20" s="82"/>
      <c r="FE20" s="82"/>
      <c r="FF20" s="82"/>
      <c r="FG20" s="82"/>
      <c r="FH20" s="82"/>
      <c r="FI20" s="82"/>
      <c r="FJ20" s="82"/>
      <c r="FK20" s="82"/>
      <c r="FL20" s="82"/>
      <c r="FM20" s="82"/>
      <c r="FN20" s="82"/>
      <c r="FO20" s="82"/>
      <c r="FP20" s="82"/>
      <c r="FQ20" s="82"/>
      <c r="FR20" s="82"/>
      <c r="FS20" s="82"/>
      <c r="FT20" s="82"/>
      <c r="FU20" s="82"/>
      <c r="FV20" s="82"/>
      <c r="FW20" s="82"/>
      <c r="FX20" s="82"/>
      <c r="FY20" s="82"/>
      <c r="FZ20" s="82"/>
      <c r="GA20" s="82"/>
      <c r="GB20" s="82"/>
      <c r="GC20" s="82"/>
      <c r="GD20" s="82"/>
      <c r="GE20" s="82"/>
      <c r="GF20" s="82"/>
      <c r="GG20" s="82"/>
      <c r="GH20" s="82"/>
      <c r="GI20" s="82"/>
      <c r="GJ20" s="82"/>
      <c r="GK20" s="82"/>
      <c r="GL20" s="82"/>
      <c r="GM20" s="82"/>
      <c r="GN20" s="82"/>
      <c r="GO20" s="82"/>
      <c r="GP20" s="80"/>
      <c r="GQ20" s="80"/>
      <c r="GR20" s="80"/>
      <c r="GS20" s="80"/>
      <c r="GT20" s="80"/>
      <c r="GU20" s="80"/>
      <c r="GV20" s="80"/>
      <c r="GW20" s="80"/>
      <c r="GX20" s="80"/>
      <c r="GY20" s="80"/>
      <c r="GZ20" s="80"/>
      <c r="HA20" s="80"/>
      <c r="HB20" s="80"/>
      <c r="HC20" s="80"/>
      <c r="HD20" s="80"/>
      <c r="HE20" s="80"/>
      <c r="HF20" s="80"/>
      <c r="HG20" s="80"/>
      <c r="HH20" s="80"/>
      <c r="HI20" s="80"/>
      <c r="HJ20" s="80"/>
      <c r="HK20" s="80"/>
      <c r="HL20" s="80"/>
      <c r="HM20" s="80"/>
      <c r="HN20" s="80"/>
      <c r="HO20" s="80"/>
      <c r="HP20" s="80"/>
      <c r="HQ20" s="80"/>
      <c r="HR20" s="80"/>
      <c r="HS20" s="80"/>
      <c r="HT20" s="80"/>
      <c r="HU20" s="80"/>
      <c r="HV20" s="80"/>
      <c r="HW20" s="80"/>
      <c r="HX20" s="80"/>
      <c r="HY20" s="80"/>
      <c r="HZ20" s="80"/>
      <c r="IA20" s="80"/>
      <c r="IB20" s="80"/>
      <c r="IC20" s="80"/>
      <c r="ID20" s="80"/>
      <c r="IE20" s="80"/>
      <c r="IF20" s="80"/>
      <c r="IG20" s="80"/>
      <c r="IH20" s="80"/>
      <c r="II20" s="80"/>
      <c r="IJ20" s="80"/>
      <c r="IK20" s="80"/>
      <c r="IL20" s="80"/>
      <c r="IM20" s="80"/>
      <c r="IN20" s="80"/>
      <c r="IO20" s="80"/>
      <c r="IP20" s="80"/>
      <c r="IQ20" s="80"/>
      <c r="IR20" s="80"/>
      <c r="IS20" s="80"/>
      <c r="IT20" s="80"/>
      <c r="IU20" s="80"/>
      <c r="IV20" s="80"/>
      <c r="IW20" s="80"/>
      <c r="IX20" s="80"/>
      <c r="IY20" s="80"/>
      <c r="IZ20" s="80"/>
      <c r="JA20" s="80"/>
      <c r="JB20" s="80"/>
      <c r="JC20" s="80"/>
      <c r="JD20" s="80"/>
      <c r="JE20" s="80"/>
      <c r="JF20" s="80"/>
      <c r="JG20" s="80"/>
      <c r="JH20" s="80"/>
      <c r="JI20" s="80"/>
      <c r="JJ20" s="80"/>
      <c r="JK20" s="80"/>
      <c r="JL20" s="80"/>
      <c r="JM20" s="80"/>
      <c r="JN20" s="80"/>
      <c r="JO20" s="80"/>
      <c r="JP20" s="80"/>
      <c r="JQ20" s="80"/>
      <c r="JR20" s="80"/>
      <c r="JS20" s="80"/>
      <c r="JT20" s="80"/>
      <c r="JU20" s="80"/>
      <c r="JV20" s="80"/>
      <c r="JW20" s="80"/>
      <c r="JX20" s="80"/>
      <c r="JY20" s="80"/>
      <c r="JZ20" s="80"/>
      <c r="KA20" s="80"/>
      <c r="KB20" s="80"/>
      <c r="KC20" s="80"/>
      <c r="KD20" s="80"/>
    </row>
    <row r="21" spans="6:290" x14ac:dyDescent="0.35">
      <c r="F21" s="76" t="s">
        <v>577</v>
      </c>
      <c r="G21" s="77" t="s">
        <v>100</v>
      </c>
      <c r="H21" s="68">
        <v>45825</v>
      </c>
      <c r="I21" s="68">
        <v>45929</v>
      </c>
      <c r="J21" s="78">
        <v>104</v>
      </c>
      <c r="K21" s="68">
        <v>45825</v>
      </c>
      <c r="L21" s="68">
        <v>45847</v>
      </c>
      <c r="M21" s="78">
        <v>22</v>
      </c>
      <c r="N21" s="78">
        <v>-82</v>
      </c>
      <c r="O21" s="79">
        <v>0</v>
      </c>
      <c r="P21" s="80"/>
      <c r="Q21" s="80"/>
      <c r="R21" s="80"/>
      <c r="S21" s="80"/>
      <c r="T21" s="80"/>
      <c r="U21" s="80"/>
      <c r="V21" s="80"/>
      <c r="W21" s="80"/>
      <c r="X21" s="80"/>
      <c r="Y21" s="80"/>
      <c r="Z21" s="80"/>
      <c r="AA21" s="80"/>
      <c r="AB21" s="80"/>
      <c r="AC21" s="80"/>
      <c r="AD21" s="80"/>
      <c r="AE21" s="80"/>
      <c r="AF21" s="80"/>
      <c r="AG21" s="80"/>
      <c r="AH21" s="80"/>
      <c r="AI21" s="80"/>
      <c r="AJ21" s="80"/>
      <c r="AK21" s="80"/>
      <c r="AL21" s="80"/>
      <c r="AM21" s="80"/>
      <c r="AN21" s="80"/>
      <c r="AO21" s="80"/>
      <c r="AP21" s="80"/>
      <c r="AQ21" s="80"/>
      <c r="AR21" s="80"/>
      <c r="AS21" s="80"/>
      <c r="AT21" s="80"/>
      <c r="AU21" s="80"/>
      <c r="AV21" s="80"/>
      <c r="AW21" s="80"/>
      <c r="AX21" s="80"/>
      <c r="AY21" s="80"/>
      <c r="AZ21" s="80"/>
      <c r="BA21" s="80"/>
      <c r="BB21" s="80"/>
      <c r="BC21" s="80"/>
      <c r="BD21" s="80"/>
      <c r="BE21" s="80"/>
      <c r="BF21" s="80"/>
      <c r="BG21" s="80"/>
      <c r="BH21" s="80"/>
      <c r="BI21" s="80"/>
      <c r="BJ21" s="80"/>
      <c r="BK21" s="80"/>
      <c r="BL21" s="80"/>
      <c r="BM21" s="80"/>
      <c r="BN21" s="80"/>
      <c r="BO21" s="80"/>
      <c r="BP21" s="80"/>
      <c r="BQ21" s="80"/>
      <c r="BR21" s="80"/>
      <c r="BS21" s="80"/>
      <c r="BT21" s="80"/>
      <c r="BU21" s="80"/>
      <c r="BV21" s="80"/>
      <c r="BW21" s="80"/>
      <c r="BX21" s="80"/>
      <c r="BY21" s="80"/>
      <c r="BZ21" s="80"/>
      <c r="CA21" s="80"/>
      <c r="CB21" s="80"/>
      <c r="CC21" s="80"/>
      <c r="CD21" s="80"/>
      <c r="CE21" s="80"/>
      <c r="CF21" s="80"/>
      <c r="CG21" s="80"/>
      <c r="CH21" s="80"/>
      <c r="CI21" s="80"/>
      <c r="CJ21" s="80"/>
      <c r="CK21" s="80"/>
      <c r="CL21" s="80"/>
      <c r="CM21" s="80"/>
      <c r="CN21" s="80"/>
      <c r="CO21" s="108"/>
      <c r="CP21" s="108"/>
      <c r="CQ21" s="108"/>
      <c r="CR21" s="108"/>
      <c r="CS21" s="108"/>
      <c r="CT21" s="108"/>
      <c r="CU21" s="108"/>
      <c r="CV21" s="108"/>
      <c r="CW21" s="108"/>
      <c r="CX21" s="108"/>
      <c r="CY21" s="108"/>
      <c r="CZ21" s="108"/>
      <c r="DA21" s="108"/>
      <c r="DB21" s="108"/>
      <c r="DC21" s="108"/>
      <c r="DD21" s="108"/>
      <c r="DE21" s="108"/>
      <c r="DF21" s="108"/>
      <c r="DG21" s="108"/>
      <c r="DH21" s="108"/>
      <c r="DI21" s="108"/>
      <c r="DJ21" s="108"/>
      <c r="DK21" s="108"/>
      <c r="DL21" s="82"/>
      <c r="DM21" s="82"/>
      <c r="DN21" s="82"/>
      <c r="DO21" s="82"/>
      <c r="DP21" s="82"/>
      <c r="DQ21" s="82"/>
      <c r="DR21" s="82"/>
      <c r="DS21" s="82"/>
      <c r="DT21" s="82"/>
      <c r="DU21" s="82"/>
      <c r="DV21" s="82"/>
      <c r="DW21" s="82"/>
      <c r="DX21" s="82"/>
      <c r="DY21" s="82"/>
      <c r="DZ21" s="82"/>
      <c r="EA21" s="82"/>
      <c r="EB21" s="82"/>
      <c r="EC21" s="82"/>
      <c r="ED21" s="82"/>
      <c r="EE21" s="82"/>
      <c r="EF21" s="82"/>
      <c r="EG21" s="82"/>
      <c r="EH21" s="82"/>
      <c r="EI21" s="82"/>
      <c r="EJ21" s="82"/>
      <c r="EK21" s="82"/>
      <c r="EL21" s="82"/>
      <c r="EM21" s="82"/>
      <c r="EN21" s="82"/>
      <c r="EO21" s="82"/>
      <c r="EP21" s="82"/>
      <c r="EQ21" s="82"/>
      <c r="ER21" s="82"/>
      <c r="ES21" s="82"/>
      <c r="ET21" s="82"/>
      <c r="EU21" s="82"/>
      <c r="EV21" s="82"/>
      <c r="EW21" s="82"/>
      <c r="EX21" s="82"/>
      <c r="EY21" s="82"/>
      <c r="EZ21" s="82"/>
      <c r="FA21" s="82"/>
      <c r="FB21" s="82"/>
      <c r="FC21" s="82"/>
      <c r="FD21" s="82"/>
      <c r="FE21" s="82"/>
      <c r="FF21" s="82"/>
      <c r="FG21" s="82"/>
      <c r="FH21" s="82"/>
      <c r="FI21" s="82"/>
      <c r="FJ21" s="82"/>
      <c r="FK21" s="82"/>
      <c r="FL21" s="82"/>
      <c r="FM21" s="82"/>
      <c r="FN21" s="82"/>
      <c r="FO21" s="82"/>
      <c r="FP21" s="82"/>
      <c r="FQ21" s="82"/>
      <c r="FR21" s="82"/>
      <c r="FS21" s="82"/>
      <c r="FT21" s="82"/>
      <c r="FU21" s="82"/>
      <c r="FV21" s="82"/>
      <c r="FW21" s="82"/>
      <c r="FX21" s="82"/>
      <c r="FY21" s="82"/>
      <c r="FZ21" s="82"/>
      <c r="GA21" s="82"/>
      <c r="GB21" s="82"/>
      <c r="GC21" s="82"/>
      <c r="GD21" s="82"/>
      <c r="GE21" s="82"/>
      <c r="GF21" s="82"/>
      <c r="GG21" s="82"/>
      <c r="GH21" s="82"/>
      <c r="GI21" s="82"/>
      <c r="GJ21" s="82"/>
      <c r="GK21" s="82"/>
      <c r="GL21" s="82"/>
      <c r="GM21" s="82"/>
      <c r="GN21" s="82"/>
      <c r="GO21" s="82"/>
      <c r="GP21" s="80"/>
      <c r="GQ21" s="80"/>
      <c r="GR21" s="80"/>
      <c r="GS21" s="80"/>
      <c r="GT21" s="80"/>
      <c r="GU21" s="80"/>
      <c r="GV21" s="80"/>
      <c r="GW21" s="80"/>
      <c r="GX21" s="80"/>
      <c r="GY21" s="80"/>
      <c r="GZ21" s="80"/>
      <c r="HA21" s="80"/>
      <c r="HB21" s="80"/>
      <c r="HC21" s="80"/>
      <c r="HD21" s="80"/>
      <c r="HE21" s="80"/>
      <c r="HF21" s="80"/>
      <c r="HG21" s="80"/>
      <c r="HH21" s="80"/>
      <c r="HI21" s="80"/>
      <c r="HJ21" s="80"/>
      <c r="HK21" s="80"/>
      <c r="HL21" s="80"/>
      <c r="HM21" s="80"/>
      <c r="HN21" s="80"/>
      <c r="HO21" s="80"/>
      <c r="HP21" s="80"/>
      <c r="HQ21" s="80"/>
      <c r="HR21" s="80"/>
      <c r="HS21" s="80"/>
      <c r="HT21" s="80"/>
      <c r="HU21" s="80"/>
      <c r="HV21" s="80"/>
      <c r="HW21" s="80"/>
      <c r="HX21" s="80"/>
      <c r="HY21" s="80"/>
      <c r="HZ21" s="80"/>
      <c r="IA21" s="80"/>
      <c r="IB21" s="80"/>
      <c r="IC21" s="80"/>
      <c r="ID21" s="80"/>
      <c r="IE21" s="80"/>
      <c r="IF21" s="80"/>
      <c r="IG21" s="80"/>
      <c r="IH21" s="80"/>
      <c r="II21" s="80"/>
      <c r="IJ21" s="80"/>
      <c r="IK21" s="80"/>
      <c r="IL21" s="80"/>
      <c r="IM21" s="80"/>
      <c r="IN21" s="80"/>
      <c r="IO21" s="80"/>
      <c r="IP21" s="80"/>
      <c r="IQ21" s="80"/>
      <c r="IR21" s="80"/>
      <c r="IS21" s="80"/>
      <c r="IT21" s="80"/>
      <c r="IU21" s="80"/>
      <c r="IV21" s="80"/>
      <c r="IW21" s="80"/>
      <c r="IX21" s="80"/>
      <c r="IY21" s="80"/>
      <c r="IZ21" s="80"/>
      <c r="JA21" s="80"/>
      <c r="JB21" s="80"/>
      <c r="JC21" s="80"/>
      <c r="JD21" s="80"/>
      <c r="JE21" s="80"/>
      <c r="JF21" s="80"/>
      <c r="JG21" s="80"/>
      <c r="JH21" s="80"/>
      <c r="JI21" s="80"/>
      <c r="JJ21" s="80"/>
      <c r="JK21" s="80"/>
      <c r="JL21" s="80"/>
      <c r="JM21" s="80"/>
      <c r="JN21" s="80"/>
      <c r="JO21" s="80"/>
      <c r="JP21" s="80"/>
      <c r="JQ21" s="80"/>
      <c r="JR21" s="80"/>
      <c r="JS21" s="80"/>
      <c r="JT21" s="80"/>
      <c r="JU21" s="80"/>
      <c r="JV21" s="80"/>
      <c r="JW21" s="80"/>
      <c r="JX21" s="80"/>
      <c r="JY21" s="80"/>
      <c r="JZ21" s="80"/>
      <c r="KA21" s="80"/>
      <c r="KB21" s="80"/>
      <c r="KC21" s="80"/>
      <c r="KD21" s="80"/>
    </row>
    <row r="22" spans="6:290" x14ac:dyDescent="0.35">
      <c r="F22" s="76" t="s">
        <v>578</v>
      </c>
      <c r="G22" s="77" t="s">
        <v>223</v>
      </c>
      <c r="H22" s="68">
        <v>45832</v>
      </c>
      <c r="I22" s="68">
        <v>45832</v>
      </c>
      <c r="J22" s="78">
        <v>0</v>
      </c>
      <c r="K22" s="68">
        <v>45832</v>
      </c>
      <c r="L22" s="68">
        <v>45832</v>
      </c>
      <c r="M22" s="78">
        <v>0</v>
      </c>
      <c r="N22" s="78">
        <v>0</v>
      </c>
      <c r="O22" s="79">
        <v>1</v>
      </c>
      <c r="P22" s="80"/>
      <c r="Q22" s="80"/>
      <c r="R22" s="80"/>
      <c r="S22" s="80"/>
      <c r="T22" s="80"/>
      <c r="U22" s="80"/>
      <c r="V22" s="80"/>
      <c r="W22" s="80"/>
      <c r="X22" s="80"/>
      <c r="Y22" s="80"/>
      <c r="Z22" s="80"/>
      <c r="AA22" s="80"/>
      <c r="AB22" s="80"/>
      <c r="AC22" s="80"/>
      <c r="AD22" s="80"/>
      <c r="AE22" s="80"/>
      <c r="AF22" s="80"/>
      <c r="AG22" s="80"/>
      <c r="AH22" s="80"/>
      <c r="AI22" s="80"/>
      <c r="AJ22" s="80"/>
      <c r="AK22" s="80"/>
      <c r="AL22" s="80"/>
      <c r="AM22" s="80"/>
      <c r="AN22" s="80"/>
      <c r="AO22" s="80"/>
      <c r="AP22" s="80"/>
      <c r="AQ22" s="80"/>
      <c r="AR22" s="80"/>
      <c r="AS22" s="80"/>
      <c r="AT22" s="80"/>
      <c r="AU22" s="80"/>
      <c r="AV22" s="80"/>
      <c r="AW22" s="80"/>
      <c r="AX22" s="80"/>
      <c r="AY22" s="80"/>
      <c r="AZ22" s="80"/>
      <c r="BA22" s="80"/>
      <c r="BB22" s="80"/>
      <c r="BC22" s="80"/>
      <c r="BD22" s="80"/>
      <c r="BE22" s="80"/>
      <c r="BF22" s="80"/>
      <c r="BG22" s="80"/>
      <c r="BH22" s="80"/>
      <c r="BI22" s="80"/>
      <c r="BJ22" s="80"/>
      <c r="BK22" s="80"/>
      <c r="BL22" s="80"/>
      <c r="BM22" s="80"/>
      <c r="BN22" s="80"/>
      <c r="BO22" s="80"/>
      <c r="BP22" s="80"/>
      <c r="BQ22" s="80"/>
      <c r="BR22" s="80"/>
      <c r="BS22" s="80"/>
      <c r="BT22" s="80"/>
      <c r="BU22" s="80"/>
      <c r="BV22" s="80"/>
      <c r="BW22" s="80"/>
      <c r="BX22" s="80"/>
      <c r="BY22" s="80"/>
      <c r="BZ22" s="80"/>
      <c r="CA22" s="80"/>
      <c r="CB22" s="80"/>
      <c r="CC22" s="80"/>
      <c r="CD22" s="80"/>
      <c r="CE22" s="80"/>
      <c r="CF22" s="80"/>
      <c r="CG22" s="80"/>
      <c r="CH22" s="80"/>
      <c r="CI22" s="80"/>
      <c r="CJ22" s="80"/>
      <c r="CK22" s="80"/>
      <c r="CL22" s="80"/>
      <c r="CM22" s="80"/>
      <c r="CN22" s="80"/>
      <c r="CO22" s="80"/>
      <c r="CP22" s="80"/>
      <c r="CQ22" s="80"/>
      <c r="CR22" s="80"/>
      <c r="CS22" s="80"/>
      <c r="CT22" s="80"/>
      <c r="CU22" s="80"/>
      <c r="CV22" s="83"/>
      <c r="CW22" s="80"/>
      <c r="CX22" s="80"/>
      <c r="CY22" s="80"/>
      <c r="CZ22" s="80"/>
      <c r="DA22" s="80"/>
      <c r="DB22" s="80"/>
      <c r="DC22" s="80"/>
      <c r="DD22" s="80"/>
      <c r="DE22" s="80"/>
      <c r="DF22" s="80"/>
      <c r="DG22" s="80"/>
      <c r="DH22" s="80"/>
      <c r="DI22" s="80"/>
      <c r="DJ22" s="80"/>
      <c r="DK22" s="80"/>
      <c r="DL22" s="80"/>
      <c r="DM22" s="80"/>
      <c r="DN22" s="80"/>
      <c r="DO22" s="80"/>
      <c r="DP22" s="80"/>
      <c r="DQ22" s="80"/>
      <c r="DR22" s="80"/>
      <c r="DS22" s="80"/>
      <c r="DT22" s="80"/>
      <c r="DU22" s="80"/>
      <c r="DV22" s="80"/>
      <c r="DW22" s="80"/>
      <c r="DX22" s="80"/>
      <c r="DY22" s="80"/>
      <c r="DZ22" s="80"/>
      <c r="EA22" s="80"/>
      <c r="EB22" s="80"/>
      <c r="EC22" s="80"/>
      <c r="ED22" s="80"/>
      <c r="EE22" s="80"/>
      <c r="EF22" s="80"/>
      <c r="EG22" s="80"/>
      <c r="EH22" s="80"/>
      <c r="EI22" s="80"/>
      <c r="EJ22" s="80"/>
      <c r="EK22" s="80"/>
      <c r="EL22" s="80"/>
      <c r="EM22" s="80"/>
      <c r="EN22" s="80"/>
      <c r="EO22" s="80"/>
      <c r="EP22" s="80"/>
      <c r="EQ22" s="80"/>
      <c r="ER22" s="80"/>
      <c r="ES22" s="80"/>
      <c r="ET22" s="80"/>
      <c r="EU22" s="80"/>
      <c r="EV22" s="80"/>
      <c r="EW22" s="80"/>
      <c r="EX22" s="80"/>
      <c r="EY22" s="80"/>
      <c r="EZ22" s="80"/>
      <c r="FA22" s="80"/>
      <c r="FB22" s="80"/>
      <c r="FC22" s="80"/>
      <c r="FD22" s="80"/>
      <c r="FE22" s="80"/>
      <c r="FF22" s="80"/>
      <c r="FG22" s="80"/>
      <c r="FH22" s="80"/>
      <c r="FI22" s="80"/>
      <c r="FJ22" s="80"/>
      <c r="FK22" s="80"/>
      <c r="FL22" s="80"/>
      <c r="FM22" s="80"/>
      <c r="FN22" s="80"/>
      <c r="FO22" s="80"/>
      <c r="FP22" s="80"/>
      <c r="FQ22" s="80"/>
      <c r="FR22" s="80"/>
      <c r="FS22" s="80"/>
      <c r="FT22" s="80"/>
      <c r="FU22" s="80"/>
      <c r="FV22" s="80"/>
      <c r="FW22" s="80"/>
      <c r="FX22" s="80"/>
      <c r="FY22" s="80"/>
      <c r="FZ22" s="80"/>
      <c r="GA22" s="80"/>
      <c r="GB22" s="80"/>
      <c r="GC22" s="80"/>
      <c r="GD22" s="80"/>
      <c r="GE22" s="80"/>
      <c r="GF22" s="80"/>
      <c r="GG22" s="80"/>
      <c r="GH22" s="80"/>
      <c r="GI22" s="80"/>
      <c r="GJ22" s="80"/>
      <c r="GK22" s="80"/>
      <c r="GL22" s="80"/>
      <c r="GM22" s="80"/>
      <c r="GN22" s="80"/>
      <c r="GO22" s="80"/>
      <c r="GP22" s="80"/>
      <c r="GQ22" s="80"/>
      <c r="GR22" s="80"/>
      <c r="GS22" s="80"/>
      <c r="GT22" s="80"/>
      <c r="GU22" s="80"/>
      <c r="GV22" s="80"/>
      <c r="GW22" s="80"/>
      <c r="GX22" s="80"/>
      <c r="GY22" s="80"/>
      <c r="GZ22" s="80"/>
      <c r="HA22" s="80"/>
      <c r="HB22" s="80"/>
      <c r="HC22" s="80"/>
      <c r="HD22" s="80"/>
      <c r="HE22" s="80"/>
      <c r="HF22" s="80"/>
      <c r="HG22" s="80"/>
      <c r="HH22" s="80"/>
      <c r="HI22" s="80"/>
      <c r="HJ22" s="80"/>
      <c r="HK22" s="80"/>
      <c r="HL22" s="80"/>
      <c r="HM22" s="80"/>
      <c r="HN22" s="80"/>
      <c r="HO22" s="80"/>
      <c r="HP22" s="80"/>
      <c r="HQ22" s="80"/>
      <c r="HR22" s="80"/>
      <c r="HS22" s="80"/>
      <c r="HT22" s="80"/>
      <c r="HU22" s="80"/>
      <c r="HV22" s="80"/>
      <c r="HW22" s="80"/>
      <c r="HX22" s="80"/>
      <c r="HY22" s="80"/>
      <c r="HZ22" s="80"/>
      <c r="IA22" s="80"/>
      <c r="IB22" s="80"/>
      <c r="IC22" s="80"/>
      <c r="ID22" s="80"/>
      <c r="IE22" s="80"/>
      <c r="IF22" s="80"/>
      <c r="IG22" s="80"/>
      <c r="IH22" s="80"/>
      <c r="II22" s="80"/>
      <c r="IJ22" s="80"/>
      <c r="IK22" s="80"/>
      <c r="IL22" s="80"/>
      <c r="IM22" s="80"/>
      <c r="IN22" s="80"/>
      <c r="IO22" s="80"/>
      <c r="IP22" s="80"/>
      <c r="IQ22" s="80"/>
      <c r="IR22" s="80"/>
      <c r="IS22" s="80"/>
      <c r="IT22" s="80"/>
      <c r="IU22" s="80"/>
      <c r="IV22" s="80"/>
      <c r="IW22" s="80"/>
      <c r="IX22" s="80"/>
      <c r="IY22" s="80"/>
      <c r="IZ22" s="80"/>
      <c r="JA22" s="80"/>
      <c r="JB22" s="80"/>
      <c r="JC22" s="80"/>
      <c r="JD22" s="80"/>
      <c r="JE22" s="80"/>
      <c r="JF22" s="80"/>
      <c r="JG22" s="80"/>
      <c r="JH22" s="80"/>
      <c r="JI22" s="80"/>
      <c r="JJ22" s="80"/>
      <c r="JK22" s="80"/>
      <c r="JL22" s="80"/>
      <c r="JM22" s="80"/>
      <c r="JN22" s="80"/>
      <c r="JO22" s="80"/>
      <c r="JP22" s="80"/>
      <c r="JQ22" s="80"/>
      <c r="JR22" s="80"/>
      <c r="JS22" s="80"/>
      <c r="JT22" s="80"/>
      <c r="JU22" s="80"/>
      <c r="JV22" s="80"/>
      <c r="JW22" s="80"/>
      <c r="JX22" s="80"/>
      <c r="JY22" s="80"/>
      <c r="JZ22" s="80"/>
      <c r="KA22" s="80"/>
      <c r="KB22" s="80"/>
      <c r="KC22" s="80"/>
      <c r="KD22" s="80"/>
    </row>
    <row r="23" spans="6:290" x14ac:dyDescent="0.35">
      <c r="F23" s="76" t="s">
        <v>579</v>
      </c>
      <c r="G23" s="77" t="s">
        <v>104</v>
      </c>
      <c r="H23" s="68">
        <v>45832</v>
      </c>
      <c r="I23" s="68">
        <v>45917</v>
      </c>
      <c r="J23" s="78">
        <v>85</v>
      </c>
      <c r="K23" s="68">
        <v>45832</v>
      </c>
      <c r="L23" s="68">
        <v>45917</v>
      </c>
      <c r="M23" s="78">
        <v>85</v>
      </c>
      <c r="N23" s="78">
        <v>0</v>
      </c>
      <c r="O23" s="79">
        <v>0.75</v>
      </c>
      <c r="P23" s="80"/>
      <c r="Q23" s="80"/>
      <c r="R23" s="80"/>
      <c r="S23" s="80"/>
      <c r="T23" s="80"/>
      <c r="U23" s="80"/>
      <c r="V23" s="80"/>
      <c r="W23" s="80"/>
      <c r="X23" s="80"/>
      <c r="Y23" s="80"/>
      <c r="Z23" s="80"/>
      <c r="AA23" s="80"/>
      <c r="AB23" s="80"/>
      <c r="AC23" s="80"/>
      <c r="AD23" s="80"/>
      <c r="AE23" s="80"/>
      <c r="AF23" s="80"/>
      <c r="AG23" s="80"/>
      <c r="AH23" s="80"/>
      <c r="AI23" s="80"/>
      <c r="AJ23" s="80"/>
      <c r="AK23" s="80"/>
      <c r="AL23" s="80"/>
      <c r="AM23" s="80"/>
      <c r="AN23" s="80"/>
      <c r="AO23" s="80"/>
      <c r="AP23" s="80"/>
      <c r="AQ23" s="80"/>
      <c r="AR23" s="80"/>
      <c r="AS23" s="80"/>
      <c r="AT23" s="80"/>
      <c r="AU23" s="80"/>
      <c r="AV23" s="80"/>
      <c r="AW23" s="80"/>
      <c r="AX23" s="80"/>
      <c r="AY23" s="80"/>
      <c r="AZ23" s="80"/>
      <c r="BA23" s="80"/>
      <c r="BB23" s="80"/>
      <c r="BC23" s="80"/>
      <c r="BD23" s="80"/>
      <c r="BE23" s="80"/>
      <c r="BF23" s="80"/>
      <c r="BG23" s="80"/>
      <c r="BH23" s="80"/>
      <c r="BI23" s="80"/>
      <c r="BJ23" s="80"/>
      <c r="BK23" s="80"/>
      <c r="BL23" s="80"/>
      <c r="BM23" s="80"/>
      <c r="BN23" s="80"/>
      <c r="BO23" s="80"/>
      <c r="BP23" s="80"/>
      <c r="BQ23" s="80"/>
      <c r="BR23" s="80"/>
      <c r="BS23" s="80"/>
      <c r="BT23" s="80"/>
      <c r="BU23" s="80"/>
      <c r="BV23" s="80"/>
      <c r="BW23" s="80"/>
      <c r="BX23" s="80"/>
      <c r="BY23" s="80"/>
      <c r="BZ23" s="80"/>
      <c r="CA23" s="80"/>
      <c r="CB23" s="80"/>
      <c r="CC23" s="80"/>
      <c r="CD23" s="80"/>
      <c r="CE23" s="80"/>
      <c r="CF23" s="80"/>
      <c r="CG23" s="80"/>
      <c r="CH23" s="80"/>
      <c r="CI23" s="80"/>
      <c r="CJ23" s="80"/>
      <c r="CK23" s="80"/>
      <c r="CL23" s="80"/>
      <c r="CM23" s="80"/>
      <c r="CN23" s="80"/>
      <c r="CO23" s="80"/>
      <c r="CP23" s="80"/>
      <c r="CQ23" s="80"/>
      <c r="CR23" s="80"/>
      <c r="CS23" s="80"/>
      <c r="CT23" s="80"/>
      <c r="CU23" s="80"/>
      <c r="CV23" s="84"/>
      <c r="CW23" s="84"/>
      <c r="CX23" s="84"/>
      <c r="CY23" s="84"/>
      <c r="CZ23" s="84"/>
      <c r="DA23" s="84"/>
      <c r="DB23" s="84"/>
      <c r="DC23" s="84"/>
      <c r="DD23" s="84"/>
      <c r="DE23" s="84"/>
      <c r="DF23" s="84"/>
      <c r="DG23" s="84"/>
      <c r="DH23" s="84"/>
      <c r="DI23" s="84"/>
      <c r="DJ23" s="84"/>
      <c r="DK23" s="84"/>
      <c r="DL23" s="84"/>
      <c r="DM23" s="84"/>
      <c r="DN23" s="84"/>
      <c r="DO23" s="84"/>
      <c r="DP23" s="84"/>
      <c r="DQ23" s="84"/>
      <c r="DR23" s="84"/>
      <c r="DS23" s="84"/>
      <c r="DT23" s="84"/>
      <c r="DU23" s="84"/>
      <c r="DV23" s="84"/>
      <c r="DW23" s="84"/>
      <c r="DX23" s="84"/>
      <c r="DY23" s="84"/>
      <c r="DZ23" s="84"/>
      <c r="EA23" s="84"/>
      <c r="EB23" s="84"/>
      <c r="EC23" s="84"/>
      <c r="ED23" s="84"/>
      <c r="EE23" s="84"/>
      <c r="EF23" s="84"/>
      <c r="EG23" s="84"/>
      <c r="EH23" s="84"/>
      <c r="EI23" s="84"/>
      <c r="EJ23" s="84"/>
      <c r="EK23" s="84"/>
      <c r="EL23" s="84"/>
      <c r="EM23" s="84"/>
      <c r="EN23" s="84"/>
      <c r="EO23" s="84"/>
      <c r="EP23" s="84"/>
      <c r="EQ23" s="84"/>
      <c r="ER23" s="84"/>
      <c r="ES23" s="84"/>
      <c r="ET23" s="84"/>
      <c r="EU23" s="84"/>
      <c r="EV23" s="84"/>
      <c r="EW23" s="84"/>
      <c r="EX23" s="84"/>
      <c r="EY23" s="84"/>
      <c r="EZ23" s="84"/>
      <c r="FA23" s="84"/>
      <c r="FB23" s="84"/>
      <c r="FC23" s="84"/>
      <c r="FD23" s="84"/>
      <c r="FE23" s="84"/>
      <c r="FF23" s="84"/>
      <c r="FG23" s="84"/>
      <c r="FH23" s="84"/>
      <c r="FI23" s="84"/>
      <c r="FJ23" s="84"/>
      <c r="FK23" s="84"/>
      <c r="FL23" s="84"/>
      <c r="FM23" s="84"/>
      <c r="FN23" s="84"/>
      <c r="FO23" s="84"/>
      <c r="FP23" s="84"/>
      <c r="FQ23" s="84"/>
      <c r="FR23" s="84"/>
      <c r="FS23" s="84"/>
      <c r="FT23" s="84"/>
      <c r="FU23" s="84"/>
      <c r="FV23" s="84"/>
      <c r="FW23" s="84"/>
      <c r="FX23" s="84"/>
      <c r="FY23" s="84"/>
      <c r="FZ23" s="84"/>
      <c r="GA23" s="84"/>
      <c r="GB23" s="84"/>
      <c r="GC23" s="84"/>
      <c r="GD23" s="80"/>
      <c r="GE23" s="80"/>
      <c r="GF23" s="80"/>
      <c r="GG23" s="80"/>
      <c r="GH23" s="80"/>
      <c r="GI23" s="80"/>
      <c r="GJ23" s="80"/>
      <c r="GK23" s="80"/>
      <c r="GL23" s="80"/>
      <c r="GM23" s="80"/>
      <c r="GN23" s="80"/>
      <c r="GO23" s="80"/>
      <c r="GP23" s="80"/>
      <c r="GQ23" s="80"/>
      <c r="GR23" s="80"/>
      <c r="GS23" s="80"/>
      <c r="GT23" s="80"/>
      <c r="GU23" s="80"/>
      <c r="GV23" s="80"/>
      <c r="GW23" s="80"/>
      <c r="GX23" s="80"/>
      <c r="GY23" s="80"/>
      <c r="GZ23" s="80"/>
      <c r="HA23" s="80"/>
      <c r="HB23" s="80"/>
      <c r="HC23" s="80"/>
      <c r="HD23" s="80"/>
      <c r="HE23" s="80"/>
      <c r="HF23" s="80"/>
      <c r="HG23" s="80"/>
      <c r="HH23" s="80"/>
      <c r="HI23" s="80"/>
      <c r="HJ23" s="80"/>
      <c r="HK23" s="80"/>
      <c r="HL23" s="80"/>
      <c r="HM23" s="80"/>
      <c r="HN23" s="80"/>
      <c r="HO23" s="80"/>
      <c r="HP23" s="80"/>
      <c r="HQ23" s="80"/>
      <c r="HR23" s="80"/>
      <c r="HS23" s="80"/>
      <c r="HT23" s="80"/>
      <c r="HU23" s="80"/>
      <c r="HV23" s="80"/>
      <c r="HW23" s="80"/>
      <c r="HX23" s="80"/>
      <c r="HY23" s="80"/>
      <c r="HZ23" s="80"/>
      <c r="IA23" s="80"/>
      <c r="IB23" s="80"/>
      <c r="IC23" s="80"/>
      <c r="ID23" s="80"/>
      <c r="IE23" s="80"/>
      <c r="IF23" s="80"/>
      <c r="IG23" s="80"/>
      <c r="IH23" s="80"/>
      <c r="II23" s="80"/>
      <c r="IJ23" s="80"/>
      <c r="IK23" s="80"/>
      <c r="IL23" s="80"/>
      <c r="IM23" s="80"/>
      <c r="IN23" s="80"/>
      <c r="IO23" s="80"/>
      <c r="IP23" s="80"/>
      <c r="IQ23" s="80"/>
      <c r="IR23" s="80"/>
      <c r="IS23" s="80"/>
      <c r="IT23" s="80"/>
      <c r="IU23" s="80"/>
      <c r="IV23" s="80"/>
      <c r="IW23" s="80"/>
      <c r="IX23" s="80"/>
      <c r="IY23" s="80"/>
      <c r="IZ23" s="80"/>
      <c r="JA23" s="80"/>
      <c r="JB23" s="80"/>
      <c r="JC23" s="80"/>
      <c r="JD23" s="80"/>
      <c r="JE23" s="80"/>
      <c r="JF23" s="80"/>
      <c r="JG23" s="80"/>
      <c r="JH23" s="80"/>
      <c r="JI23" s="80"/>
      <c r="JJ23" s="80"/>
      <c r="JK23" s="80"/>
      <c r="JL23" s="80"/>
      <c r="JM23" s="80"/>
      <c r="JN23" s="80"/>
      <c r="JO23" s="80"/>
      <c r="JP23" s="80"/>
      <c r="JQ23" s="80"/>
      <c r="JR23" s="80"/>
      <c r="JS23" s="80"/>
      <c r="JT23" s="80"/>
      <c r="JU23" s="80"/>
      <c r="JV23" s="80"/>
      <c r="JW23" s="80"/>
      <c r="JX23" s="80"/>
      <c r="JY23" s="80"/>
      <c r="JZ23" s="80"/>
      <c r="KA23" s="80"/>
      <c r="KB23" s="80"/>
      <c r="KC23" s="80"/>
      <c r="KD23" s="80"/>
    </row>
    <row r="24" spans="6:290" x14ac:dyDescent="0.35">
      <c r="F24" s="76" t="s">
        <v>580</v>
      </c>
      <c r="G24" s="77" t="s">
        <v>104</v>
      </c>
      <c r="H24" s="68">
        <v>45832</v>
      </c>
      <c r="I24" s="68">
        <v>45832</v>
      </c>
      <c r="J24" s="78">
        <v>0</v>
      </c>
      <c r="K24" s="68">
        <v>45832</v>
      </c>
      <c r="L24" s="68">
        <v>45832</v>
      </c>
      <c r="M24" s="78">
        <v>0</v>
      </c>
      <c r="N24" s="78">
        <v>0</v>
      </c>
      <c r="O24" s="79">
        <v>1</v>
      </c>
      <c r="P24" s="80"/>
      <c r="Q24" s="80"/>
      <c r="R24" s="80"/>
      <c r="S24" s="80"/>
      <c r="T24" s="80"/>
      <c r="U24" s="80"/>
      <c r="V24" s="80"/>
      <c r="W24" s="80"/>
      <c r="X24" s="80"/>
      <c r="Y24" s="80"/>
      <c r="Z24" s="80"/>
      <c r="AA24" s="80"/>
      <c r="AB24" s="80"/>
      <c r="AC24" s="80"/>
      <c r="AD24" s="80"/>
      <c r="AE24" s="80"/>
      <c r="AF24" s="80"/>
      <c r="AG24" s="80"/>
      <c r="AH24" s="80"/>
      <c r="AI24" s="80"/>
      <c r="AJ24" s="80"/>
      <c r="AK24" s="80"/>
      <c r="AL24" s="80"/>
      <c r="AM24" s="80"/>
      <c r="AN24" s="80"/>
      <c r="AO24" s="80"/>
      <c r="AP24" s="80"/>
      <c r="AQ24" s="80"/>
      <c r="AR24" s="80"/>
      <c r="AS24" s="80"/>
      <c r="AT24" s="80"/>
      <c r="AU24" s="80"/>
      <c r="AV24" s="80"/>
      <c r="AW24" s="80"/>
      <c r="AX24" s="80"/>
      <c r="AY24" s="80"/>
      <c r="AZ24" s="80"/>
      <c r="BA24" s="80"/>
      <c r="BB24" s="80"/>
      <c r="BC24" s="80"/>
      <c r="BD24" s="80"/>
      <c r="BE24" s="80"/>
      <c r="BF24" s="80"/>
      <c r="BG24" s="80"/>
      <c r="BH24" s="80"/>
      <c r="BI24" s="80"/>
      <c r="BJ24" s="80"/>
      <c r="BK24" s="80"/>
      <c r="BL24" s="80"/>
      <c r="BM24" s="80"/>
      <c r="BN24" s="80"/>
      <c r="BO24" s="80"/>
      <c r="BP24" s="80"/>
      <c r="BQ24" s="80"/>
      <c r="BR24" s="80"/>
      <c r="BS24" s="80"/>
      <c r="BT24" s="80"/>
      <c r="BU24" s="80"/>
      <c r="BV24" s="80"/>
      <c r="BW24" s="80"/>
      <c r="BX24" s="80"/>
      <c r="BY24" s="80"/>
      <c r="BZ24" s="80"/>
      <c r="CA24" s="80"/>
      <c r="CB24" s="80"/>
      <c r="CC24" s="80"/>
      <c r="CD24" s="80"/>
      <c r="CE24" s="80"/>
      <c r="CF24" s="80"/>
      <c r="CG24" s="80"/>
      <c r="CH24" s="80"/>
      <c r="CI24" s="80"/>
      <c r="CJ24" s="80"/>
      <c r="CK24" s="80"/>
      <c r="CL24" s="80"/>
      <c r="CM24" s="80"/>
      <c r="CN24" s="80"/>
      <c r="CO24" s="80"/>
      <c r="CP24" s="80"/>
      <c r="CQ24" s="80"/>
      <c r="CR24" s="80"/>
      <c r="CS24" s="80"/>
      <c r="CT24" s="80"/>
      <c r="CU24" s="80"/>
      <c r="CV24" s="84"/>
      <c r="CW24" s="80"/>
      <c r="CX24" s="80"/>
      <c r="CY24" s="80"/>
      <c r="CZ24" s="80"/>
      <c r="DA24" s="80"/>
      <c r="DB24" s="80"/>
      <c r="DC24" s="80"/>
      <c r="DD24" s="80"/>
      <c r="DE24" s="80"/>
      <c r="DF24" s="80"/>
      <c r="DG24" s="80"/>
      <c r="DH24" s="80"/>
      <c r="DI24" s="80"/>
      <c r="DJ24" s="80"/>
      <c r="DK24" s="80"/>
      <c r="DL24" s="80"/>
      <c r="DM24" s="80"/>
      <c r="DN24" s="80"/>
      <c r="DO24" s="80"/>
      <c r="DP24" s="80"/>
      <c r="DQ24" s="80"/>
      <c r="DR24" s="80"/>
      <c r="DS24" s="80"/>
      <c r="DT24" s="80"/>
      <c r="DU24" s="80"/>
      <c r="DV24" s="80"/>
      <c r="DW24" s="80"/>
      <c r="DX24" s="80"/>
      <c r="DY24" s="80"/>
      <c r="DZ24" s="80"/>
      <c r="EA24" s="80"/>
      <c r="EB24" s="80"/>
      <c r="EC24" s="80"/>
      <c r="ED24" s="80"/>
      <c r="EE24" s="80"/>
      <c r="EF24" s="80"/>
      <c r="EG24" s="80"/>
      <c r="EH24" s="80"/>
      <c r="EI24" s="80"/>
      <c r="EJ24" s="80"/>
      <c r="EK24" s="80"/>
      <c r="EL24" s="80"/>
      <c r="EM24" s="80"/>
      <c r="EN24" s="80"/>
      <c r="EO24" s="80"/>
      <c r="EP24" s="80"/>
      <c r="EQ24" s="80"/>
      <c r="ER24" s="80"/>
      <c r="ES24" s="80"/>
      <c r="ET24" s="80"/>
      <c r="EU24" s="80"/>
      <c r="EV24" s="80"/>
      <c r="EW24" s="80"/>
      <c r="EX24" s="80"/>
      <c r="EY24" s="80"/>
      <c r="EZ24" s="80"/>
      <c r="FA24" s="80"/>
      <c r="FB24" s="80"/>
      <c r="FC24" s="80"/>
      <c r="FD24" s="80"/>
      <c r="FE24" s="80"/>
      <c r="FF24" s="80"/>
      <c r="FG24" s="80"/>
      <c r="FH24" s="80"/>
      <c r="FI24" s="80"/>
      <c r="FJ24" s="80"/>
      <c r="FK24" s="80"/>
      <c r="FL24" s="80"/>
      <c r="FM24" s="80"/>
      <c r="FN24" s="80"/>
      <c r="FO24" s="80"/>
      <c r="FP24" s="80"/>
      <c r="FQ24" s="80"/>
      <c r="FR24" s="80"/>
      <c r="FS24" s="80"/>
      <c r="FT24" s="80"/>
      <c r="FU24" s="80"/>
      <c r="FV24" s="80"/>
      <c r="FW24" s="80"/>
      <c r="FX24" s="80"/>
      <c r="FY24" s="80"/>
      <c r="FZ24" s="80"/>
      <c r="GA24" s="80"/>
      <c r="GB24" s="80"/>
      <c r="GC24" s="80"/>
      <c r="GD24" s="80"/>
      <c r="GE24" s="80"/>
      <c r="GF24" s="80"/>
      <c r="GG24" s="80"/>
      <c r="GH24" s="80"/>
      <c r="GI24" s="80"/>
      <c r="GJ24" s="80"/>
      <c r="GK24" s="80"/>
      <c r="GL24" s="80"/>
      <c r="GM24" s="80"/>
      <c r="GN24" s="80"/>
      <c r="GO24" s="80"/>
      <c r="GP24" s="80"/>
      <c r="GQ24" s="80"/>
      <c r="GR24" s="80"/>
      <c r="GS24" s="80"/>
      <c r="GT24" s="80"/>
      <c r="GU24" s="80"/>
      <c r="GV24" s="80"/>
      <c r="GW24" s="80"/>
      <c r="GX24" s="80"/>
      <c r="GY24" s="80"/>
      <c r="GZ24" s="80"/>
      <c r="HA24" s="80"/>
      <c r="HB24" s="80"/>
      <c r="HC24" s="80"/>
      <c r="HD24" s="80"/>
      <c r="HE24" s="80"/>
      <c r="HF24" s="80"/>
      <c r="HG24" s="80"/>
      <c r="HH24" s="80"/>
      <c r="HI24" s="80"/>
      <c r="HJ24" s="80"/>
      <c r="HK24" s="80"/>
      <c r="HL24" s="80"/>
      <c r="HM24" s="80"/>
      <c r="HN24" s="80"/>
      <c r="HO24" s="80"/>
      <c r="HP24" s="80"/>
      <c r="HQ24" s="80"/>
      <c r="HR24" s="80"/>
      <c r="HS24" s="80"/>
      <c r="HT24" s="80"/>
      <c r="HU24" s="80"/>
      <c r="HV24" s="80"/>
      <c r="HW24" s="80"/>
      <c r="HX24" s="80"/>
      <c r="HY24" s="80"/>
      <c r="HZ24" s="80"/>
      <c r="IA24" s="80"/>
      <c r="IB24" s="80"/>
      <c r="IC24" s="80"/>
      <c r="ID24" s="80"/>
      <c r="IE24" s="80"/>
      <c r="IF24" s="80"/>
      <c r="IG24" s="80"/>
      <c r="IH24" s="80"/>
      <c r="II24" s="80"/>
      <c r="IJ24" s="80"/>
      <c r="IK24" s="80"/>
      <c r="IL24" s="80"/>
      <c r="IM24" s="80"/>
      <c r="IN24" s="80"/>
      <c r="IO24" s="80"/>
      <c r="IP24" s="80"/>
      <c r="IQ24" s="80"/>
      <c r="IR24" s="80"/>
      <c r="IS24" s="80"/>
      <c r="IT24" s="80"/>
      <c r="IU24" s="80"/>
      <c r="IV24" s="80"/>
      <c r="IW24" s="80"/>
      <c r="IX24" s="80"/>
      <c r="IY24" s="80"/>
      <c r="IZ24" s="80"/>
      <c r="JA24" s="80"/>
      <c r="JB24" s="80"/>
      <c r="JC24" s="80"/>
      <c r="JD24" s="80"/>
      <c r="JE24" s="80"/>
      <c r="JF24" s="80"/>
      <c r="JG24" s="80"/>
      <c r="JH24" s="80"/>
      <c r="JI24" s="80"/>
      <c r="JJ24" s="80"/>
      <c r="JK24" s="80"/>
      <c r="JL24" s="80"/>
      <c r="JM24" s="80"/>
      <c r="JN24" s="80"/>
      <c r="JO24" s="80"/>
      <c r="JP24" s="80"/>
      <c r="JQ24" s="80"/>
      <c r="JR24" s="80"/>
      <c r="JS24" s="80"/>
      <c r="JT24" s="80"/>
      <c r="JU24" s="80"/>
      <c r="JV24" s="80"/>
      <c r="JW24" s="80"/>
      <c r="JX24" s="80"/>
      <c r="JY24" s="80"/>
      <c r="JZ24" s="80"/>
      <c r="KA24" s="80"/>
      <c r="KB24" s="80"/>
      <c r="KC24" s="80"/>
      <c r="KD24" s="80"/>
    </row>
    <row r="25" spans="6:290" x14ac:dyDescent="0.35">
      <c r="F25" s="76" t="s">
        <v>581</v>
      </c>
      <c r="G25" s="77" t="s">
        <v>223</v>
      </c>
      <c r="H25" s="68">
        <v>45836</v>
      </c>
      <c r="I25" s="68">
        <v>45847</v>
      </c>
      <c r="J25" s="78">
        <v>11</v>
      </c>
      <c r="K25" s="68">
        <v>45836</v>
      </c>
      <c r="L25" s="68">
        <v>45847</v>
      </c>
      <c r="M25" s="78">
        <v>11</v>
      </c>
      <c r="N25" s="78">
        <v>0</v>
      </c>
      <c r="O25" s="79">
        <v>1</v>
      </c>
      <c r="P25" s="80"/>
      <c r="Q25" s="80"/>
      <c r="R25" s="80"/>
      <c r="S25" s="80"/>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3"/>
      <c r="DA25" s="83"/>
      <c r="DB25" s="83"/>
      <c r="DC25" s="83"/>
      <c r="DD25" s="83"/>
      <c r="DE25" s="83"/>
      <c r="DF25" s="83"/>
      <c r="DG25" s="83"/>
      <c r="DH25" s="83"/>
      <c r="DI25" s="83"/>
      <c r="DJ25" s="83"/>
      <c r="DK25" s="83"/>
      <c r="DL25" s="80"/>
      <c r="DM25" s="80"/>
      <c r="DN25" s="80"/>
      <c r="DO25" s="80"/>
      <c r="DP25" s="80"/>
      <c r="DQ25" s="80"/>
      <c r="DR25" s="80"/>
      <c r="DS25" s="80"/>
      <c r="DT25" s="80"/>
      <c r="DU25" s="80"/>
      <c r="DV25" s="80"/>
      <c r="DW25" s="80"/>
      <c r="DX25" s="80"/>
      <c r="DY25" s="80"/>
      <c r="DZ25" s="80"/>
      <c r="EA25" s="80"/>
      <c r="EB25" s="80"/>
      <c r="EC25" s="80"/>
      <c r="ED25" s="80"/>
      <c r="EE25" s="80"/>
      <c r="EF25" s="80"/>
      <c r="EG25" s="80"/>
      <c r="EH25" s="80"/>
      <c r="EI25" s="80"/>
      <c r="EJ25" s="80"/>
      <c r="EK25" s="80"/>
      <c r="EL25" s="80"/>
      <c r="EM25" s="80"/>
      <c r="EN25" s="80"/>
      <c r="EO25" s="80"/>
      <c r="EP25" s="80"/>
      <c r="EQ25" s="80"/>
      <c r="ER25" s="80"/>
      <c r="ES25" s="80"/>
      <c r="ET25" s="80"/>
      <c r="EU25" s="80"/>
      <c r="EV25" s="80"/>
      <c r="EW25" s="80"/>
      <c r="EX25" s="80"/>
      <c r="EY25" s="80"/>
      <c r="EZ25" s="80"/>
      <c r="FA25" s="80"/>
      <c r="FB25" s="80"/>
      <c r="FC25" s="80"/>
      <c r="FD25" s="80"/>
      <c r="FE25" s="80"/>
      <c r="FF25" s="80"/>
      <c r="FG25" s="80"/>
      <c r="FH25" s="80"/>
      <c r="FI25" s="80"/>
      <c r="FJ25" s="80"/>
      <c r="FK25" s="80"/>
      <c r="FL25" s="80"/>
      <c r="FM25" s="80"/>
      <c r="FN25" s="80"/>
      <c r="FO25" s="80"/>
      <c r="FP25" s="80"/>
      <c r="FQ25" s="80"/>
      <c r="FR25" s="80"/>
      <c r="FS25" s="80"/>
      <c r="FT25" s="80"/>
      <c r="FU25" s="80"/>
      <c r="FV25" s="80"/>
      <c r="FW25" s="80"/>
      <c r="FX25" s="80"/>
      <c r="FY25" s="80"/>
      <c r="FZ25" s="80"/>
      <c r="GA25" s="80"/>
      <c r="GB25" s="80"/>
      <c r="GC25" s="80"/>
      <c r="GD25" s="80"/>
      <c r="GE25" s="80"/>
      <c r="GF25" s="80"/>
      <c r="GG25" s="80"/>
      <c r="GH25" s="80"/>
      <c r="GI25" s="80"/>
      <c r="GJ25" s="80"/>
      <c r="GK25" s="80"/>
      <c r="GL25" s="80"/>
      <c r="GM25" s="80"/>
      <c r="GN25" s="80"/>
      <c r="GO25" s="80"/>
      <c r="GP25" s="80"/>
      <c r="GQ25" s="80"/>
      <c r="GR25" s="80"/>
      <c r="GS25" s="80"/>
      <c r="GT25" s="80"/>
      <c r="GU25" s="80"/>
      <c r="GV25" s="80"/>
      <c r="GW25" s="80"/>
      <c r="GX25" s="80"/>
      <c r="GY25" s="80"/>
      <c r="GZ25" s="80"/>
      <c r="HA25" s="80"/>
      <c r="HB25" s="80"/>
      <c r="HC25" s="80"/>
      <c r="HD25" s="80"/>
      <c r="HE25" s="80"/>
      <c r="HF25" s="80"/>
      <c r="HG25" s="80"/>
      <c r="HH25" s="80"/>
      <c r="HI25" s="80"/>
      <c r="HJ25" s="80"/>
      <c r="HK25" s="80"/>
      <c r="HL25" s="80"/>
      <c r="HM25" s="80"/>
      <c r="HN25" s="80"/>
      <c r="HO25" s="80"/>
      <c r="HP25" s="80"/>
      <c r="HQ25" s="80"/>
      <c r="HR25" s="80"/>
      <c r="HS25" s="80"/>
      <c r="HT25" s="80"/>
      <c r="HU25" s="80"/>
      <c r="HV25" s="80"/>
      <c r="HW25" s="80"/>
      <c r="HX25" s="80"/>
      <c r="HY25" s="80"/>
      <c r="HZ25" s="80"/>
      <c r="IA25" s="80"/>
      <c r="IB25" s="80"/>
      <c r="IC25" s="80"/>
      <c r="ID25" s="80"/>
      <c r="IE25" s="80"/>
      <c r="IF25" s="80"/>
      <c r="IG25" s="80"/>
      <c r="IH25" s="80"/>
      <c r="II25" s="80"/>
      <c r="IJ25" s="80"/>
      <c r="IK25" s="80"/>
      <c r="IL25" s="80"/>
      <c r="IM25" s="80"/>
      <c r="IN25" s="80"/>
      <c r="IO25" s="80"/>
      <c r="IP25" s="80"/>
      <c r="IQ25" s="80"/>
      <c r="IR25" s="80"/>
      <c r="IS25" s="80"/>
      <c r="IT25" s="80"/>
      <c r="IU25" s="80"/>
      <c r="IV25" s="80"/>
      <c r="IW25" s="80"/>
      <c r="IX25" s="80"/>
      <c r="IY25" s="80"/>
      <c r="IZ25" s="80"/>
      <c r="JA25" s="80"/>
      <c r="JB25" s="80"/>
      <c r="JC25" s="80"/>
      <c r="JD25" s="80"/>
      <c r="JE25" s="80"/>
      <c r="JF25" s="80"/>
      <c r="JG25" s="80"/>
      <c r="JH25" s="80"/>
      <c r="JI25" s="80"/>
      <c r="JJ25" s="80"/>
      <c r="JK25" s="80"/>
      <c r="JL25" s="80"/>
      <c r="JM25" s="80"/>
      <c r="JN25" s="80"/>
      <c r="JO25" s="80"/>
      <c r="JP25" s="80"/>
      <c r="JQ25" s="80"/>
      <c r="JR25" s="80"/>
      <c r="JS25" s="80"/>
      <c r="JT25" s="80"/>
      <c r="JU25" s="80"/>
      <c r="JV25" s="80"/>
      <c r="JW25" s="80"/>
      <c r="JX25" s="80"/>
      <c r="JY25" s="80"/>
      <c r="JZ25" s="80"/>
      <c r="KA25" s="80"/>
      <c r="KB25" s="80"/>
      <c r="KC25" s="80"/>
      <c r="KD25" s="80"/>
    </row>
    <row r="26" spans="6:290" x14ac:dyDescent="0.35">
      <c r="F26" s="76" t="s">
        <v>582</v>
      </c>
      <c r="G26" s="77" t="s">
        <v>223</v>
      </c>
      <c r="H26" s="68">
        <v>45852</v>
      </c>
      <c r="I26" s="68">
        <v>45852</v>
      </c>
      <c r="J26" s="78">
        <v>0</v>
      </c>
      <c r="K26" s="68">
        <v>45852</v>
      </c>
      <c r="L26" s="68">
        <v>45852</v>
      </c>
      <c r="M26" s="78">
        <v>0</v>
      </c>
      <c r="N26" s="78">
        <v>0</v>
      </c>
      <c r="O26" s="79">
        <v>1</v>
      </c>
      <c r="P26" s="80"/>
      <c r="Q26" s="80"/>
      <c r="R26" s="80"/>
      <c r="S26" s="80"/>
      <c r="T26" s="80"/>
      <c r="U26" s="80"/>
      <c r="V26" s="80"/>
      <c r="W26" s="80"/>
      <c r="X26" s="80"/>
      <c r="Y26" s="80"/>
      <c r="Z26" s="80"/>
      <c r="AA26" s="80"/>
      <c r="AB26" s="80"/>
      <c r="AC26" s="80"/>
      <c r="AD26" s="80"/>
      <c r="AE26" s="80"/>
      <c r="AF26" s="80"/>
      <c r="AG26" s="80"/>
      <c r="AH26" s="80"/>
      <c r="AI26" s="80"/>
      <c r="AJ26" s="80"/>
      <c r="AK26" s="80"/>
      <c r="AL26" s="80"/>
      <c r="AM26" s="80"/>
      <c r="AN26" s="80"/>
      <c r="AO26" s="80"/>
      <c r="AP26" s="80"/>
      <c r="AQ26" s="80"/>
      <c r="AR26" s="80"/>
      <c r="AS26" s="80"/>
      <c r="AT26" s="80"/>
      <c r="AU26" s="80"/>
      <c r="AV26" s="80"/>
      <c r="AW26" s="80"/>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80"/>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3"/>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80"/>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80"/>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80"/>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row>
    <row r="27" spans="6:290" x14ac:dyDescent="0.35">
      <c r="F27" s="76" t="s">
        <v>2199</v>
      </c>
      <c r="G27" s="77" t="s">
        <v>251</v>
      </c>
      <c r="H27" s="68">
        <v>45901</v>
      </c>
      <c r="I27" s="68">
        <v>45901</v>
      </c>
      <c r="J27" s="78">
        <v>0</v>
      </c>
      <c r="K27" s="68">
        <v>45901</v>
      </c>
      <c r="L27" s="68">
        <v>45904</v>
      </c>
      <c r="M27" s="78">
        <v>3</v>
      </c>
      <c r="N27" s="78">
        <v>3</v>
      </c>
      <c r="O27" s="79">
        <v>0</v>
      </c>
      <c r="P27" s="80"/>
      <c r="Q27" s="80"/>
      <c r="R27" s="80"/>
      <c r="S27" s="80"/>
      <c r="T27" s="80"/>
      <c r="U27" s="80"/>
      <c r="V27" s="80"/>
      <c r="W27" s="80"/>
      <c r="X27" s="80"/>
      <c r="Y27" s="80"/>
      <c r="Z27" s="80"/>
      <c r="AA27" s="80"/>
      <c r="AB27" s="80"/>
      <c r="AC27" s="80"/>
      <c r="AD27" s="80"/>
      <c r="AE27" s="80"/>
      <c r="AF27" s="80"/>
      <c r="AG27" s="80"/>
      <c r="AH27" s="80"/>
      <c r="AI27" s="80"/>
      <c r="AJ27" s="80"/>
      <c r="AK27" s="80"/>
      <c r="AL27" s="80"/>
      <c r="AM27" s="80"/>
      <c r="AN27" s="80"/>
      <c r="AO27" s="80"/>
      <c r="AP27" s="80"/>
      <c r="AQ27" s="80"/>
      <c r="AR27" s="80"/>
      <c r="AS27" s="80"/>
      <c r="AT27" s="80"/>
      <c r="AU27" s="80"/>
      <c r="AV27" s="80"/>
      <c r="AW27" s="80"/>
      <c r="AX27" s="80"/>
      <c r="AY27" s="80"/>
      <c r="AZ27" s="80"/>
      <c r="BA27" s="80"/>
      <c r="BB27" s="80"/>
      <c r="BC27" s="80"/>
      <c r="BD27" s="80"/>
      <c r="BE27" s="80"/>
      <c r="BF27" s="80"/>
      <c r="BG27" s="80"/>
      <c r="BH27" s="80"/>
      <c r="BI27" s="80"/>
      <c r="BJ27" s="80"/>
      <c r="BK27" s="80"/>
      <c r="BL27" s="80"/>
      <c r="BM27" s="80"/>
      <c r="BN27" s="80"/>
      <c r="BO27" s="80"/>
      <c r="BP27" s="80"/>
      <c r="BQ27" s="80"/>
      <c r="BR27" s="80"/>
      <c r="BS27" s="80"/>
      <c r="BT27" s="80"/>
      <c r="BU27" s="80"/>
      <c r="BV27" s="80"/>
      <c r="BW27" s="80"/>
      <c r="BX27" s="80"/>
      <c r="BY27" s="80"/>
      <c r="BZ27" s="80"/>
      <c r="CA27" s="80"/>
      <c r="CB27" s="80"/>
      <c r="CC27" s="80"/>
      <c r="CD27" s="80"/>
      <c r="CE27" s="80"/>
      <c r="CF27" s="80"/>
      <c r="CG27" s="80"/>
      <c r="CH27" s="80"/>
      <c r="CI27" s="80"/>
      <c r="CJ27" s="80"/>
      <c r="CK27" s="80"/>
      <c r="CL27" s="80"/>
      <c r="CM27" s="80"/>
      <c r="CN27" s="80"/>
      <c r="CO27" s="80"/>
      <c r="CP27" s="80"/>
      <c r="CQ27" s="80"/>
      <c r="CR27" s="80"/>
      <c r="CS27" s="80"/>
      <c r="CT27" s="80"/>
      <c r="CU27" s="80"/>
      <c r="CV27" s="80"/>
      <c r="CW27" s="80"/>
      <c r="CX27" s="80"/>
      <c r="CY27" s="80"/>
      <c r="CZ27" s="80"/>
      <c r="DA27" s="80"/>
      <c r="DB27" s="80"/>
      <c r="DC27" s="80"/>
      <c r="DD27" s="80"/>
      <c r="DE27" s="80"/>
      <c r="DF27" s="80"/>
      <c r="DG27" s="80"/>
      <c r="DH27" s="80"/>
      <c r="DI27" s="80"/>
      <c r="DJ27" s="80"/>
      <c r="DK27" s="80"/>
      <c r="DL27" s="80"/>
      <c r="DM27" s="80"/>
      <c r="DN27" s="80"/>
      <c r="DO27" s="80"/>
      <c r="DP27" s="80"/>
      <c r="DQ27" s="80"/>
      <c r="DR27" s="80"/>
      <c r="DS27" s="80"/>
      <c r="DT27" s="80"/>
      <c r="DU27" s="80"/>
      <c r="DV27" s="80"/>
      <c r="DW27" s="80"/>
      <c r="DX27" s="80"/>
      <c r="DY27" s="80"/>
      <c r="DZ27" s="80"/>
      <c r="EA27" s="80"/>
      <c r="EB27" s="80"/>
      <c r="EC27" s="80"/>
      <c r="ED27" s="80"/>
      <c r="EE27" s="80"/>
      <c r="EF27" s="80"/>
      <c r="EG27" s="80"/>
      <c r="EH27" s="80"/>
      <c r="EI27" s="80"/>
      <c r="EJ27" s="80"/>
      <c r="EK27" s="80"/>
      <c r="EL27" s="80"/>
      <c r="EM27" s="80"/>
      <c r="EN27" s="80"/>
      <c r="EO27" s="80"/>
      <c r="EP27" s="80"/>
      <c r="EQ27" s="80"/>
      <c r="ER27" s="80"/>
      <c r="ES27" s="80"/>
      <c r="ET27" s="80"/>
      <c r="EU27" s="80"/>
      <c r="EV27" s="80"/>
      <c r="EW27" s="80"/>
      <c r="EX27" s="80"/>
      <c r="EY27" s="80"/>
      <c r="EZ27" s="80"/>
      <c r="FA27" s="80"/>
      <c r="FB27" s="80"/>
      <c r="FC27" s="80"/>
      <c r="FD27" s="80"/>
      <c r="FE27" s="80"/>
      <c r="FF27" s="80"/>
      <c r="FG27" s="80"/>
      <c r="FH27" s="80"/>
      <c r="FI27" s="80"/>
      <c r="FJ27" s="80"/>
      <c r="FK27" s="80"/>
      <c r="FL27" s="80"/>
      <c r="FM27" s="109"/>
      <c r="FN27" s="109"/>
      <c r="FO27" s="109"/>
      <c r="FP27" s="109"/>
      <c r="FQ27" s="80"/>
      <c r="FR27" s="80"/>
      <c r="FS27" s="80"/>
      <c r="FT27" s="80"/>
      <c r="FU27" s="80"/>
      <c r="FV27" s="80"/>
      <c r="FW27" s="80"/>
      <c r="FX27" s="80"/>
      <c r="FY27" s="80"/>
      <c r="FZ27" s="80"/>
      <c r="GA27" s="80"/>
      <c r="GB27" s="80"/>
      <c r="GC27" s="80"/>
      <c r="GD27" s="80"/>
      <c r="GE27" s="80"/>
      <c r="GF27" s="80"/>
      <c r="GG27" s="80"/>
      <c r="GH27" s="80"/>
      <c r="GI27" s="80"/>
      <c r="GJ27" s="80"/>
      <c r="GK27" s="80"/>
      <c r="GL27" s="80"/>
      <c r="GM27" s="80"/>
      <c r="GN27" s="80"/>
      <c r="GO27" s="80"/>
      <c r="GP27" s="80"/>
      <c r="GQ27" s="80"/>
      <c r="GR27" s="80"/>
      <c r="GS27" s="80"/>
      <c r="GT27" s="80"/>
      <c r="GU27" s="80"/>
      <c r="GV27" s="80"/>
      <c r="GW27" s="80"/>
      <c r="GX27" s="80"/>
      <c r="GY27" s="80"/>
      <c r="GZ27" s="80"/>
      <c r="HA27" s="80"/>
      <c r="HB27" s="80"/>
      <c r="HC27" s="80"/>
      <c r="HD27" s="80"/>
      <c r="HE27" s="80"/>
      <c r="HF27" s="80"/>
      <c r="HG27" s="80"/>
      <c r="HH27" s="80"/>
      <c r="HI27" s="80"/>
      <c r="HJ27" s="80"/>
      <c r="HK27" s="80"/>
      <c r="HL27" s="80"/>
      <c r="HM27" s="80"/>
      <c r="HN27" s="80"/>
      <c r="HO27" s="80"/>
      <c r="HP27" s="80"/>
      <c r="HQ27" s="80"/>
      <c r="HR27" s="80"/>
      <c r="HS27" s="80"/>
      <c r="HT27" s="80"/>
      <c r="HU27" s="80"/>
      <c r="HV27" s="80"/>
      <c r="HW27" s="80"/>
      <c r="HX27" s="80"/>
      <c r="HY27" s="80"/>
      <c r="HZ27" s="80"/>
      <c r="IA27" s="80"/>
      <c r="IB27" s="80"/>
      <c r="IC27" s="80"/>
      <c r="ID27" s="80"/>
      <c r="IE27" s="80"/>
      <c r="IF27" s="80"/>
      <c r="IG27" s="80"/>
      <c r="IH27" s="80"/>
      <c r="II27" s="80"/>
      <c r="IJ27" s="80"/>
      <c r="IK27" s="80"/>
      <c r="IL27" s="80"/>
      <c r="IM27" s="80"/>
      <c r="IN27" s="80"/>
      <c r="IO27" s="80"/>
      <c r="IP27" s="80"/>
      <c r="IQ27" s="80"/>
      <c r="IR27" s="80"/>
      <c r="IS27" s="80"/>
      <c r="IT27" s="80"/>
      <c r="IU27" s="80"/>
      <c r="IV27" s="80"/>
      <c r="IW27" s="80"/>
      <c r="IX27" s="80"/>
      <c r="IY27" s="80"/>
      <c r="IZ27" s="80"/>
      <c r="JA27" s="80"/>
      <c r="JB27" s="80"/>
      <c r="JC27" s="80"/>
      <c r="JD27" s="80"/>
      <c r="JE27" s="80"/>
      <c r="JF27" s="80"/>
      <c r="JG27" s="80"/>
      <c r="JH27" s="80"/>
      <c r="JI27" s="80"/>
      <c r="JJ27" s="80"/>
      <c r="JK27" s="80"/>
      <c r="JL27" s="80"/>
      <c r="JM27" s="80"/>
      <c r="JN27" s="80"/>
      <c r="JO27" s="80"/>
      <c r="JP27" s="80"/>
      <c r="JQ27" s="80"/>
      <c r="JR27" s="80"/>
      <c r="JS27" s="80"/>
      <c r="JT27" s="80"/>
      <c r="JU27" s="80"/>
      <c r="JV27" s="80"/>
      <c r="JW27" s="80"/>
      <c r="JX27" s="80"/>
      <c r="JY27" s="80"/>
      <c r="JZ27" s="80"/>
      <c r="KA27" s="80"/>
      <c r="KB27" s="80"/>
      <c r="KC27" s="80"/>
      <c r="KD27" s="80"/>
    </row>
    <row r="28" spans="6:290" x14ac:dyDescent="0.35">
      <c r="F28" s="76" t="s">
        <v>583</v>
      </c>
      <c r="G28" s="77" t="s">
        <v>251</v>
      </c>
      <c r="H28" s="68">
        <v>45901</v>
      </c>
      <c r="I28" s="68">
        <v>45901</v>
      </c>
      <c r="J28" s="78">
        <v>0</v>
      </c>
      <c r="K28" s="68">
        <v>45901</v>
      </c>
      <c r="L28" s="68">
        <v>45908</v>
      </c>
      <c r="M28" s="78">
        <v>7</v>
      </c>
      <c r="N28" s="78">
        <v>7</v>
      </c>
      <c r="O28" s="79">
        <v>0.5</v>
      </c>
      <c r="P28" s="80"/>
      <c r="Q28" s="80"/>
      <c r="R28" s="80"/>
      <c r="S28" s="80"/>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80"/>
      <c r="DE28" s="80"/>
      <c r="DF28" s="80"/>
      <c r="DG28" s="80"/>
      <c r="DH28" s="80"/>
      <c r="DI28" s="80"/>
      <c r="DJ28" s="80"/>
      <c r="DK28" s="80"/>
      <c r="DL28" s="80"/>
      <c r="DM28" s="80"/>
      <c r="DN28" s="80"/>
      <c r="DO28" s="80"/>
      <c r="DP28" s="80"/>
      <c r="DQ28" s="80"/>
      <c r="DR28" s="80"/>
      <c r="DS28" s="80"/>
      <c r="DT28" s="80"/>
      <c r="DU28" s="80"/>
      <c r="DV28" s="80"/>
      <c r="DW28" s="80"/>
      <c r="DX28" s="80"/>
      <c r="DY28" s="80"/>
      <c r="DZ28" s="80"/>
      <c r="EA28" s="80"/>
      <c r="EB28" s="80"/>
      <c r="EC28" s="80"/>
      <c r="ED28" s="80"/>
      <c r="EE28" s="80"/>
      <c r="EF28" s="80"/>
      <c r="EG28" s="80"/>
      <c r="EH28" s="80"/>
      <c r="EI28" s="80"/>
      <c r="EJ28" s="80"/>
      <c r="EK28" s="80"/>
      <c r="EL28" s="80"/>
      <c r="EM28" s="80"/>
      <c r="EN28" s="80"/>
      <c r="EO28" s="80"/>
      <c r="EP28" s="80"/>
      <c r="EQ28" s="80"/>
      <c r="ER28" s="80"/>
      <c r="ES28" s="80"/>
      <c r="ET28" s="80"/>
      <c r="EU28" s="80"/>
      <c r="EV28" s="80"/>
      <c r="EW28" s="80"/>
      <c r="EX28" s="80"/>
      <c r="EY28" s="80"/>
      <c r="EZ28" s="80"/>
      <c r="FA28" s="80"/>
      <c r="FB28" s="80"/>
      <c r="FC28" s="80"/>
      <c r="FD28" s="80"/>
      <c r="FE28" s="80"/>
      <c r="FF28" s="80"/>
      <c r="FG28" s="80"/>
      <c r="FH28" s="80"/>
      <c r="FI28" s="80"/>
      <c r="FJ28" s="80"/>
      <c r="FK28" s="80"/>
      <c r="FL28" s="80"/>
      <c r="FM28" s="109"/>
      <c r="FN28" s="109"/>
      <c r="FO28" s="109"/>
      <c r="FP28" s="109"/>
      <c r="FQ28" s="109"/>
      <c r="FR28" s="109"/>
      <c r="FS28" s="109"/>
      <c r="FT28" s="109"/>
      <c r="FU28" s="80"/>
      <c r="FV28" s="80"/>
      <c r="FW28" s="80"/>
      <c r="FX28" s="80"/>
      <c r="FY28" s="80"/>
      <c r="FZ28" s="80"/>
      <c r="GA28" s="80"/>
      <c r="GB28" s="80"/>
      <c r="GC28" s="80"/>
      <c r="GD28" s="80"/>
      <c r="GE28" s="80"/>
      <c r="GF28" s="80"/>
      <c r="GG28" s="80"/>
      <c r="GH28" s="80"/>
      <c r="GI28" s="80"/>
      <c r="GJ28" s="80"/>
      <c r="GK28" s="80"/>
      <c r="GL28" s="80"/>
      <c r="GM28" s="80"/>
      <c r="GN28" s="80"/>
      <c r="GO28" s="80"/>
      <c r="GP28" s="80"/>
      <c r="GQ28" s="80"/>
      <c r="GR28" s="80"/>
      <c r="GS28" s="80"/>
      <c r="GT28" s="80"/>
      <c r="GU28" s="80"/>
      <c r="GV28" s="80"/>
      <c r="GW28" s="80"/>
      <c r="GX28" s="80"/>
      <c r="GY28" s="80"/>
      <c r="GZ28" s="80"/>
      <c r="HA28" s="80"/>
      <c r="HB28" s="80"/>
      <c r="HC28" s="80"/>
      <c r="HD28" s="80"/>
      <c r="HE28" s="80"/>
      <c r="HF28" s="80"/>
      <c r="HG28" s="80"/>
      <c r="HH28" s="80"/>
      <c r="HI28" s="80"/>
      <c r="HJ28" s="80"/>
      <c r="HK28" s="80"/>
      <c r="HL28" s="80"/>
      <c r="HM28" s="80"/>
      <c r="HN28" s="80"/>
      <c r="HO28" s="80"/>
      <c r="HP28" s="80"/>
      <c r="HQ28" s="80"/>
      <c r="HR28" s="80"/>
      <c r="HS28" s="80"/>
      <c r="HT28" s="80"/>
      <c r="HU28" s="80"/>
      <c r="HV28" s="80"/>
      <c r="HW28" s="80"/>
      <c r="HX28" s="80"/>
      <c r="HY28" s="80"/>
      <c r="HZ28" s="80"/>
      <c r="IA28" s="80"/>
      <c r="IB28" s="80"/>
      <c r="IC28" s="80"/>
      <c r="ID28" s="80"/>
      <c r="IE28" s="80"/>
      <c r="IF28" s="80"/>
      <c r="IG28" s="80"/>
      <c r="IH28" s="80"/>
      <c r="II28" s="80"/>
      <c r="IJ28" s="80"/>
      <c r="IK28" s="80"/>
      <c r="IL28" s="80"/>
      <c r="IM28" s="80"/>
      <c r="IN28" s="80"/>
      <c r="IO28" s="80"/>
      <c r="IP28" s="80"/>
      <c r="IQ28" s="80"/>
      <c r="IR28" s="80"/>
      <c r="IS28" s="80"/>
      <c r="IT28" s="80"/>
      <c r="IU28" s="80"/>
      <c r="IV28" s="80"/>
      <c r="IW28" s="80"/>
      <c r="IX28" s="80"/>
      <c r="IY28" s="80"/>
      <c r="IZ28" s="80"/>
      <c r="JA28" s="80"/>
      <c r="JB28" s="80"/>
      <c r="JC28" s="80"/>
      <c r="JD28" s="80"/>
      <c r="JE28" s="80"/>
      <c r="JF28" s="80"/>
      <c r="JG28" s="80"/>
      <c r="JH28" s="80"/>
      <c r="JI28" s="80"/>
      <c r="JJ28" s="80"/>
      <c r="JK28" s="80"/>
      <c r="JL28" s="80"/>
      <c r="JM28" s="80"/>
      <c r="JN28" s="80"/>
      <c r="JO28" s="80"/>
      <c r="JP28" s="80"/>
      <c r="JQ28" s="80"/>
      <c r="JR28" s="80"/>
      <c r="JS28" s="80"/>
      <c r="JT28" s="80"/>
      <c r="JU28" s="80"/>
      <c r="JV28" s="80"/>
      <c r="JW28" s="80"/>
      <c r="JX28" s="80"/>
      <c r="JY28" s="80"/>
      <c r="JZ28" s="80"/>
      <c r="KA28" s="80"/>
      <c r="KB28" s="80"/>
      <c r="KC28" s="80"/>
      <c r="KD28" s="80"/>
    </row>
    <row r="29" spans="6:290" x14ac:dyDescent="0.35">
      <c r="F29" s="76" t="s">
        <v>584</v>
      </c>
      <c r="G29" s="77" t="s">
        <v>252</v>
      </c>
      <c r="H29" s="68">
        <v>45913</v>
      </c>
      <c r="I29" s="68">
        <v>45913</v>
      </c>
      <c r="J29" s="78">
        <v>0</v>
      </c>
      <c r="K29" s="68">
        <v>45913</v>
      </c>
      <c r="L29" s="68">
        <v>45904</v>
      </c>
      <c r="M29" s="78">
        <v>-9</v>
      </c>
      <c r="N29" s="78">
        <v>-9</v>
      </c>
      <c r="O29" s="79">
        <v>0</v>
      </c>
      <c r="P29" s="80"/>
      <c r="Q29" s="80"/>
      <c r="R29" s="80"/>
      <c r="S29" s="80"/>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80"/>
      <c r="DE29" s="80"/>
      <c r="DF29" s="80"/>
      <c r="DG29" s="80"/>
      <c r="DH29" s="80"/>
      <c r="DI29" s="80"/>
      <c r="DJ29" s="80"/>
      <c r="DK29" s="80"/>
      <c r="DL29" s="80"/>
      <c r="DM29" s="80"/>
      <c r="DN29" s="80"/>
      <c r="DO29" s="80"/>
      <c r="DP29" s="80"/>
      <c r="DQ29" s="80"/>
      <c r="DR29" s="80"/>
      <c r="DS29" s="80"/>
      <c r="DT29" s="80"/>
      <c r="DU29" s="80"/>
      <c r="DV29" s="80"/>
      <c r="DW29" s="80"/>
      <c r="DX29" s="80"/>
      <c r="DY29" s="80"/>
      <c r="DZ29" s="80"/>
      <c r="EA29" s="80"/>
      <c r="EB29" s="80"/>
      <c r="EC29" s="80"/>
      <c r="ED29" s="80"/>
      <c r="EE29" s="80"/>
      <c r="EF29" s="80"/>
      <c r="EG29" s="80"/>
      <c r="EH29" s="80"/>
      <c r="EI29" s="80"/>
      <c r="EJ29" s="80"/>
      <c r="EK29" s="80"/>
      <c r="EL29" s="80"/>
      <c r="EM29" s="80"/>
      <c r="EN29" s="80"/>
      <c r="EO29" s="80"/>
      <c r="EP29" s="80"/>
      <c r="EQ29" s="80"/>
      <c r="ER29" s="80"/>
      <c r="ES29" s="80"/>
      <c r="ET29" s="80"/>
      <c r="EU29" s="80"/>
      <c r="EV29" s="80"/>
      <c r="EW29" s="80"/>
      <c r="EX29" s="80"/>
      <c r="EY29" s="80"/>
      <c r="EZ29" s="80"/>
      <c r="FA29" s="80"/>
      <c r="FB29" s="80"/>
      <c r="FC29" s="80"/>
      <c r="FD29" s="80"/>
      <c r="FE29" s="80"/>
      <c r="FF29" s="80"/>
      <c r="FG29" s="80"/>
      <c r="FH29" s="80"/>
      <c r="FI29" s="80"/>
      <c r="FJ29" s="80"/>
      <c r="FK29" s="80"/>
      <c r="FL29" s="80"/>
      <c r="FM29" s="80"/>
      <c r="FN29" s="80"/>
      <c r="FO29" s="80"/>
      <c r="FP29" s="80"/>
      <c r="FQ29" s="80"/>
      <c r="FR29" s="80"/>
      <c r="FS29" s="80"/>
      <c r="FT29" s="80"/>
      <c r="FU29" s="80"/>
      <c r="FV29" s="80"/>
      <c r="FW29" s="80"/>
      <c r="FX29" s="80"/>
      <c r="FY29" s="82"/>
      <c r="FZ29" s="80"/>
      <c r="GA29" s="80"/>
      <c r="GB29" s="80"/>
      <c r="GC29" s="80"/>
      <c r="GD29" s="80"/>
      <c r="GE29" s="80"/>
      <c r="GF29" s="80"/>
      <c r="GG29" s="80"/>
      <c r="GH29" s="80"/>
      <c r="GI29" s="80"/>
      <c r="GJ29" s="80"/>
      <c r="GK29" s="80"/>
      <c r="GL29" s="80"/>
      <c r="GM29" s="80"/>
      <c r="GN29" s="80"/>
      <c r="GO29" s="80"/>
      <c r="GP29" s="80"/>
      <c r="GQ29" s="80"/>
      <c r="GR29" s="80"/>
      <c r="GS29" s="80"/>
      <c r="GT29" s="80"/>
      <c r="GU29" s="80"/>
      <c r="GV29" s="80"/>
      <c r="GW29" s="80"/>
      <c r="GX29" s="80"/>
      <c r="GY29" s="80"/>
      <c r="GZ29" s="80"/>
      <c r="HA29" s="80"/>
      <c r="HB29" s="80"/>
      <c r="HC29" s="80"/>
      <c r="HD29" s="80"/>
      <c r="HE29" s="80"/>
      <c r="HF29" s="80"/>
      <c r="HG29" s="80"/>
      <c r="HH29" s="80"/>
      <c r="HI29" s="80"/>
      <c r="HJ29" s="80"/>
      <c r="HK29" s="80"/>
      <c r="HL29" s="80"/>
      <c r="HM29" s="80"/>
      <c r="HN29" s="80"/>
      <c r="HO29" s="80"/>
      <c r="HP29" s="80"/>
      <c r="HQ29" s="80"/>
      <c r="HR29" s="80"/>
      <c r="HS29" s="80"/>
      <c r="HT29" s="80"/>
      <c r="HU29" s="80"/>
      <c r="HV29" s="80"/>
      <c r="HW29" s="80"/>
      <c r="HX29" s="80"/>
      <c r="HY29" s="80"/>
      <c r="HZ29" s="80"/>
      <c r="IA29" s="80"/>
      <c r="IB29" s="80"/>
      <c r="IC29" s="80"/>
      <c r="ID29" s="80"/>
      <c r="IE29" s="80"/>
      <c r="IF29" s="80"/>
      <c r="IG29" s="80"/>
      <c r="IH29" s="80"/>
      <c r="II29" s="80"/>
      <c r="IJ29" s="80"/>
      <c r="IK29" s="80"/>
      <c r="IL29" s="80"/>
      <c r="IM29" s="80"/>
      <c r="IN29" s="80"/>
      <c r="IO29" s="80"/>
      <c r="IP29" s="80"/>
      <c r="IQ29" s="80"/>
      <c r="IR29" s="80"/>
      <c r="IS29" s="80"/>
      <c r="IT29" s="80"/>
      <c r="IU29" s="80"/>
      <c r="IV29" s="80"/>
      <c r="IW29" s="80"/>
      <c r="IX29" s="80"/>
      <c r="IY29" s="80"/>
      <c r="IZ29" s="80"/>
      <c r="JA29" s="80"/>
      <c r="JB29" s="80"/>
      <c r="JC29" s="80"/>
      <c r="JD29" s="80"/>
      <c r="JE29" s="80"/>
      <c r="JF29" s="80"/>
      <c r="JG29" s="80"/>
      <c r="JH29" s="80"/>
      <c r="JI29" s="80"/>
      <c r="JJ29" s="80"/>
      <c r="JK29" s="80"/>
      <c r="JL29" s="80"/>
      <c r="JM29" s="80"/>
      <c r="JN29" s="80"/>
      <c r="JO29" s="80"/>
      <c r="JP29" s="80"/>
      <c r="JQ29" s="80"/>
      <c r="JR29" s="80"/>
      <c r="JS29" s="80"/>
      <c r="JT29" s="80"/>
      <c r="JU29" s="80"/>
      <c r="JV29" s="80"/>
      <c r="JW29" s="80"/>
      <c r="JX29" s="80"/>
      <c r="JY29" s="80"/>
      <c r="JZ29" s="80"/>
      <c r="KA29" s="80"/>
      <c r="KB29" s="80"/>
      <c r="KC29" s="80"/>
      <c r="KD29" s="80"/>
    </row>
    <row r="30" spans="6:290" x14ac:dyDescent="0.35">
      <c r="F30" s="76" t="s">
        <v>585</v>
      </c>
      <c r="G30" s="77" t="s">
        <v>223</v>
      </c>
      <c r="H30" s="68">
        <v>45913</v>
      </c>
      <c r="I30" s="68">
        <v>45913</v>
      </c>
      <c r="J30" s="78">
        <v>0</v>
      </c>
      <c r="K30" s="68">
        <v>45913</v>
      </c>
      <c r="L30" s="68">
        <v>45920</v>
      </c>
      <c r="M30" s="78">
        <v>7</v>
      </c>
      <c r="N30" s="78">
        <v>7</v>
      </c>
      <c r="O30" s="79">
        <v>0</v>
      </c>
      <c r="P30" s="80"/>
      <c r="Q30" s="80"/>
      <c r="R30" s="80"/>
      <c r="S30" s="80"/>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80"/>
      <c r="DE30" s="80"/>
      <c r="DF30" s="80"/>
      <c r="DG30" s="80"/>
      <c r="DH30" s="80"/>
      <c r="DI30" s="80"/>
      <c r="DJ30" s="80"/>
      <c r="DK30" s="80"/>
      <c r="DL30" s="80"/>
      <c r="DM30" s="80"/>
      <c r="DN30" s="80"/>
      <c r="DO30" s="80"/>
      <c r="DP30" s="80"/>
      <c r="DQ30" s="80"/>
      <c r="DR30" s="80"/>
      <c r="DS30" s="80"/>
      <c r="DT30" s="80"/>
      <c r="DU30" s="80"/>
      <c r="DV30" s="80"/>
      <c r="DW30" s="80"/>
      <c r="DX30" s="80"/>
      <c r="DY30" s="80"/>
      <c r="DZ30" s="80"/>
      <c r="EA30" s="80"/>
      <c r="EB30" s="80"/>
      <c r="EC30" s="80"/>
      <c r="ED30" s="80"/>
      <c r="EE30" s="80"/>
      <c r="EF30" s="80"/>
      <c r="EG30" s="80"/>
      <c r="EH30" s="80"/>
      <c r="EI30" s="80"/>
      <c r="EJ30" s="80"/>
      <c r="EK30" s="80"/>
      <c r="EL30" s="80"/>
      <c r="EM30" s="80"/>
      <c r="EN30" s="80"/>
      <c r="EO30" s="80"/>
      <c r="EP30" s="80"/>
      <c r="EQ30" s="80"/>
      <c r="ER30" s="80"/>
      <c r="ES30" s="80"/>
      <c r="ET30" s="80"/>
      <c r="EU30" s="80"/>
      <c r="EV30" s="80"/>
      <c r="EW30" s="80"/>
      <c r="EX30" s="80"/>
      <c r="EY30" s="80"/>
      <c r="EZ30" s="80"/>
      <c r="FA30" s="80"/>
      <c r="FB30" s="80"/>
      <c r="FC30" s="80"/>
      <c r="FD30" s="80"/>
      <c r="FE30" s="80"/>
      <c r="FF30" s="80"/>
      <c r="FG30" s="80"/>
      <c r="FH30" s="80"/>
      <c r="FI30" s="80"/>
      <c r="FJ30" s="80"/>
      <c r="FK30" s="80"/>
      <c r="FL30" s="80"/>
      <c r="FM30" s="80"/>
      <c r="FN30" s="80"/>
      <c r="FO30" s="80"/>
      <c r="FP30" s="80"/>
      <c r="FQ30" s="80"/>
      <c r="FR30" s="80"/>
      <c r="FS30" s="80"/>
      <c r="FT30" s="80"/>
      <c r="FU30" s="80"/>
      <c r="FV30" s="80"/>
      <c r="FW30" s="80"/>
      <c r="FX30" s="80"/>
      <c r="FY30" s="83"/>
      <c r="FZ30" s="83"/>
      <c r="GA30" s="83"/>
      <c r="GB30" s="83"/>
      <c r="GC30" s="83"/>
      <c r="GD30" s="83"/>
      <c r="GE30" s="83"/>
      <c r="GF30" s="83"/>
      <c r="GG30" s="80"/>
      <c r="GH30" s="80"/>
      <c r="GI30" s="80"/>
      <c r="GJ30" s="80"/>
      <c r="GK30" s="80"/>
      <c r="GL30" s="80"/>
      <c r="GM30" s="80"/>
      <c r="GN30" s="80"/>
      <c r="GO30" s="80"/>
      <c r="GP30" s="80"/>
      <c r="GQ30" s="80"/>
      <c r="GR30" s="80"/>
      <c r="GS30" s="80"/>
      <c r="GT30" s="80"/>
      <c r="GU30" s="80"/>
      <c r="GV30" s="80"/>
      <c r="GW30" s="80"/>
      <c r="GX30" s="80"/>
      <c r="GY30" s="80"/>
      <c r="GZ30" s="80"/>
      <c r="HA30" s="80"/>
      <c r="HB30" s="80"/>
      <c r="HC30" s="80"/>
      <c r="HD30" s="80"/>
      <c r="HE30" s="80"/>
      <c r="HF30" s="80"/>
      <c r="HG30" s="80"/>
      <c r="HH30" s="80"/>
      <c r="HI30" s="80"/>
      <c r="HJ30" s="80"/>
      <c r="HK30" s="80"/>
      <c r="HL30" s="80"/>
      <c r="HM30" s="80"/>
      <c r="HN30" s="80"/>
      <c r="HO30" s="80"/>
      <c r="HP30" s="80"/>
      <c r="HQ30" s="80"/>
      <c r="HR30" s="80"/>
      <c r="HS30" s="80"/>
      <c r="HT30" s="80"/>
      <c r="HU30" s="80"/>
      <c r="HV30" s="80"/>
      <c r="HW30" s="80"/>
      <c r="HX30" s="80"/>
      <c r="HY30" s="80"/>
      <c r="HZ30" s="80"/>
      <c r="IA30" s="80"/>
      <c r="IB30" s="80"/>
      <c r="IC30" s="80"/>
      <c r="ID30" s="80"/>
      <c r="IE30" s="80"/>
      <c r="IF30" s="80"/>
      <c r="IG30" s="80"/>
      <c r="IH30" s="80"/>
      <c r="II30" s="80"/>
      <c r="IJ30" s="80"/>
      <c r="IK30" s="80"/>
      <c r="IL30" s="80"/>
      <c r="IM30" s="80"/>
      <c r="IN30" s="80"/>
      <c r="IO30" s="80"/>
      <c r="IP30" s="80"/>
      <c r="IQ30" s="80"/>
      <c r="IR30" s="80"/>
      <c r="IS30" s="80"/>
      <c r="IT30" s="80"/>
      <c r="IU30" s="80"/>
      <c r="IV30" s="80"/>
      <c r="IW30" s="80"/>
      <c r="IX30" s="80"/>
      <c r="IY30" s="80"/>
      <c r="IZ30" s="80"/>
      <c r="JA30" s="80"/>
      <c r="JB30" s="80"/>
      <c r="JC30" s="80"/>
      <c r="JD30" s="80"/>
      <c r="JE30" s="80"/>
      <c r="JF30" s="80"/>
      <c r="JG30" s="80"/>
      <c r="JH30" s="80"/>
      <c r="JI30" s="80"/>
      <c r="JJ30" s="80"/>
      <c r="JK30" s="80"/>
      <c r="JL30" s="80"/>
      <c r="JM30" s="80"/>
      <c r="JN30" s="80"/>
      <c r="JO30" s="80"/>
      <c r="JP30" s="80"/>
      <c r="JQ30" s="80"/>
      <c r="JR30" s="80"/>
      <c r="JS30" s="80"/>
      <c r="JT30" s="80"/>
      <c r="JU30" s="80"/>
      <c r="JV30" s="80"/>
      <c r="JW30" s="80"/>
      <c r="JX30" s="80"/>
      <c r="JY30" s="80"/>
      <c r="JZ30" s="80"/>
      <c r="KA30" s="80"/>
      <c r="KB30" s="80"/>
      <c r="KC30" s="80"/>
      <c r="KD30" s="80"/>
    </row>
    <row r="31" spans="6:290" x14ac:dyDescent="0.35">
      <c r="F31" s="76" t="s">
        <v>586</v>
      </c>
      <c r="G31" s="77" t="s">
        <v>251</v>
      </c>
      <c r="H31" s="68">
        <v>45913</v>
      </c>
      <c r="I31" s="68">
        <v>45913</v>
      </c>
      <c r="J31" s="78">
        <v>0</v>
      </c>
      <c r="K31" s="68">
        <v>45913</v>
      </c>
      <c r="L31" s="68">
        <v>45920</v>
      </c>
      <c r="M31" s="78">
        <v>7</v>
      </c>
      <c r="N31" s="78">
        <v>7</v>
      </c>
      <c r="O31" s="79">
        <v>0</v>
      </c>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80"/>
      <c r="DE31" s="80"/>
      <c r="DF31" s="80"/>
      <c r="DG31" s="80"/>
      <c r="DH31" s="80"/>
      <c r="DI31" s="80"/>
      <c r="DJ31" s="80"/>
      <c r="DK31" s="80"/>
      <c r="DL31" s="80"/>
      <c r="DM31" s="80"/>
      <c r="DN31" s="80"/>
      <c r="DO31" s="80"/>
      <c r="DP31" s="80"/>
      <c r="DQ31" s="80"/>
      <c r="DR31" s="80"/>
      <c r="DS31" s="80"/>
      <c r="DT31" s="80"/>
      <c r="DU31" s="80"/>
      <c r="DV31" s="80"/>
      <c r="DW31" s="80"/>
      <c r="DX31" s="80"/>
      <c r="DY31" s="80"/>
      <c r="DZ31" s="80"/>
      <c r="EA31" s="80"/>
      <c r="EB31" s="80"/>
      <c r="EC31" s="80"/>
      <c r="ED31" s="80"/>
      <c r="EE31" s="80"/>
      <c r="EF31" s="80"/>
      <c r="EG31" s="80"/>
      <c r="EH31" s="80"/>
      <c r="EI31" s="80"/>
      <c r="EJ31" s="80"/>
      <c r="EK31" s="80"/>
      <c r="EL31" s="80"/>
      <c r="EM31" s="80"/>
      <c r="EN31" s="80"/>
      <c r="EO31" s="80"/>
      <c r="EP31" s="80"/>
      <c r="EQ31" s="80"/>
      <c r="ER31" s="80"/>
      <c r="ES31" s="80"/>
      <c r="ET31" s="80"/>
      <c r="EU31" s="80"/>
      <c r="EV31" s="80"/>
      <c r="EW31" s="80"/>
      <c r="EX31" s="80"/>
      <c r="EY31" s="80"/>
      <c r="EZ31" s="80"/>
      <c r="FA31" s="80"/>
      <c r="FB31" s="80"/>
      <c r="FC31" s="80"/>
      <c r="FD31" s="80"/>
      <c r="FE31" s="80"/>
      <c r="FF31" s="80"/>
      <c r="FG31" s="80"/>
      <c r="FH31" s="80"/>
      <c r="FI31" s="80"/>
      <c r="FJ31" s="80"/>
      <c r="FK31" s="80"/>
      <c r="FL31" s="80"/>
      <c r="FM31" s="80"/>
      <c r="FN31" s="80"/>
      <c r="FO31" s="80"/>
      <c r="FP31" s="80"/>
      <c r="FQ31" s="80"/>
      <c r="FR31" s="80"/>
      <c r="FS31" s="80"/>
      <c r="FT31" s="80"/>
      <c r="FU31" s="80"/>
      <c r="FV31" s="80"/>
      <c r="FW31" s="80"/>
      <c r="FX31" s="80"/>
      <c r="FY31" s="109"/>
      <c r="FZ31" s="109"/>
      <c r="GA31" s="109"/>
      <c r="GB31" s="109"/>
      <c r="GC31" s="109"/>
      <c r="GD31" s="109"/>
      <c r="GE31" s="109"/>
      <c r="GF31" s="109"/>
      <c r="GG31" s="80"/>
      <c r="GH31" s="80"/>
      <c r="GI31" s="80"/>
      <c r="GJ31" s="80"/>
      <c r="GK31" s="80"/>
      <c r="GL31" s="80"/>
      <c r="GM31" s="80"/>
      <c r="GN31" s="80"/>
      <c r="GO31" s="80"/>
      <c r="GP31" s="80"/>
      <c r="GQ31" s="80"/>
      <c r="GR31" s="80"/>
      <c r="GS31" s="80"/>
      <c r="GT31" s="80"/>
      <c r="GU31" s="80"/>
      <c r="GV31" s="80"/>
      <c r="GW31" s="80"/>
      <c r="GX31" s="80"/>
      <c r="GY31" s="80"/>
      <c r="GZ31" s="80"/>
      <c r="HA31" s="80"/>
      <c r="HB31" s="80"/>
      <c r="HC31" s="80"/>
      <c r="HD31" s="80"/>
      <c r="HE31" s="80"/>
      <c r="HF31" s="80"/>
      <c r="HG31" s="80"/>
      <c r="HH31" s="80"/>
      <c r="HI31" s="80"/>
      <c r="HJ31" s="80"/>
      <c r="HK31" s="80"/>
      <c r="HL31" s="80"/>
      <c r="HM31" s="80"/>
      <c r="HN31" s="80"/>
      <c r="HO31" s="80"/>
      <c r="HP31" s="80"/>
      <c r="HQ31" s="80"/>
      <c r="HR31" s="80"/>
      <c r="HS31" s="80"/>
      <c r="HT31" s="80"/>
      <c r="HU31" s="80"/>
      <c r="HV31" s="80"/>
      <c r="HW31" s="80"/>
      <c r="HX31" s="80"/>
      <c r="HY31" s="80"/>
      <c r="HZ31" s="80"/>
      <c r="IA31" s="80"/>
      <c r="IB31" s="80"/>
      <c r="IC31" s="80"/>
      <c r="ID31" s="80"/>
      <c r="IE31" s="80"/>
      <c r="IF31" s="80"/>
      <c r="IG31" s="80"/>
      <c r="IH31" s="80"/>
      <c r="II31" s="80"/>
      <c r="IJ31" s="80"/>
      <c r="IK31" s="80"/>
      <c r="IL31" s="80"/>
      <c r="IM31" s="80"/>
      <c r="IN31" s="80"/>
      <c r="IO31" s="80"/>
      <c r="IP31" s="80"/>
      <c r="IQ31" s="80"/>
      <c r="IR31" s="80"/>
      <c r="IS31" s="80"/>
      <c r="IT31" s="80"/>
      <c r="IU31" s="80"/>
      <c r="IV31" s="80"/>
      <c r="IW31" s="80"/>
      <c r="IX31" s="80"/>
      <c r="IY31" s="80"/>
      <c r="IZ31" s="80"/>
      <c r="JA31" s="80"/>
      <c r="JB31" s="80"/>
      <c r="JC31" s="80"/>
      <c r="JD31" s="80"/>
      <c r="JE31" s="80"/>
      <c r="JF31" s="80"/>
      <c r="JG31" s="80"/>
      <c r="JH31" s="80"/>
      <c r="JI31" s="80"/>
      <c r="JJ31" s="80"/>
      <c r="JK31" s="80"/>
      <c r="JL31" s="80"/>
      <c r="JM31" s="80"/>
      <c r="JN31" s="80"/>
      <c r="JO31" s="80"/>
      <c r="JP31" s="80"/>
      <c r="JQ31" s="80"/>
      <c r="JR31" s="80"/>
      <c r="JS31" s="80"/>
      <c r="JT31" s="80"/>
      <c r="JU31" s="80"/>
      <c r="JV31" s="80"/>
      <c r="JW31" s="80"/>
      <c r="JX31" s="80"/>
      <c r="JY31" s="80"/>
      <c r="JZ31" s="80"/>
      <c r="KA31" s="80"/>
      <c r="KB31" s="80"/>
      <c r="KC31" s="80"/>
      <c r="KD31" s="80"/>
    </row>
    <row r="32" spans="6:290" x14ac:dyDescent="0.35">
      <c r="F32" s="76" t="s">
        <v>587</v>
      </c>
      <c r="G32" s="77" t="s">
        <v>251</v>
      </c>
      <c r="H32" s="68">
        <v>45913</v>
      </c>
      <c r="I32" s="68">
        <v>45913</v>
      </c>
      <c r="J32" s="78">
        <v>0</v>
      </c>
      <c r="K32" s="68">
        <v>45913</v>
      </c>
      <c r="L32" s="68">
        <v>45918</v>
      </c>
      <c r="M32" s="78">
        <v>5</v>
      </c>
      <c r="N32" s="78">
        <v>5</v>
      </c>
      <c r="O32" s="79">
        <v>0</v>
      </c>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80"/>
      <c r="DQ32" s="80"/>
      <c r="DR32" s="80"/>
      <c r="DS32" s="80"/>
      <c r="DT32" s="80"/>
      <c r="DU32" s="80"/>
      <c r="DV32" s="80"/>
      <c r="DW32" s="80"/>
      <c r="DX32" s="80"/>
      <c r="DY32" s="80"/>
      <c r="DZ32" s="80"/>
      <c r="EA32" s="80"/>
      <c r="EB32" s="80"/>
      <c r="EC32" s="80"/>
      <c r="ED32" s="80"/>
      <c r="EE32" s="80"/>
      <c r="EF32" s="80"/>
      <c r="EG32" s="80"/>
      <c r="EH32" s="80"/>
      <c r="EI32" s="80"/>
      <c r="EJ32" s="80"/>
      <c r="EK32" s="80"/>
      <c r="EL32" s="80"/>
      <c r="EM32" s="80"/>
      <c r="EN32" s="80"/>
      <c r="EO32" s="80"/>
      <c r="EP32" s="80"/>
      <c r="EQ32" s="80"/>
      <c r="ER32" s="80"/>
      <c r="ES32" s="80"/>
      <c r="ET32" s="80"/>
      <c r="EU32" s="80"/>
      <c r="EV32" s="80"/>
      <c r="EW32" s="80"/>
      <c r="EX32" s="80"/>
      <c r="EY32" s="80"/>
      <c r="EZ32" s="80"/>
      <c r="FA32" s="80"/>
      <c r="FB32" s="80"/>
      <c r="FC32" s="80"/>
      <c r="FD32" s="80"/>
      <c r="FE32" s="80"/>
      <c r="FF32" s="80"/>
      <c r="FG32" s="80"/>
      <c r="FH32" s="80"/>
      <c r="FI32" s="80"/>
      <c r="FJ32" s="80"/>
      <c r="FK32" s="80"/>
      <c r="FL32" s="80"/>
      <c r="FM32" s="80"/>
      <c r="FN32" s="80"/>
      <c r="FO32" s="80"/>
      <c r="FP32" s="80"/>
      <c r="FQ32" s="80"/>
      <c r="FR32" s="80"/>
      <c r="FS32" s="80"/>
      <c r="FT32" s="80"/>
      <c r="FU32" s="80"/>
      <c r="FV32" s="80"/>
      <c r="FW32" s="80"/>
      <c r="FX32" s="80"/>
      <c r="FY32" s="109"/>
      <c r="FZ32" s="109"/>
      <c r="GA32" s="109"/>
      <c r="GB32" s="109"/>
      <c r="GC32" s="109"/>
      <c r="GD32" s="109"/>
      <c r="GE32" s="80"/>
      <c r="GF32" s="80"/>
      <c r="GG32" s="80"/>
      <c r="GH32" s="80"/>
      <c r="GI32" s="80"/>
      <c r="GJ32" s="80"/>
      <c r="GK32" s="80"/>
      <c r="GL32" s="80"/>
      <c r="GM32" s="80"/>
      <c r="GN32" s="80"/>
      <c r="GO32" s="80"/>
      <c r="GP32" s="80"/>
      <c r="GQ32" s="80"/>
      <c r="GR32" s="80"/>
      <c r="GS32" s="80"/>
      <c r="GT32" s="80"/>
      <c r="GU32" s="80"/>
      <c r="GV32" s="80"/>
      <c r="GW32" s="80"/>
      <c r="GX32" s="80"/>
      <c r="GY32" s="80"/>
      <c r="GZ32" s="80"/>
      <c r="HA32" s="80"/>
      <c r="HB32" s="80"/>
      <c r="HC32" s="80"/>
      <c r="HD32" s="80"/>
      <c r="HE32" s="80"/>
      <c r="HF32" s="80"/>
      <c r="HG32" s="80"/>
      <c r="HH32" s="80"/>
      <c r="HI32" s="80"/>
      <c r="HJ32" s="80"/>
      <c r="HK32" s="80"/>
      <c r="HL32" s="80"/>
      <c r="HM32" s="80"/>
      <c r="HN32" s="80"/>
      <c r="HO32" s="80"/>
      <c r="HP32" s="80"/>
      <c r="HQ32" s="80"/>
      <c r="HR32" s="80"/>
      <c r="HS32" s="80"/>
      <c r="HT32" s="80"/>
      <c r="HU32" s="80"/>
      <c r="HV32" s="80"/>
      <c r="HW32" s="80"/>
      <c r="HX32" s="80"/>
      <c r="HY32" s="80"/>
      <c r="HZ32" s="80"/>
      <c r="IA32" s="80"/>
      <c r="IB32" s="80"/>
      <c r="IC32" s="80"/>
      <c r="ID32" s="80"/>
      <c r="IE32" s="80"/>
      <c r="IF32" s="80"/>
      <c r="IG32" s="80"/>
      <c r="IH32" s="80"/>
      <c r="II32" s="80"/>
      <c r="IJ32" s="80"/>
      <c r="IK32" s="80"/>
      <c r="IL32" s="80"/>
      <c r="IM32" s="80"/>
      <c r="IN32" s="80"/>
      <c r="IO32" s="80"/>
      <c r="IP32" s="80"/>
      <c r="IQ32" s="80"/>
      <c r="IR32" s="80"/>
      <c r="IS32" s="80"/>
      <c r="IT32" s="80"/>
      <c r="IU32" s="80"/>
      <c r="IV32" s="80"/>
      <c r="IW32" s="80"/>
      <c r="IX32" s="80"/>
      <c r="IY32" s="80"/>
      <c r="IZ32" s="80"/>
      <c r="JA32" s="80"/>
      <c r="JB32" s="80"/>
      <c r="JC32" s="80"/>
      <c r="JD32" s="80"/>
      <c r="JE32" s="80"/>
      <c r="JF32" s="80"/>
      <c r="JG32" s="80"/>
      <c r="JH32" s="80"/>
      <c r="JI32" s="80"/>
      <c r="JJ32" s="80"/>
      <c r="JK32" s="80"/>
      <c r="JL32" s="80"/>
      <c r="JM32" s="80"/>
      <c r="JN32" s="80"/>
      <c r="JO32" s="80"/>
      <c r="JP32" s="80"/>
      <c r="JQ32" s="80"/>
      <c r="JR32" s="80"/>
      <c r="JS32" s="80"/>
      <c r="JT32" s="80"/>
      <c r="JU32" s="80"/>
      <c r="JV32" s="80"/>
      <c r="JW32" s="80"/>
      <c r="JX32" s="80"/>
      <c r="JY32" s="80"/>
      <c r="JZ32" s="80"/>
      <c r="KA32" s="80"/>
      <c r="KB32" s="80"/>
      <c r="KC32" s="80"/>
      <c r="KD32" s="80"/>
    </row>
    <row r="33" spans="6:290" x14ac:dyDescent="0.35">
      <c r="F33" s="76" t="s">
        <v>599</v>
      </c>
      <c r="G33" s="77" t="s">
        <v>102</v>
      </c>
      <c r="H33" s="68">
        <v>45913</v>
      </c>
      <c r="I33" s="68">
        <v>45919</v>
      </c>
      <c r="J33" s="78">
        <v>6</v>
      </c>
      <c r="K33" s="68">
        <v>45919</v>
      </c>
      <c r="L33" s="68">
        <v>45923</v>
      </c>
      <c r="M33" s="78">
        <v>4</v>
      </c>
      <c r="N33" s="78">
        <v>-2</v>
      </c>
      <c r="O33" s="79">
        <v>0</v>
      </c>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0"/>
      <c r="BI33" s="80"/>
      <c r="BJ33" s="80"/>
      <c r="BK33" s="80"/>
      <c r="BL33" s="80"/>
      <c r="BM33" s="80"/>
      <c r="BN33" s="80"/>
      <c r="BO33" s="80"/>
      <c r="BP33" s="80"/>
      <c r="BQ33" s="80"/>
      <c r="BR33" s="80"/>
      <c r="BS33" s="80"/>
      <c r="BT33" s="80"/>
      <c r="BU33" s="80"/>
      <c r="BV33" s="80"/>
      <c r="BW33" s="80"/>
      <c r="BX33" s="80"/>
      <c r="BY33" s="80"/>
      <c r="BZ33" s="80"/>
      <c r="CA33" s="80"/>
      <c r="CB33" s="80"/>
      <c r="CC33" s="80"/>
      <c r="CD33" s="80"/>
      <c r="CE33" s="80"/>
      <c r="CF33" s="80"/>
      <c r="CG33" s="80"/>
      <c r="CH33" s="80"/>
      <c r="CI33" s="80"/>
      <c r="CJ33" s="80"/>
      <c r="CK33" s="80"/>
      <c r="CL33" s="80"/>
      <c r="CM33" s="80"/>
      <c r="CN33" s="80"/>
      <c r="CO33" s="80"/>
      <c r="CP33" s="80"/>
      <c r="CQ33" s="80"/>
      <c r="CR33" s="80"/>
      <c r="CS33" s="80"/>
      <c r="CT33" s="80"/>
      <c r="CU33" s="80"/>
      <c r="CV33" s="80"/>
      <c r="CW33" s="80"/>
      <c r="CX33" s="80"/>
      <c r="CY33" s="80"/>
      <c r="CZ33" s="80"/>
      <c r="DA33" s="80"/>
      <c r="DB33" s="80"/>
      <c r="DC33" s="80"/>
      <c r="DD33" s="80"/>
      <c r="DE33" s="80"/>
      <c r="DF33" s="80"/>
      <c r="DG33" s="80"/>
      <c r="DH33" s="80"/>
      <c r="DI33" s="80"/>
      <c r="DJ33" s="80"/>
      <c r="DK33" s="80"/>
      <c r="DL33" s="80"/>
      <c r="DM33" s="80"/>
      <c r="DN33" s="80"/>
      <c r="DO33" s="80"/>
      <c r="DP33" s="80"/>
      <c r="DQ33" s="80"/>
      <c r="DR33" s="80"/>
      <c r="DS33" s="80"/>
      <c r="DT33" s="80"/>
      <c r="DU33" s="80"/>
      <c r="DV33" s="80"/>
      <c r="DW33" s="80"/>
      <c r="DX33" s="80"/>
      <c r="DY33" s="80"/>
      <c r="DZ33" s="80"/>
      <c r="EA33" s="80"/>
      <c r="EB33" s="80"/>
      <c r="EC33" s="80"/>
      <c r="ED33" s="80"/>
      <c r="EE33" s="80"/>
      <c r="EF33" s="80"/>
      <c r="EG33" s="80"/>
      <c r="EH33" s="80"/>
      <c r="EI33" s="80"/>
      <c r="EJ33" s="80"/>
      <c r="EK33" s="80"/>
      <c r="EL33" s="80"/>
      <c r="EM33" s="80"/>
      <c r="EN33" s="80"/>
      <c r="EO33" s="80"/>
      <c r="EP33" s="80"/>
      <c r="EQ33" s="80"/>
      <c r="ER33" s="80"/>
      <c r="ES33" s="80"/>
      <c r="ET33" s="80"/>
      <c r="EU33" s="80"/>
      <c r="EV33" s="80"/>
      <c r="EW33" s="80"/>
      <c r="EX33" s="80"/>
      <c r="EY33" s="80"/>
      <c r="EZ33" s="80"/>
      <c r="FA33" s="80"/>
      <c r="FB33" s="80"/>
      <c r="FC33" s="80"/>
      <c r="FD33" s="80"/>
      <c r="FE33" s="80"/>
      <c r="FF33" s="80"/>
      <c r="FG33" s="80"/>
      <c r="FH33" s="80"/>
      <c r="FI33" s="80"/>
      <c r="FJ33" s="80"/>
      <c r="FK33" s="80"/>
      <c r="FL33" s="80"/>
      <c r="FM33" s="80"/>
      <c r="FN33" s="80"/>
      <c r="FO33" s="80"/>
      <c r="FP33" s="80"/>
      <c r="FQ33" s="80"/>
      <c r="FR33" s="80"/>
      <c r="FS33" s="80"/>
      <c r="FT33" s="80"/>
      <c r="FU33" s="80"/>
      <c r="FV33" s="80"/>
      <c r="FW33" s="80"/>
      <c r="FX33" s="80"/>
      <c r="FY33" s="82"/>
      <c r="FZ33" s="82"/>
      <c r="GA33" s="82"/>
      <c r="GB33" s="82"/>
      <c r="GC33" s="82"/>
      <c r="GD33" s="82"/>
      <c r="GE33" s="110"/>
      <c r="GF33" s="110"/>
      <c r="GG33" s="110"/>
      <c r="GH33" s="110"/>
      <c r="GI33" s="110"/>
      <c r="GJ33" s="80"/>
      <c r="GK33" s="80"/>
      <c r="GL33" s="80"/>
      <c r="GM33" s="80"/>
      <c r="GN33" s="80"/>
      <c r="GO33" s="80"/>
      <c r="GP33" s="80"/>
      <c r="GQ33" s="80"/>
      <c r="GR33" s="80"/>
      <c r="GS33" s="80"/>
      <c r="GT33" s="80"/>
      <c r="GU33" s="80"/>
      <c r="GV33" s="80"/>
      <c r="GW33" s="80"/>
      <c r="GX33" s="80"/>
      <c r="GY33" s="80"/>
      <c r="GZ33" s="80"/>
      <c r="HA33" s="80"/>
      <c r="HB33" s="80"/>
      <c r="HC33" s="80"/>
      <c r="HD33" s="80"/>
      <c r="HE33" s="80"/>
      <c r="HF33" s="80"/>
      <c r="HG33" s="80"/>
      <c r="HH33" s="80"/>
      <c r="HI33" s="80"/>
      <c r="HJ33" s="80"/>
      <c r="HK33" s="80"/>
      <c r="HL33" s="80"/>
      <c r="HM33" s="80"/>
      <c r="HN33" s="80"/>
      <c r="HO33" s="80"/>
      <c r="HP33" s="80"/>
      <c r="HQ33" s="80"/>
      <c r="HR33" s="80"/>
      <c r="HS33" s="80"/>
      <c r="HT33" s="80"/>
      <c r="HU33" s="80"/>
      <c r="HV33" s="80"/>
      <c r="HW33" s="80"/>
      <c r="HX33" s="80"/>
      <c r="HY33" s="80"/>
      <c r="HZ33" s="80"/>
      <c r="IA33" s="80"/>
      <c r="IB33" s="80"/>
      <c r="IC33" s="80"/>
      <c r="ID33" s="80"/>
      <c r="IE33" s="80"/>
      <c r="IF33" s="80"/>
      <c r="IG33" s="80"/>
      <c r="IH33" s="80"/>
      <c r="II33" s="80"/>
      <c r="IJ33" s="80"/>
      <c r="IK33" s="80"/>
      <c r="IL33" s="80"/>
      <c r="IM33" s="80"/>
      <c r="IN33" s="80"/>
      <c r="IO33" s="80"/>
      <c r="IP33" s="80"/>
      <c r="IQ33" s="80"/>
      <c r="IR33" s="80"/>
      <c r="IS33" s="80"/>
      <c r="IT33" s="80"/>
      <c r="IU33" s="80"/>
      <c r="IV33" s="80"/>
      <c r="IW33" s="80"/>
      <c r="IX33" s="80"/>
      <c r="IY33" s="80"/>
      <c r="IZ33" s="80"/>
      <c r="JA33" s="80"/>
      <c r="JB33" s="80"/>
      <c r="JC33" s="80"/>
      <c r="JD33" s="80"/>
      <c r="JE33" s="80"/>
      <c r="JF33" s="80"/>
      <c r="JG33" s="80"/>
      <c r="JH33" s="80"/>
      <c r="JI33" s="80"/>
      <c r="JJ33" s="80"/>
      <c r="JK33" s="80"/>
      <c r="JL33" s="80"/>
      <c r="JM33" s="80"/>
      <c r="JN33" s="80"/>
      <c r="JO33" s="80"/>
      <c r="JP33" s="80"/>
      <c r="JQ33" s="80"/>
      <c r="JR33" s="80"/>
      <c r="JS33" s="80"/>
      <c r="JT33" s="80"/>
      <c r="JU33" s="80"/>
      <c r="JV33" s="80"/>
      <c r="JW33" s="80"/>
      <c r="JX33" s="80"/>
      <c r="JY33" s="80"/>
      <c r="JZ33" s="80"/>
      <c r="KA33" s="80"/>
      <c r="KB33" s="80"/>
      <c r="KC33" s="80"/>
      <c r="KD33" s="80"/>
    </row>
    <row r="34" spans="6:290" x14ac:dyDescent="0.35">
      <c r="F34" s="76" t="s">
        <v>588</v>
      </c>
      <c r="G34" s="77" t="s">
        <v>251</v>
      </c>
      <c r="H34" s="68">
        <v>45915</v>
      </c>
      <c r="I34" s="68">
        <v>45919</v>
      </c>
      <c r="J34" s="78">
        <v>4</v>
      </c>
      <c r="K34" s="68">
        <v>45915</v>
      </c>
      <c r="L34" s="68">
        <v>45918</v>
      </c>
      <c r="M34" s="78">
        <v>3</v>
      </c>
      <c r="N34" s="78">
        <v>-1</v>
      </c>
      <c r="O34" s="79">
        <v>0</v>
      </c>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80"/>
      <c r="DQ34" s="80"/>
      <c r="DR34" s="80"/>
      <c r="DS34" s="80"/>
      <c r="DT34" s="80"/>
      <c r="DU34" s="80"/>
      <c r="DV34" s="80"/>
      <c r="DW34" s="80"/>
      <c r="DX34" s="80"/>
      <c r="DY34" s="80"/>
      <c r="DZ34" s="80"/>
      <c r="EA34" s="80"/>
      <c r="EB34" s="80"/>
      <c r="EC34" s="80"/>
      <c r="ED34" s="80"/>
      <c r="EE34" s="80"/>
      <c r="EF34" s="80"/>
      <c r="EG34" s="80"/>
      <c r="EH34" s="80"/>
      <c r="EI34" s="80"/>
      <c r="EJ34" s="80"/>
      <c r="EK34" s="80"/>
      <c r="EL34" s="80"/>
      <c r="EM34" s="80"/>
      <c r="EN34" s="80"/>
      <c r="EO34" s="80"/>
      <c r="EP34" s="80"/>
      <c r="EQ34" s="80"/>
      <c r="ER34" s="80"/>
      <c r="ES34" s="80"/>
      <c r="ET34" s="80"/>
      <c r="EU34" s="80"/>
      <c r="EV34" s="80"/>
      <c r="EW34" s="80"/>
      <c r="EX34" s="80"/>
      <c r="EY34" s="80"/>
      <c r="EZ34" s="80"/>
      <c r="FA34" s="80"/>
      <c r="FB34" s="80"/>
      <c r="FC34" s="80"/>
      <c r="FD34" s="80"/>
      <c r="FE34" s="80"/>
      <c r="FF34" s="80"/>
      <c r="FG34" s="80"/>
      <c r="FH34" s="80"/>
      <c r="FI34" s="80"/>
      <c r="FJ34" s="80"/>
      <c r="FK34" s="80"/>
      <c r="FL34" s="80"/>
      <c r="FM34" s="80"/>
      <c r="FN34" s="80"/>
      <c r="FO34" s="80"/>
      <c r="FP34" s="80"/>
      <c r="FQ34" s="80"/>
      <c r="FR34" s="80"/>
      <c r="FS34" s="80"/>
      <c r="FT34" s="80"/>
      <c r="FU34" s="80"/>
      <c r="FV34" s="80"/>
      <c r="FW34" s="80"/>
      <c r="FX34" s="80"/>
      <c r="FY34" s="80"/>
      <c r="FZ34" s="80"/>
      <c r="GA34" s="109"/>
      <c r="GB34" s="109"/>
      <c r="GC34" s="109"/>
      <c r="GD34" s="109"/>
      <c r="GE34" s="82"/>
      <c r="GF34" s="80"/>
      <c r="GG34" s="80"/>
      <c r="GH34" s="80"/>
      <c r="GI34" s="80"/>
      <c r="GJ34" s="80"/>
      <c r="GK34" s="80"/>
      <c r="GL34" s="80"/>
      <c r="GM34" s="80"/>
      <c r="GN34" s="80"/>
      <c r="GO34" s="80"/>
      <c r="GP34" s="80"/>
      <c r="GQ34" s="80"/>
      <c r="GR34" s="80"/>
      <c r="GS34" s="80"/>
      <c r="GT34" s="80"/>
      <c r="GU34" s="80"/>
      <c r="GV34" s="80"/>
      <c r="GW34" s="80"/>
      <c r="GX34" s="80"/>
      <c r="GY34" s="80"/>
      <c r="GZ34" s="80"/>
      <c r="HA34" s="80"/>
      <c r="HB34" s="80"/>
      <c r="HC34" s="80"/>
      <c r="HD34" s="80"/>
      <c r="HE34" s="80"/>
      <c r="HF34" s="80"/>
      <c r="HG34" s="80"/>
      <c r="HH34" s="80"/>
      <c r="HI34" s="80"/>
      <c r="HJ34" s="80"/>
      <c r="HK34" s="80"/>
      <c r="HL34" s="80"/>
      <c r="HM34" s="80"/>
      <c r="HN34" s="80"/>
      <c r="HO34" s="80"/>
      <c r="HP34" s="80"/>
      <c r="HQ34" s="80"/>
      <c r="HR34" s="80"/>
      <c r="HS34" s="80"/>
      <c r="HT34" s="80"/>
      <c r="HU34" s="80"/>
      <c r="HV34" s="80"/>
      <c r="HW34" s="80"/>
      <c r="HX34" s="80"/>
      <c r="HY34" s="80"/>
      <c r="HZ34" s="80"/>
      <c r="IA34" s="80"/>
      <c r="IB34" s="80"/>
      <c r="IC34" s="80"/>
      <c r="ID34" s="80"/>
      <c r="IE34" s="80"/>
      <c r="IF34" s="80"/>
      <c r="IG34" s="80"/>
      <c r="IH34" s="80"/>
      <c r="II34" s="80"/>
      <c r="IJ34" s="80"/>
      <c r="IK34" s="80"/>
      <c r="IL34" s="80"/>
      <c r="IM34" s="80"/>
      <c r="IN34" s="80"/>
      <c r="IO34" s="80"/>
      <c r="IP34" s="80"/>
      <c r="IQ34" s="80"/>
      <c r="IR34" s="80"/>
      <c r="IS34" s="80"/>
      <c r="IT34" s="80"/>
      <c r="IU34" s="80"/>
      <c r="IV34" s="80"/>
      <c r="IW34" s="80"/>
      <c r="IX34" s="80"/>
      <c r="IY34" s="80"/>
      <c r="IZ34" s="80"/>
      <c r="JA34" s="80"/>
      <c r="JB34" s="80"/>
      <c r="JC34" s="80"/>
      <c r="JD34" s="80"/>
      <c r="JE34" s="80"/>
      <c r="JF34" s="80"/>
      <c r="JG34" s="80"/>
      <c r="JH34" s="80"/>
      <c r="JI34" s="80"/>
      <c r="JJ34" s="80"/>
      <c r="JK34" s="80"/>
      <c r="JL34" s="80"/>
      <c r="JM34" s="80"/>
      <c r="JN34" s="80"/>
      <c r="JO34" s="80"/>
      <c r="JP34" s="80"/>
      <c r="JQ34" s="80"/>
      <c r="JR34" s="80"/>
      <c r="JS34" s="80"/>
      <c r="JT34" s="80"/>
      <c r="JU34" s="80"/>
      <c r="JV34" s="80"/>
      <c r="JW34" s="80"/>
      <c r="JX34" s="80"/>
      <c r="JY34" s="80"/>
      <c r="JZ34" s="80"/>
      <c r="KA34" s="80"/>
      <c r="KB34" s="80"/>
      <c r="KC34" s="80"/>
      <c r="KD34" s="80"/>
    </row>
    <row r="35" spans="6:290" x14ac:dyDescent="0.35">
      <c r="F35" s="76" t="s">
        <v>589</v>
      </c>
      <c r="G35" s="77" t="s">
        <v>223</v>
      </c>
      <c r="H35" s="68">
        <v>45916</v>
      </c>
      <c r="I35" s="68">
        <v>45916</v>
      </c>
      <c r="J35" s="78">
        <v>0</v>
      </c>
      <c r="K35" s="68">
        <v>45916</v>
      </c>
      <c r="L35" s="68">
        <v>45919</v>
      </c>
      <c r="M35" s="78">
        <v>3</v>
      </c>
      <c r="N35" s="78">
        <v>3</v>
      </c>
      <c r="O35" s="79">
        <v>0</v>
      </c>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80"/>
      <c r="CS35" s="80"/>
      <c r="CT35" s="80"/>
      <c r="CU35" s="80"/>
      <c r="CV35" s="80"/>
      <c r="CW35" s="80"/>
      <c r="CX35" s="80"/>
      <c r="CY35" s="80"/>
      <c r="CZ35" s="80"/>
      <c r="DA35" s="80"/>
      <c r="DB35" s="80"/>
      <c r="DC35" s="80"/>
      <c r="DD35" s="80"/>
      <c r="DE35" s="80"/>
      <c r="DF35" s="80"/>
      <c r="DG35" s="80"/>
      <c r="DH35" s="80"/>
      <c r="DI35" s="80"/>
      <c r="DJ35" s="80"/>
      <c r="DK35" s="80"/>
      <c r="DL35" s="80"/>
      <c r="DM35" s="80"/>
      <c r="DN35" s="80"/>
      <c r="DO35" s="80"/>
      <c r="DP35" s="80"/>
      <c r="DQ35" s="80"/>
      <c r="DR35" s="80"/>
      <c r="DS35" s="80"/>
      <c r="DT35" s="80"/>
      <c r="DU35" s="80"/>
      <c r="DV35" s="80"/>
      <c r="DW35" s="80"/>
      <c r="DX35" s="80"/>
      <c r="DY35" s="80"/>
      <c r="DZ35" s="80"/>
      <c r="EA35" s="80"/>
      <c r="EB35" s="80"/>
      <c r="EC35" s="80"/>
      <c r="ED35" s="80"/>
      <c r="EE35" s="80"/>
      <c r="EF35" s="80"/>
      <c r="EG35" s="80"/>
      <c r="EH35" s="80"/>
      <c r="EI35" s="80"/>
      <c r="EJ35" s="80"/>
      <c r="EK35" s="80"/>
      <c r="EL35" s="80"/>
      <c r="EM35" s="80"/>
      <c r="EN35" s="80"/>
      <c r="EO35" s="80"/>
      <c r="EP35" s="80"/>
      <c r="EQ35" s="80"/>
      <c r="ER35" s="80"/>
      <c r="ES35" s="80"/>
      <c r="ET35" s="80"/>
      <c r="EU35" s="80"/>
      <c r="EV35" s="80"/>
      <c r="EW35" s="80"/>
      <c r="EX35" s="80"/>
      <c r="EY35" s="80"/>
      <c r="EZ35" s="80"/>
      <c r="FA35" s="80"/>
      <c r="FB35" s="80"/>
      <c r="FC35" s="80"/>
      <c r="FD35" s="80"/>
      <c r="FE35" s="80"/>
      <c r="FF35" s="80"/>
      <c r="FG35" s="80"/>
      <c r="FH35" s="80"/>
      <c r="FI35" s="80"/>
      <c r="FJ35" s="80"/>
      <c r="FK35" s="80"/>
      <c r="FL35" s="80"/>
      <c r="FM35" s="80"/>
      <c r="FN35" s="80"/>
      <c r="FO35" s="80"/>
      <c r="FP35" s="80"/>
      <c r="FQ35" s="80"/>
      <c r="FR35" s="80"/>
      <c r="FS35" s="80"/>
      <c r="FT35" s="80"/>
      <c r="FU35" s="80"/>
      <c r="FV35" s="80"/>
      <c r="FW35" s="80"/>
      <c r="FX35" s="80"/>
      <c r="FY35" s="80"/>
      <c r="FZ35" s="80"/>
      <c r="GA35" s="80"/>
      <c r="GB35" s="83"/>
      <c r="GC35" s="83"/>
      <c r="GD35" s="83"/>
      <c r="GE35" s="83"/>
      <c r="GF35" s="80"/>
      <c r="GG35" s="80"/>
      <c r="GH35" s="80"/>
      <c r="GI35" s="80"/>
      <c r="GJ35" s="80"/>
      <c r="GK35" s="80"/>
      <c r="GL35" s="80"/>
      <c r="GM35" s="80"/>
      <c r="GN35" s="80"/>
      <c r="GO35" s="80"/>
      <c r="GP35" s="80"/>
      <c r="GQ35" s="80"/>
      <c r="GR35" s="80"/>
      <c r="GS35" s="80"/>
      <c r="GT35" s="80"/>
      <c r="GU35" s="80"/>
      <c r="GV35" s="80"/>
      <c r="GW35" s="80"/>
      <c r="GX35" s="80"/>
      <c r="GY35" s="80"/>
      <c r="GZ35" s="80"/>
      <c r="HA35" s="80"/>
      <c r="HB35" s="80"/>
      <c r="HC35" s="80"/>
      <c r="HD35" s="80"/>
      <c r="HE35" s="80"/>
      <c r="HF35" s="80"/>
      <c r="HG35" s="80"/>
      <c r="HH35" s="80"/>
      <c r="HI35" s="80"/>
      <c r="HJ35" s="80"/>
      <c r="HK35" s="80"/>
      <c r="HL35" s="80"/>
      <c r="HM35" s="80"/>
      <c r="HN35" s="80"/>
      <c r="HO35" s="80"/>
      <c r="HP35" s="80"/>
      <c r="HQ35" s="80"/>
      <c r="HR35" s="80"/>
      <c r="HS35" s="80"/>
      <c r="HT35" s="80"/>
      <c r="HU35" s="80"/>
      <c r="HV35" s="80"/>
      <c r="HW35" s="80"/>
      <c r="HX35" s="80"/>
      <c r="HY35" s="80"/>
      <c r="HZ35" s="80"/>
      <c r="IA35" s="80"/>
      <c r="IB35" s="80"/>
      <c r="IC35" s="80"/>
      <c r="ID35" s="80"/>
      <c r="IE35" s="80"/>
      <c r="IF35" s="80"/>
      <c r="IG35" s="80"/>
      <c r="IH35" s="80"/>
      <c r="II35" s="80"/>
      <c r="IJ35" s="80"/>
      <c r="IK35" s="80"/>
      <c r="IL35" s="80"/>
      <c r="IM35" s="80"/>
      <c r="IN35" s="80"/>
      <c r="IO35" s="80"/>
      <c r="IP35" s="80"/>
      <c r="IQ35" s="80"/>
      <c r="IR35" s="80"/>
      <c r="IS35" s="80"/>
      <c r="IT35" s="80"/>
      <c r="IU35" s="80"/>
      <c r="IV35" s="80"/>
      <c r="IW35" s="80"/>
      <c r="IX35" s="80"/>
      <c r="IY35" s="80"/>
      <c r="IZ35" s="80"/>
      <c r="JA35" s="80"/>
      <c r="JB35" s="80"/>
      <c r="JC35" s="80"/>
      <c r="JD35" s="80"/>
      <c r="JE35" s="80"/>
      <c r="JF35" s="80"/>
      <c r="JG35" s="80"/>
      <c r="JH35" s="80"/>
      <c r="JI35" s="80"/>
      <c r="JJ35" s="80"/>
      <c r="JK35" s="80"/>
      <c r="JL35" s="80"/>
      <c r="JM35" s="80"/>
      <c r="JN35" s="80"/>
      <c r="JO35" s="80"/>
      <c r="JP35" s="80"/>
      <c r="JQ35" s="80"/>
      <c r="JR35" s="80"/>
      <c r="JS35" s="80"/>
      <c r="JT35" s="80"/>
      <c r="JU35" s="80"/>
      <c r="JV35" s="80"/>
      <c r="JW35" s="80"/>
      <c r="JX35" s="80"/>
      <c r="JY35" s="80"/>
      <c r="JZ35" s="80"/>
      <c r="KA35" s="80"/>
      <c r="KB35" s="80"/>
      <c r="KC35" s="80"/>
      <c r="KD35" s="80"/>
    </row>
    <row r="36" spans="6:290" x14ac:dyDescent="0.35">
      <c r="F36" s="76" t="s">
        <v>590</v>
      </c>
      <c r="G36" s="77" t="s">
        <v>102</v>
      </c>
      <c r="H36" s="68">
        <v>45916</v>
      </c>
      <c r="I36" s="68">
        <v>45916</v>
      </c>
      <c r="J36" s="78">
        <v>0</v>
      </c>
      <c r="K36" s="68">
        <v>45916</v>
      </c>
      <c r="L36" s="68"/>
      <c r="M36" s="78"/>
      <c r="N36" s="78"/>
      <c r="O36" s="79">
        <v>0</v>
      </c>
      <c r="P36" s="80"/>
      <c r="Q36" s="80"/>
      <c r="R36" s="80"/>
      <c r="S36" s="80"/>
      <c r="T36" s="80"/>
      <c r="U36" s="80"/>
      <c r="V36" s="80"/>
      <c r="W36" s="80"/>
      <c r="X36" s="80"/>
      <c r="Y36" s="80"/>
      <c r="Z36" s="80"/>
      <c r="AA36" s="80"/>
      <c r="AB36" s="80"/>
      <c r="AC36" s="80"/>
      <c r="AD36" s="80"/>
      <c r="AE36" s="80"/>
      <c r="AF36" s="80"/>
      <c r="AG36" s="80"/>
      <c r="AH36" s="80"/>
      <c r="AI36" s="80"/>
      <c r="AJ36" s="80"/>
      <c r="AK36" s="80"/>
      <c r="AL36" s="80"/>
      <c r="AM36" s="80"/>
      <c r="AN36" s="80"/>
      <c r="AO36" s="80"/>
      <c r="AP36" s="80"/>
      <c r="AQ36" s="80"/>
      <c r="AR36" s="80"/>
      <c r="AS36" s="80"/>
      <c r="AT36" s="80"/>
      <c r="AU36" s="80"/>
      <c r="AV36" s="80"/>
      <c r="AW36" s="80"/>
      <c r="AX36" s="80"/>
      <c r="AY36" s="80"/>
      <c r="AZ36" s="80"/>
      <c r="BA36" s="80"/>
      <c r="BB36" s="80"/>
      <c r="BC36" s="80"/>
      <c r="BD36" s="80"/>
      <c r="BE36" s="80"/>
      <c r="BF36" s="80"/>
      <c r="BG36" s="80"/>
      <c r="BH36" s="80"/>
      <c r="BI36" s="80"/>
      <c r="BJ36" s="80"/>
      <c r="BK36" s="80"/>
      <c r="BL36" s="80"/>
      <c r="BM36" s="80"/>
      <c r="BN36" s="80"/>
      <c r="BO36" s="80"/>
      <c r="BP36" s="80"/>
      <c r="BQ36" s="80"/>
      <c r="BR36" s="80"/>
      <c r="BS36" s="80"/>
      <c r="BT36" s="80"/>
      <c r="BU36" s="80"/>
      <c r="BV36" s="80"/>
      <c r="BW36" s="80"/>
      <c r="BX36" s="80"/>
      <c r="BY36" s="80"/>
      <c r="BZ36" s="80"/>
      <c r="CA36" s="80"/>
      <c r="CB36" s="80"/>
      <c r="CC36" s="80"/>
      <c r="CD36" s="80"/>
      <c r="CE36" s="80"/>
      <c r="CF36" s="80"/>
      <c r="CG36" s="80"/>
      <c r="CH36" s="80"/>
      <c r="CI36" s="80"/>
      <c r="CJ36" s="80"/>
      <c r="CK36" s="80"/>
      <c r="CL36" s="80"/>
      <c r="CM36" s="80"/>
      <c r="CN36" s="80"/>
      <c r="CO36" s="80"/>
      <c r="CP36" s="80"/>
      <c r="CQ36" s="80"/>
      <c r="CR36" s="80"/>
      <c r="CS36" s="80"/>
      <c r="CT36" s="80"/>
      <c r="CU36" s="80"/>
      <c r="CV36" s="80"/>
      <c r="CW36" s="80"/>
      <c r="CX36" s="80"/>
      <c r="CY36" s="80"/>
      <c r="CZ36" s="80"/>
      <c r="DA36" s="80"/>
      <c r="DB36" s="80"/>
      <c r="DC36" s="80"/>
      <c r="DD36" s="80"/>
      <c r="DE36" s="80"/>
      <c r="DF36" s="80"/>
      <c r="DG36" s="80"/>
      <c r="DH36" s="80"/>
      <c r="DI36" s="80"/>
      <c r="DJ36" s="80"/>
      <c r="DK36" s="80"/>
      <c r="DL36" s="80"/>
      <c r="DM36" s="80"/>
      <c r="DN36" s="80"/>
      <c r="DO36" s="80"/>
      <c r="DP36" s="80"/>
      <c r="DQ36" s="80"/>
      <c r="DR36" s="80"/>
      <c r="DS36" s="80"/>
      <c r="DT36" s="80"/>
      <c r="DU36" s="80"/>
      <c r="DV36" s="80"/>
      <c r="DW36" s="80"/>
      <c r="DX36" s="80"/>
      <c r="DY36" s="80"/>
      <c r="DZ36" s="80"/>
      <c r="EA36" s="80"/>
      <c r="EB36" s="80"/>
      <c r="EC36" s="80"/>
      <c r="ED36" s="80"/>
      <c r="EE36" s="80"/>
      <c r="EF36" s="80"/>
      <c r="EG36" s="80"/>
      <c r="EH36" s="80"/>
      <c r="EI36" s="80"/>
      <c r="EJ36" s="80"/>
      <c r="EK36" s="80"/>
      <c r="EL36" s="80"/>
      <c r="EM36" s="80"/>
      <c r="EN36" s="80"/>
      <c r="EO36" s="80"/>
      <c r="EP36" s="80"/>
      <c r="EQ36" s="80"/>
      <c r="ER36" s="80"/>
      <c r="ES36" s="80"/>
      <c r="ET36" s="80"/>
      <c r="EU36" s="80"/>
      <c r="EV36" s="80"/>
      <c r="EW36" s="80"/>
      <c r="EX36" s="80"/>
      <c r="EY36" s="80"/>
      <c r="EZ36" s="80"/>
      <c r="FA36" s="80"/>
      <c r="FB36" s="80"/>
      <c r="FC36" s="80"/>
      <c r="FD36" s="80"/>
      <c r="FE36" s="80"/>
      <c r="FF36" s="80"/>
      <c r="FG36" s="80"/>
      <c r="FH36" s="80"/>
      <c r="FI36" s="80"/>
      <c r="FJ36" s="80"/>
      <c r="FK36" s="80"/>
      <c r="FL36" s="80"/>
      <c r="FM36" s="80"/>
      <c r="FN36" s="80"/>
      <c r="FO36" s="80"/>
      <c r="FP36" s="80"/>
      <c r="FQ36" s="80"/>
      <c r="FR36" s="80"/>
      <c r="FS36" s="80"/>
      <c r="FT36" s="80"/>
      <c r="FU36" s="80"/>
      <c r="FV36" s="80"/>
      <c r="FW36" s="80"/>
      <c r="FX36" s="80"/>
      <c r="FY36" s="80"/>
      <c r="FZ36" s="80"/>
      <c r="GA36" s="80"/>
      <c r="GB36" s="82"/>
      <c r="GC36" s="80"/>
      <c r="GD36" s="80"/>
      <c r="GE36" s="80"/>
      <c r="GF36" s="80"/>
      <c r="GG36" s="80"/>
      <c r="GH36" s="80"/>
      <c r="GI36" s="80"/>
      <c r="GJ36" s="80"/>
      <c r="GK36" s="80"/>
      <c r="GL36" s="80"/>
      <c r="GM36" s="80"/>
      <c r="GN36" s="80"/>
      <c r="GO36" s="80"/>
      <c r="GP36" s="80"/>
      <c r="GQ36" s="80"/>
      <c r="GR36" s="80"/>
      <c r="GS36" s="80"/>
      <c r="GT36" s="80"/>
      <c r="GU36" s="80"/>
      <c r="GV36" s="80"/>
      <c r="GW36" s="80"/>
      <c r="GX36" s="80"/>
      <c r="GY36" s="80"/>
      <c r="GZ36" s="80"/>
      <c r="HA36" s="80"/>
      <c r="HB36" s="80"/>
      <c r="HC36" s="80"/>
      <c r="HD36" s="80"/>
      <c r="HE36" s="80"/>
      <c r="HF36" s="80"/>
      <c r="HG36" s="80"/>
      <c r="HH36" s="80"/>
      <c r="HI36" s="80"/>
      <c r="HJ36" s="80"/>
      <c r="HK36" s="80"/>
      <c r="HL36" s="80"/>
      <c r="HM36" s="80"/>
      <c r="HN36" s="80"/>
      <c r="HO36" s="80"/>
      <c r="HP36" s="80"/>
      <c r="HQ36" s="80"/>
      <c r="HR36" s="80"/>
      <c r="HS36" s="80"/>
      <c r="HT36" s="80"/>
      <c r="HU36" s="80"/>
      <c r="HV36" s="80"/>
      <c r="HW36" s="80"/>
      <c r="HX36" s="80"/>
      <c r="HY36" s="80"/>
      <c r="HZ36" s="80"/>
      <c r="IA36" s="80"/>
      <c r="IB36" s="80"/>
      <c r="IC36" s="80"/>
      <c r="ID36" s="80"/>
      <c r="IE36" s="80"/>
      <c r="IF36" s="80"/>
      <c r="IG36" s="80"/>
      <c r="IH36" s="80"/>
      <c r="II36" s="80"/>
      <c r="IJ36" s="80"/>
      <c r="IK36" s="80"/>
      <c r="IL36" s="80"/>
      <c r="IM36" s="80"/>
      <c r="IN36" s="80"/>
      <c r="IO36" s="80"/>
      <c r="IP36" s="80"/>
      <c r="IQ36" s="80"/>
      <c r="IR36" s="80"/>
      <c r="IS36" s="80"/>
      <c r="IT36" s="80"/>
      <c r="IU36" s="80"/>
      <c r="IV36" s="80"/>
      <c r="IW36" s="80"/>
      <c r="IX36" s="80"/>
      <c r="IY36" s="80"/>
      <c r="IZ36" s="80"/>
      <c r="JA36" s="80"/>
      <c r="JB36" s="80"/>
      <c r="JC36" s="80"/>
      <c r="JD36" s="80"/>
      <c r="JE36" s="80"/>
      <c r="JF36" s="80"/>
      <c r="JG36" s="80"/>
      <c r="JH36" s="80"/>
      <c r="JI36" s="80"/>
      <c r="JJ36" s="80"/>
      <c r="JK36" s="80"/>
      <c r="JL36" s="80"/>
      <c r="JM36" s="80"/>
      <c r="JN36" s="80"/>
      <c r="JO36" s="80"/>
      <c r="JP36" s="80"/>
      <c r="JQ36" s="80"/>
      <c r="JR36" s="80"/>
      <c r="JS36" s="80"/>
      <c r="JT36" s="80"/>
      <c r="JU36" s="80"/>
      <c r="JV36" s="80"/>
      <c r="JW36" s="80"/>
      <c r="JX36" s="80"/>
      <c r="JY36" s="80"/>
      <c r="JZ36" s="80"/>
      <c r="KA36" s="80"/>
      <c r="KB36" s="80"/>
      <c r="KC36" s="80"/>
      <c r="KD36" s="80"/>
    </row>
    <row r="37" spans="6:290" x14ac:dyDescent="0.35">
      <c r="F37" s="76" t="s">
        <v>591</v>
      </c>
      <c r="G37" s="77" t="s">
        <v>102</v>
      </c>
      <c r="H37" s="68">
        <v>45916</v>
      </c>
      <c r="I37" s="68">
        <v>45916</v>
      </c>
      <c r="J37" s="78">
        <v>0</v>
      </c>
      <c r="K37" s="68">
        <v>45916</v>
      </c>
      <c r="L37" s="68">
        <v>45922</v>
      </c>
      <c r="M37" s="78">
        <v>6</v>
      </c>
      <c r="N37" s="78">
        <v>6</v>
      </c>
      <c r="O37" s="79">
        <v>0</v>
      </c>
      <c r="P37" s="80"/>
      <c r="Q37" s="80"/>
      <c r="R37" s="80"/>
      <c r="S37" s="80"/>
      <c r="T37" s="80"/>
      <c r="U37" s="80"/>
      <c r="V37" s="80"/>
      <c r="W37" s="80"/>
      <c r="X37" s="80"/>
      <c r="Y37" s="80"/>
      <c r="Z37" s="80"/>
      <c r="AA37" s="80"/>
      <c r="AB37" s="80"/>
      <c r="AC37" s="80"/>
      <c r="AD37" s="80"/>
      <c r="AE37" s="80"/>
      <c r="AF37" s="80"/>
      <c r="AG37" s="80"/>
      <c r="AH37" s="80"/>
      <c r="AI37" s="80"/>
      <c r="AJ37" s="80"/>
      <c r="AK37" s="80"/>
      <c r="AL37" s="80"/>
      <c r="AM37" s="80"/>
      <c r="AN37" s="80"/>
      <c r="AO37" s="80"/>
      <c r="AP37" s="80"/>
      <c r="AQ37" s="80"/>
      <c r="AR37" s="80"/>
      <c r="AS37" s="80"/>
      <c r="AT37" s="80"/>
      <c r="AU37" s="80"/>
      <c r="AV37" s="80"/>
      <c r="AW37" s="80"/>
      <c r="AX37" s="80"/>
      <c r="AY37" s="80"/>
      <c r="AZ37" s="80"/>
      <c r="BA37" s="80"/>
      <c r="BB37" s="80"/>
      <c r="BC37" s="80"/>
      <c r="BD37" s="80"/>
      <c r="BE37" s="80"/>
      <c r="BF37" s="80"/>
      <c r="BG37" s="80"/>
      <c r="BH37" s="80"/>
      <c r="BI37" s="80"/>
      <c r="BJ37" s="80"/>
      <c r="BK37" s="80"/>
      <c r="BL37" s="80"/>
      <c r="BM37" s="80"/>
      <c r="BN37" s="80"/>
      <c r="BO37" s="80"/>
      <c r="BP37" s="80"/>
      <c r="BQ37" s="80"/>
      <c r="BR37" s="80"/>
      <c r="BS37" s="80"/>
      <c r="BT37" s="80"/>
      <c r="BU37" s="80"/>
      <c r="BV37" s="80"/>
      <c r="BW37" s="80"/>
      <c r="BX37" s="80"/>
      <c r="BY37" s="80"/>
      <c r="BZ37" s="80"/>
      <c r="CA37" s="80"/>
      <c r="CB37" s="80"/>
      <c r="CC37" s="80"/>
      <c r="CD37" s="80"/>
      <c r="CE37" s="80"/>
      <c r="CF37" s="80"/>
      <c r="CG37" s="80"/>
      <c r="CH37" s="80"/>
      <c r="CI37" s="80"/>
      <c r="CJ37" s="80"/>
      <c r="CK37" s="80"/>
      <c r="CL37" s="80"/>
      <c r="CM37" s="80"/>
      <c r="CN37" s="80"/>
      <c r="CO37" s="80"/>
      <c r="CP37" s="80"/>
      <c r="CQ37" s="80"/>
      <c r="CR37" s="80"/>
      <c r="CS37" s="80"/>
      <c r="CT37" s="80"/>
      <c r="CU37" s="80"/>
      <c r="CV37" s="80"/>
      <c r="CW37" s="80"/>
      <c r="CX37" s="80"/>
      <c r="CY37" s="80"/>
      <c r="CZ37" s="80"/>
      <c r="DA37" s="80"/>
      <c r="DB37" s="80"/>
      <c r="DC37" s="80"/>
      <c r="DD37" s="80"/>
      <c r="DE37" s="80"/>
      <c r="DF37" s="80"/>
      <c r="DG37" s="80"/>
      <c r="DH37" s="80"/>
      <c r="DI37" s="80"/>
      <c r="DJ37" s="80"/>
      <c r="DK37" s="80"/>
      <c r="DL37" s="80"/>
      <c r="DM37" s="80"/>
      <c r="DN37" s="80"/>
      <c r="DO37" s="80"/>
      <c r="DP37" s="80"/>
      <c r="DQ37" s="80"/>
      <c r="DR37" s="80"/>
      <c r="DS37" s="80"/>
      <c r="DT37" s="80"/>
      <c r="DU37" s="80"/>
      <c r="DV37" s="80"/>
      <c r="DW37" s="80"/>
      <c r="DX37" s="80"/>
      <c r="DY37" s="80"/>
      <c r="DZ37" s="80"/>
      <c r="EA37" s="80"/>
      <c r="EB37" s="80"/>
      <c r="EC37" s="80"/>
      <c r="ED37" s="80"/>
      <c r="EE37" s="80"/>
      <c r="EF37" s="80"/>
      <c r="EG37" s="80"/>
      <c r="EH37" s="80"/>
      <c r="EI37" s="80"/>
      <c r="EJ37" s="80"/>
      <c r="EK37" s="80"/>
      <c r="EL37" s="80"/>
      <c r="EM37" s="80"/>
      <c r="EN37" s="80"/>
      <c r="EO37" s="80"/>
      <c r="EP37" s="80"/>
      <c r="EQ37" s="80"/>
      <c r="ER37" s="80"/>
      <c r="ES37" s="80"/>
      <c r="ET37" s="80"/>
      <c r="EU37" s="80"/>
      <c r="EV37" s="80"/>
      <c r="EW37" s="80"/>
      <c r="EX37" s="80"/>
      <c r="EY37" s="80"/>
      <c r="EZ37" s="80"/>
      <c r="FA37" s="80"/>
      <c r="FB37" s="80"/>
      <c r="FC37" s="80"/>
      <c r="FD37" s="80"/>
      <c r="FE37" s="80"/>
      <c r="FF37" s="80"/>
      <c r="FG37" s="80"/>
      <c r="FH37" s="80"/>
      <c r="FI37" s="80"/>
      <c r="FJ37" s="80"/>
      <c r="FK37" s="80"/>
      <c r="FL37" s="80"/>
      <c r="FM37" s="80"/>
      <c r="FN37" s="80"/>
      <c r="FO37" s="80"/>
      <c r="FP37" s="80"/>
      <c r="FQ37" s="80"/>
      <c r="FR37" s="80"/>
      <c r="FS37" s="80"/>
      <c r="FT37" s="80"/>
      <c r="FU37" s="80"/>
      <c r="FV37" s="80"/>
      <c r="FW37" s="80"/>
      <c r="FX37" s="80"/>
      <c r="FY37" s="80"/>
      <c r="FZ37" s="80"/>
      <c r="GA37" s="80"/>
      <c r="GB37" s="110"/>
      <c r="GC37" s="110"/>
      <c r="GD37" s="110"/>
      <c r="GE37" s="110"/>
      <c r="GF37" s="110"/>
      <c r="GG37" s="110"/>
      <c r="GH37" s="110"/>
      <c r="GI37" s="80"/>
      <c r="GJ37" s="80"/>
      <c r="GK37" s="80"/>
      <c r="GL37" s="80"/>
      <c r="GM37" s="80"/>
      <c r="GN37" s="80"/>
      <c r="GO37" s="80"/>
      <c r="GP37" s="80"/>
      <c r="GQ37" s="80"/>
      <c r="GR37" s="80"/>
      <c r="GS37" s="80"/>
      <c r="GT37" s="80"/>
      <c r="GU37" s="80"/>
      <c r="GV37" s="80"/>
      <c r="GW37" s="80"/>
      <c r="GX37" s="80"/>
      <c r="GY37" s="80"/>
      <c r="GZ37" s="80"/>
      <c r="HA37" s="80"/>
      <c r="HB37" s="80"/>
      <c r="HC37" s="80"/>
      <c r="HD37" s="80"/>
      <c r="HE37" s="80"/>
      <c r="HF37" s="80"/>
      <c r="HG37" s="80"/>
      <c r="HH37" s="80"/>
      <c r="HI37" s="80"/>
      <c r="HJ37" s="80"/>
      <c r="HK37" s="80"/>
      <c r="HL37" s="80"/>
      <c r="HM37" s="80"/>
      <c r="HN37" s="80"/>
      <c r="HO37" s="80"/>
      <c r="HP37" s="80"/>
      <c r="HQ37" s="80"/>
      <c r="HR37" s="80"/>
      <c r="HS37" s="80"/>
      <c r="HT37" s="80"/>
      <c r="HU37" s="80"/>
      <c r="HV37" s="80"/>
      <c r="HW37" s="80"/>
      <c r="HX37" s="80"/>
      <c r="HY37" s="80"/>
      <c r="HZ37" s="80"/>
      <c r="IA37" s="80"/>
      <c r="IB37" s="80"/>
      <c r="IC37" s="80"/>
      <c r="ID37" s="80"/>
      <c r="IE37" s="80"/>
      <c r="IF37" s="80"/>
      <c r="IG37" s="80"/>
      <c r="IH37" s="80"/>
      <c r="II37" s="80"/>
      <c r="IJ37" s="80"/>
      <c r="IK37" s="80"/>
      <c r="IL37" s="80"/>
      <c r="IM37" s="80"/>
      <c r="IN37" s="80"/>
      <c r="IO37" s="80"/>
      <c r="IP37" s="80"/>
      <c r="IQ37" s="80"/>
      <c r="IR37" s="80"/>
      <c r="IS37" s="80"/>
      <c r="IT37" s="80"/>
      <c r="IU37" s="80"/>
      <c r="IV37" s="80"/>
      <c r="IW37" s="80"/>
      <c r="IX37" s="80"/>
      <c r="IY37" s="80"/>
      <c r="IZ37" s="80"/>
      <c r="JA37" s="80"/>
      <c r="JB37" s="80"/>
      <c r="JC37" s="80"/>
      <c r="JD37" s="80"/>
      <c r="JE37" s="80"/>
      <c r="JF37" s="80"/>
      <c r="JG37" s="80"/>
      <c r="JH37" s="80"/>
      <c r="JI37" s="80"/>
      <c r="JJ37" s="80"/>
      <c r="JK37" s="80"/>
      <c r="JL37" s="80"/>
      <c r="JM37" s="80"/>
      <c r="JN37" s="80"/>
      <c r="JO37" s="80"/>
      <c r="JP37" s="80"/>
      <c r="JQ37" s="80"/>
      <c r="JR37" s="80"/>
      <c r="JS37" s="80"/>
      <c r="JT37" s="80"/>
      <c r="JU37" s="80"/>
      <c r="JV37" s="80"/>
      <c r="JW37" s="80"/>
      <c r="JX37" s="80"/>
      <c r="JY37" s="80"/>
      <c r="JZ37" s="80"/>
      <c r="KA37" s="80"/>
      <c r="KB37" s="80"/>
      <c r="KC37" s="80"/>
      <c r="KD37" s="80"/>
    </row>
    <row r="38" spans="6:290" x14ac:dyDescent="0.35">
      <c r="F38" s="76" t="s">
        <v>592</v>
      </c>
      <c r="G38" s="77" t="s">
        <v>102</v>
      </c>
      <c r="H38" s="68">
        <v>45916</v>
      </c>
      <c r="I38" s="68">
        <v>45916</v>
      </c>
      <c r="J38" s="78">
        <v>0</v>
      </c>
      <c r="K38" s="68">
        <v>45916</v>
      </c>
      <c r="L38" s="68">
        <v>45919</v>
      </c>
      <c r="M38" s="78">
        <v>3</v>
      </c>
      <c r="N38" s="78">
        <v>3</v>
      </c>
      <c r="O38" s="79">
        <v>0</v>
      </c>
      <c r="P38" s="80"/>
      <c r="Q38" s="80"/>
      <c r="R38" s="80"/>
      <c r="S38" s="80"/>
      <c r="T38" s="80"/>
      <c r="U38" s="80"/>
      <c r="V38" s="80"/>
      <c r="W38" s="80"/>
      <c r="X38" s="80"/>
      <c r="Y38" s="80"/>
      <c r="Z38" s="80"/>
      <c r="AA38" s="80"/>
      <c r="AB38" s="80"/>
      <c r="AC38" s="80"/>
      <c r="AD38" s="80"/>
      <c r="AE38" s="80"/>
      <c r="AF38" s="80"/>
      <c r="AG38" s="80"/>
      <c r="AH38" s="80"/>
      <c r="AI38" s="80"/>
      <c r="AJ38" s="80"/>
      <c r="AK38" s="80"/>
      <c r="AL38" s="80"/>
      <c r="AM38" s="80"/>
      <c r="AN38" s="80"/>
      <c r="AO38" s="80"/>
      <c r="AP38" s="80"/>
      <c r="AQ38" s="80"/>
      <c r="AR38" s="80"/>
      <c r="AS38" s="80"/>
      <c r="AT38" s="80"/>
      <c r="AU38" s="80"/>
      <c r="AV38" s="80"/>
      <c r="AW38" s="80"/>
      <c r="AX38" s="80"/>
      <c r="AY38" s="80"/>
      <c r="AZ38" s="80"/>
      <c r="BA38" s="80"/>
      <c r="BB38" s="80"/>
      <c r="BC38" s="80"/>
      <c r="BD38" s="80"/>
      <c r="BE38" s="80"/>
      <c r="BF38" s="80"/>
      <c r="BG38" s="80"/>
      <c r="BH38" s="80"/>
      <c r="BI38" s="80"/>
      <c r="BJ38" s="80"/>
      <c r="BK38" s="80"/>
      <c r="BL38" s="80"/>
      <c r="BM38" s="80"/>
      <c r="BN38" s="80"/>
      <c r="BO38" s="80"/>
      <c r="BP38" s="80"/>
      <c r="BQ38" s="80"/>
      <c r="BR38" s="80"/>
      <c r="BS38" s="80"/>
      <c r="BT38" s="80"/>
      <c r="BU38" s="80"/>
      <c r="BV38" s="80"/>
      <c r="BW38" s="80"/>
      <c r="BX38" s="80"/>
      <c r="BY38" s="80"/>
      <c r="BZ38" s="80"/>
      <c r="CA38" s="80"/>
      <c r="CB38" s="80"/>
      <c r="CC38" s="80"/>
      <c r="CD38" s="80"/>
      <c r="CE38" s="80"/>
      <c r="CF38" s="80"/>
      <c r="CG38" s="80"/>
      <c r="CH38" s="80"/>
      <c r="CI38" s="80"/>
      <c r="CJ38" s="80"/>
      <c r="CK38" s="80"/>
      <c r="CL38" s="80"/>
      <c r="CM38" s="80"/>
      <c r="CN38" s="80"/>
      <c r="CO38" s="80"/>
      <c r="CP38" s="80"/>
      <c r="CQ38" s="80"/>
      <c r="CR38" s="80"/>
      <c r="CS38" s="80"/>
      <c r="CT38" s="80"/>
      <c r="CU38" s="80"/>
      <c r="CV38" s="80"/>
      <c r="CW38" s="80"/>
      <c r="CX38" s="80"/>
      <c r="CY38" s="80"/>
      <c r="CZ38" s="80"/>
      <c r="DA38" s="80"/>
      <c r="DB38" s="80"/>
      <c r="DC38" s="80"/>
      <c r="DD38" s="80"/>
      <c r="DE38" s="80"/>
      <c r="DF38" s="80"/>
      <c r="DG38" s="80"/>
      <c r="DH38" s="80"/>
      <c r="DI38" s="80"/>
      <c r="DJ38" s="80"/>
      <c r="DK38" s="80"/>
      <c r="DL38" s="80"/>
      <c r="DM38" s="80"/>
      <c r="DN38" s="80"/>
      <c r="DO38" s="80"/>
      <c r="DP38" s="80"/>
      <c r="DQ38" s="80"/>
      <c r="DR38" s="80"/>
      <c r="DS38" s="80"/>
      <c r="DT38" s="80"/>
      <c r="DU38" s="80"/>
      <c r="DV38" s="80"/>
      <c r="DW38" s="80"/>
      <c r="DX38" s="80"/>
      <c r="DY38" s="80"/>
      <c r="DZ38" s="80"/>
      <c r="EA38" s="80"/>
      <c r="EB38" s="80"/>
      <c r="EC38" s="80"/>
      <c r="ED38" s="80"/>
      <c r="EE38" s="80"/>
      <c r="EF38" s="80"/>
      <c r="EG38" s="80"/>
      <c r="EH38" s="80"/>
      <c r="EI38" s="80"/>
      <c r="EJ38" s="80"/>
      <c r="EK38" s="80"/>
      <c r="EL38" s="80"/>
      <c r="EM38" s="80"/>
      <c r="EN38" s="80"/>
      <c r="EO38" s="80"/>
      <c r="EP38" s="80"/>
      <c r="EQ38" s="80"/>
      <c r="ER38" s="80"/>
      <c r="ES38" s="80"/>
      <c r="ET38" s="80"/>
      <c r="EU38" s="80"/>
      <c r="EV38" s="80"/>
      <c r="EW38" s="80"/>
      <c r="EX38" s="80"/>
      <c r="EY38" s="80"/>
      <c r="EZ38" s="80"/>
      <c r="FA38" s="80"/>
      <c r="FB38" s="80"/>
      <c r="FC38" s="80"/>
      <c r="FD38" s="80"/>
      <c r="FE38" s="80"/>
      <c r="FF38" s="80"/>
      <c r="FG38" s="80"/>
      <c r="FH38" s="80"/>
      <c r="FI38" s="80"/>
      <c r="FJ38" s="80"/>
      <c r="FK38" s="80"/>
      <c r="FL38" s="80"/>
      <c r="FM38" s="80"/>
      <c r="FN38" s="80"/>
      <c r="FO38" s="80"/>
      <c r="FP38" s="80"/>
      <c r="FQ38" s="80"/>
      <c r="FR38" s="80"/>
      <c r="FS38" s="80"/>
      <c r="FT38" s="80"/>
      <c r="FU38" s="80"/>
      <c r="FV38" s="80"/>
      <c r="FW38" s="80"/>
      <c r="FX38" s="80"/>
      <c r="FY38" s="80"/>
      <c r="FZ38" s="80"/>
      <c r="GA38" s="80"/>
      <c r="GB38" s="110"/>
      <c r="GC38" s="110"/>
      <c r="GD38" s="110"/>
      <c r="GE38" s="110"/>
      <c r="GF38" s="80"/>
      <c r="GG38" s="80"/>
      <c r="GH38" s="80"/>
      <c r="GI38" s="80"/>
      <c r="GJ38" s="80"/>
      <c r="GK38" s="80"/>
      <c r="GL38" s="80"/>
      <c r="GM38" s="80"/>
      <c r="GN38" s="80"/>
      <c r="GO38" s="80"/>
      <c r="GP38" s="80"/>
      <c r="GQ38" s="80"/>
      <c r="GR38" s="80"/>
      <c r="GS38" s="80"/>
      <c r="GT38" s="80"/>
      <c r="GU38" s="80"/>
      <c r="GV38" s="80"/>
      <c r="GW38" s="80"/>
      <c r="GX38" s="80"/>
      <c r="GY38" s="80"/>
      <c r="GZ38" s="80"/>
      <c r="HA38" s="80"/>
      <c r="HB38" s="80"/>
      <c r="HC38" s="80"/>
      <c r="HD38" s="80"/>
      <c r="HE38" s="80"/>
      <c r="HF38" s="80"/>
      <c r="HG38" s="80"/>
      <c r="HH38" s="80"/>
      <c r="HI38" s="80"/>
      <c r="HJ38" s="80"/>
      <c r="HK38" s="80"/>
      <c r="HL38" s="80"/>
      <c r="HM38" s="80"/>
      <c r="HN38" s="80"/>
      <c r="HO38" s="80"/>
      <c r="HP38" s="80"/>
      <c r="HQ38" s="80"/>
      <c r="HR38" s="80"/>
      <c r="HS38" s="80"/>
      <c r="HT38" s="80"/>
      <c r="HU38" s="80"/>
      <c r="HV38" s="80"/>
      <c r="HW38" s="80"/>
      <c r="HX38" s="80"/>
      <c r="HY38" s="80"/>
      <c r="HZ38" s="80"/>
      <c r="IA38" s="80"/>
      <c r="IB38" s="80"/>
      <c r="IC38" s="80"/>
      <c r="ID38" s="80"/>
      <c r="IE38" s="80"/>
      <c r="IF38" s="80"/>
      <c r="IG38" s="80"/>
      <c r="IH38" s="80"/>
      <c r="II38" s="80"/>
      <c r="IJ38" s="80"/>
      <c r="IK38" s="80"/>
      <c r="IL38" s="80"/>
      <c r="IM38" s="80"/>
      <c r="IN38" s="80"/>
      <c r="IO38" s="80"/>
      <c r="IP38" s="80"/>
      <c r="IQ38" s="80"/>
      <c r="IR38" s="80"/>
      <c r="IS38" s="80"/>
      <c r="IT38" s="80"/>
      <c r="IU38" s="80"/>
      <c r="IV38" s="80"/>
      <c r="IW38" s="80"/>
      <c r="IX38" s="80"/>
      <c r="IY38" s="80"/>
      <c r="IZ38" s="80"/>
      <c r="JA38" s="80"/>
      <c r="JB38" s="80"/>
      <c r="JC38" s="80"/>
      <c r="JD38" s="80"/>
      <c r="JE38" s="80"/>
      <c r="JF38" s="80"/>
      <c r="JG38" s="80"/>
      <c r="JH38" s="80"/>
      <c r="JI38" s="80"/>
      <c r="JJ38" s="80"/>
      <c r="JK38" s="80"/>
      <c r="JL38" s="80"/>
      <c r="JM38" s="80"/>
      <c r="JN38" s="80"/>
      <c r="JO38" s="80"/>
      <c r="JP38" s="80"/>
      <c r="JQ38" s="80"/>
      <c r="JR38" s="80"/>
      <c r="JS38" s="80"/>
      <c r="JT38" s="80"/>
      <c r="JU38" s="80"/>
      <c r="JV38" s="80"/>
      <c r="JW38" s="80"/>
      <c r="JX38" s="80"/>
      <c r="JY38" s="80"/>
      <c r="JZ38" s="80"/>
      <c r="KA38" s="80"/>
      <c r="KB38" s="80"/>
      <c r="KC38" s="80"/>
      <c r="KD38" s="80"/>
    </row>
    <row r="39" spans="6:290" x14ac:dyDescent="0.35">
      <c r="F39" s="76" t="s">
        <v>593</v>
      </c>
      <c r="G39" s="77" t="s">
        <v>102</v>
      </c>
      <c r="H39" s="68">
        <v>45916</v>
      </c>
      <c r="I39" s="68">
        <v>45916</v>
      </c>
      <c r="J39" s="78">
        <v>0</v>
      </c>
      <c r="K39" s="68">
        <v>45916</v>
      </c>
      <c r="L39" s="68">
        <v>45916</v>
      </c>
      <c r="M39" s="78">
        <v>0</v>
      </c>
      <c r="N39" s="78">
        <v>0</v>
      </c>
      <c r="O39" s="79">
        <v>0</v>
      </c>
      <c r="P39" s="80"/>
      <c r="Q39" s="80"/>
      <c r="R39" s="80"/>
      <c r="S39" s="80"/>
      <c r="T39" s="80"/>
      <c r="U39" s="80"/>
      <c r="V39" s="80"/>
      <c r="W39" s="80"/>
      <c r="X39" s="80"/>
      <c r="Y39" s="80"/>
      <c r="Z39" s="80"/>
      <c r="AA39" s="80"/>
      <c r="AB39" s="80"/>
      <c r="AC39" s="80"/>
      <c r="AD39" s="80"/>
      <c r="AE39" s="80"/>
      <c r="AF39" s="80"/>
      <c r="AG39" s="80"/>
      <c r="AH39" s="80"/>
      <c r="AI39" s="80"/>
      <c r="AJ39" s="80"/>
      <c r="AK39" s="80"/>
      <c r="AL39" s="80"/>
      <c r="AM39" s="80"/>
      <c r="AN39" s="80"/>
      <c r="AO39" s="80"/>
      <c r="AP39" s="80"/>
      <c r="AQ39" s="80"/>
      <c r="AR39" s="80"/>
      <c r="AS39" s="80"/>
      <c r="AT39" s="80"/>
      <c r="AU39" s="80"/>
      <c r="AV39" s="80"/>
      <c r="AW39" s="80"/>
      <c r="AX39" s="80"/>
      <c r="AY39" s="80"/>
      <c r="AZ39" s="80"/>
      <c r="BA39" s="80"/>
      <c r="BB39" s="80"/>
      <c r="BC39" s="80"/>
      <c r="BD39" s="80"/>
      <c r="BE39" s="80"/>
      <c r="BF39" s="80"/>
      <c r="BG39" s="80"/>
      <c r="BH39" s="80"/>
      <c r="BI39" s="80"/>
      <c r="BJ39" s="80"/>
      <c r="BK39" s="80"/>
      <c r="BL39" s="80"/>
      <c r="BM39" s="80"/>
      <c r="BN39" s="80"/>
      <c r="BO39" s="80"/>
      <c r="BP39" s="80"/>
      <c r="BQ39" s="80"/>
      <c r="BR39" s="80"/>
      <c r="BS39" s="80"/>
      <c r="BT39" s="80"/>
      <c r="BU39" s="80"/>
      <c r="BV39" s="80"/>
      <c r="BW39" s="80"/>
      <c r="BX39" s="80"/>
      <c r="BY39" s="80"/>
      <c r="BZ39" s="80"/>
      <c r="CA39" s="80"/>
      <c r="CB39" s="80"/>
      <c r="CC39" s="80"/>
      <c r="CD39" s="80"/>
      <c r="CE39" s="80"/>
      <c r="CF39" s="80"/>
      <c r="CG39" s="80"/>
      <c r="CH39" s="80"/>
      <c r="CI39" s="80"/>
      <c r="CJ39" s="80"/>
      <c r="CK39" s="80"/>
      <c r="CL39" s="80"/>
      <c r="CM39" s="80"/>
      <c r="CN39" s="80"/>
      <c r="CO39" s="80"/>
      <c r="CP39" s="80"/>
      <c r="CQ39" s="80"/>
      <c r="CR39" s="80"/>
      <c r="CS39" s="80"/>
      <c r="CT39" s="80"/>
      <c r="CU39" s="80"/>
      <c r="CV39" s="80"/>
      <c r="CW39" s="80"/>
      <c r="CX39" s="80"/>
      <c r="CY39" s="80"/>
      <c r="CZ39" s="80"/>
      <c r="DA39" s="80"/>
      <c r="DB39" s="80"/>
      <c r="DC39" s="80"/>
      <c r="DD39" s="80"/>
      <c r="DE39" s="80"/>
      <c r="DF39" s="80"/>
      <c r="DG39" s="80"/>
      <c r="DH39" s="80"/>
      <c r="DI39" s="80"/>
      <c r="DJ39" s="80"/>
      <c r="DK39" s="80"/>
      <c r="DL39" s="80"/>
      <c r="DM39" s="80"/>
      <c r="DN39" s="80"/>
      <c r="DO39" s="80"/>
      <c r="DP39" s="80"/>
      <c r="DQ39" s="80"/>
      <c r="DR39" s="80"/>
      <c r="DS39" s="80"/>
      <c r="DT39" s="80"/>
      <c r="DU39" s="80"/>
      <c r="DV39" s="80"/>
      <c r="DW39" s="80"/>
      <c r="DX39" s="80"/>
      <c r="DY39" s="80"/>
      <c r="DZ39" s="80"/>
      <c r="EA39" s="80"/>
      <c r="EB39" s="80"/>
      <c r="EC39" s="80"/>
      <c r="ED39" s="80"/>
      <c r="EE39" s="80"/>
      <c r="EF39" s="80"/>
      <c r="EG39" s="80"/>
      <c r="EH39" s="80"/>
      <c r="EI39" s="80"/>
      <c r="EJ39" s="80"/>
      <c r="EK39" s="80"/>
      <c r="EL39" s="80"/>
      <c r="EM39" s="80"/>
      <c r="EN39" s="80"/>
      <c r="EO39" s="80"/>
      <c r="EP39" s="80"/>
      <c r="EQ39" s="80"/>
      <c r="ER39" s="80"/>
      <c r="ES39" s="80"/>
      <c r="ET39" s="80"/>
      <c r="EU39" s="80"/>
      <c r="EV39" s="80"/>
      <c r="EW39" s="80"/>
      <c r="EX39" s="80"/>
      <c r="EY39" s="80"/>
      <c r="EZ39" s="80"/>
      <c r="FA39" s="80"/>
      <c r="FB39" s="80"/>
      <c r="FC39" s="80"/>
      <c r="FD39" s="80"/>
      <c r="FE39" s="80"/>
      <c r="FF39" s="80"/>
      <c r="FG39" s="80"/>
      <c r="FH39" s="80"/>
      <c r="FI39" s="80"/>
      <c r="FJ39" s="80"/>
      <c r="FK39" s="80"/>
      <c r="FL39" s="80"/>
      <c r="FM39" s="80"/>
      <c r="FN39" s="80"/>
      <c r="FO39" s="80"/>
      <c r="FP39" s="80"/>
      <c r="FQ39" s="80"/>
      <c r="FR39" s="80"/>
      <c r="FS39" s="80"/>
      <c r="FT39" s="80"/>
      <c r="FU39" s="80"/>
      <c r="FV39" s="80"/>
      <c r="FW39" s="80"/>
      <c r="FX39" s="80"/>
      <c r="FY39" s="80"/>
      <c r="FZ39" s="80"/>
      <c r="GA39" s="80"/>
      <c r="GB39" s="110"/>
      <c r="GC39" s="80"/>
      <c r="GD39" s="80"/>
      <c r="GE39" s="80"/>
      <c r="GF39" s="80"/>
      <c r="GG39" s="80"/>
      <c r="GH39" s="80"/>
      <c r="GI39" s="80"/>
      <c r="GJ39" s="80"/>
      <c r="GK39" s="80"/>
      <c r="GL39" s="80"/>
      <c r="GM39" s="80"/>
      <c r="GN39" s="80"/>
      <c r="GO39" s="80"/>
      <c r="GP39" s="80"/>
      <c r="GQ39" s="80"/>
      <c r="GR39" s="80"/>
      <c r="GS39" s="80"/>
      <c r="GT39" s="80"/>
      <c r="GU39" s="80"/>
      <c r="GV39" s="80"/>
      <c r="GW39" s="80"/>
      <c r="GX39" s="80"/>
      <c r="GY39" s="80"/>
      <c r="GZ39" s="80"/>
      <c r="HA39" s="80"/>
      <c r="HB39" s="80"/>
      <c r="HC39" s="80"/>
      <c r="HD39" s="80"/>
      <c r="HE39" s="80"/>
      <c r="HF39" s="80"/>
      <c r="HG39" s="80"/>
      <c r="HH39" s="80"/>
      <c r="HI39" s="80"/>
      <c r="HJ39" s="80"/>
      <c r="HK39" s="80"/>
      <c r="HL39" s="80"/>
      <c r="HM39" s="80"/>
      <c r="HN39" s="80"/>
      <c r="HO39" s="80"/>
      <c r="HP39" s="80"/>
      <c r="HQ39" s="80"/>
      <c r="HR39" s="80"/>
      <c r="HS39" s="80"/>
      <c r="HT39" s="80"/>
      <c r="HU39" s="80"/>
      <c r="HV39" s="80"/>
      <c r="HW39" s="80"/>
      <c r="HX39" s="80"/>
      <c r="HY39" s="80"/>
      <c r="HZ39" s="80"/>
      <c r="IA39" s="80"/>
      <c r="IB39" s="80"/>
      <c r="IC39" s="80"/>
      <c r="ID39" s="80"/>
      <c r="IE39" s="80"/>
      <c r="IF39" s="80"/>
      <c r="IG39" s="80"/>
      <c r="IH39" s="80"/>
      <c r="II39" s="80"/>
      <c r="IJ39" s="80"/>
      <c r="IK39" s="80"/>
      <c r="IL39" s="80"/>
      <c r="IM39" s="80"/>
      <c r="IN39" s="80"/>
      <c r="IO39" s="80"/>
      <c r="IP39" s="80"/>
      <c r="IQ39" s="80"/>
      <c r="IR39" s="80"/>
      <c r="IS39" s="80"/>
      <c r="IT39" s="80"/>
      <c r="IU39" s="80"/>
      <c r="IV39" s="80"/>
      <c r="IW39" s="80"/>
      <c r="IX39" s="80"/>
      <c r="IY39" s="80"/>
      <c r="IZ39" s="80"/>
      <c r="JA39" s="80"/>
      <c r="JB39" s="80"/>
      <c r="JC39" s="80"/>
      <c r="JD39" s="80"/>
      <c r="JE39" s="80"/>
      <c r="JF39" s="80"/>
      <c r="JG39" s="80"/>
      <c r="JH39" s="80"/>
      <c r="JI39" s="80"/>
      <c r="JJ39" s="80"/>
      <c r="JK39" s="80"/>
      <c r="JL39" s="80"/>
      <c r="JM39" s="80"/>
      <c r="JN39" s="80"/>
      <c r="JO39" s="80"/>
      <c r="JP39" s="80"/>
      <c r="JQ39" s="80"/>
      <c r="JR39" s="80"/>
      <c r="JS39" s="80"/>
      <c r="JT39" s="80"/>
      <c r="JU39" s="80"/>
      <c r="JV39" s="80"/>
      <c r="JW39" s="80"/>
      <c r="JX39" s="80"/>
      <c r="JY39" s="80"/>
      <c r="JZ39" s="80"/>
      <c r="KA39" s="80"/>
      <c r="KB39" s="80"/>
      <c r="KC39" s="80"/>
      <c r="KD39" s="80"/>
    </row>
    <row r="40" spans="6:290" x14ac:dyDescent="0.35">
      <c r="F40" s="76" t="s">
        <v>594</v>
      </c>
      <c r="G40" s="77" t="s">
        <v>104</v>
      </c>
      <c r="H40" s="68">
        <v>45917</v>
      </c>
      <c r="I40" s="68">
        <v>45917</v>
      </c>
      <c r="J40" s="78">
        <v>0</v>
      </c>
      <c r="K40" s="68">
        <v>45917</v>
      </c>
      <c r="L40" s="68">
        <v>45923</v>
      </c>
      <c r="M40" s="78">
        <v>6</v>
      </c>
      <c r="N40" s="78">
        <v>6</v>
      </c>
      <c r="O40" s="79">
        <v>0</v>
      </c>
      <c r="P40" s="80"/>
      <c r="Q40" s="80"/>
      <c r="R40" s="80"/>
      <c r="S40" s="80"/>
      <c r="T40" s="80"/>
      <c r="U40" s="80"/>
      <c r="V40" s="80"/>
      <c r="W40" s="80"/>
      <c r="X40" s="80"/>
      <c r="Y40" s="80"/>
      <c r="Z40" s="80"/>
      <c r="AA40" s="80"/>
      <c r="AB40" s="80"/>
      <c r="AC40" s="80"/>
      <c r="AD40" s="80"/>
      <c r="AE40" s="80"/>
      <c r="AF40" s="80"/>
      <c r="AG40" s="80"/>
      <c r="AH40" s="80"/>
      <c r="AI40" s="80"/>
      <c r="AJ40" s="80"/>
      <c r="AK40" s="80"/>
      <c r="AL40" s="80"/>
      <c r="AM40" s="80"/>
      <c r="AN40" s="80"/>
      <c r="AO40" s="80"/>
      <c r="AP40" s="80"/>
      <c r="AQ40" s="80"/>
      <c r="AR40" s="80"/>
      <c r="AS40" s="80"/>
      <c r="AT40" s="80"/>
      <c r="AU40" s="80"/>
      <c r="AV40" s="80"/>
      <c r="AW40" s="80"/>
      <c r="AX40" s="80"/>
      <c r="AY40" s="80"/>
      <c r="AZ40" s="80"/>
      <c r="BA40" s="80"/>
      <c r="BB40" s="80"/>
      <c r="BC40" s="80"/>
      <c r="BD40" s="80"/>
      <c r="BE40" s="80"/>
      <c r="BF40" s="80"/>
      <c r="BG40" s="80"/>
      <c r="BH40" s="80"/>
      <c r="BI40" s="80"/>
      <c r="BJ40" s="80"/>
      <c r="BK40" s="80"/>
      <c r="BL40" s="80"/>
      <c r="BM40" s="80"/>
      <c r="BN40" s="80"/>
      <c r="BO40" s="80"/>
      <c r="BP40" s="80"/>
      <c r="BQ40" s="80"/>
      <c r="BR40" s="80"/>
      <c r="BS40" s="80"/>
      <c r="BT40" s="80"/>
      <c r="BU40" s="80"/>
      <c r="BV40" s="80"/>
      <c r="BW40" s="80"/>
      <c r="BX40" s="80"/>
      <c r="BY40" s="80"/>
      <c r="BZ40" s="80"/>
      <c r="CA40" s="80"/>
      <c r="CB40" s="80"/>
      <c r="CC40" s="80"/>
      <c r="CD40" s="80"/>
      <c r="CE40" s="80"/>
      <c r="CF40" s="80"/>
      <c r="CG40" s="80"/>
      <c r="CH40" s="80"/>
      <c r="CI40" s="80"/>
      <c r="CJ40" s="80"/>
      <c r="CK40" s="80"/>
      <c r="CL40" s="80"/>
      <c r="CM40" s="80"/>
      <c r="CN40" s="80"/>
      <c r="CO40" s="80"/>
      <c r="CP40" s="80"/>
      <c r="CQ40" s="80"/>
      <c r="CR40" s="80"/>
      <c r="CS40" s="80"/>
      <c r="CT40" s="80"/>
      <c r="CU40" s="80"/>
      <c r="CV40" s="80"/>
      <c r="CW40" s="80"/>
      <c r="CX40" s="80"/>
      <c r="CY40" s="80"/>
      <c r="CZ40" s="80"/>
      <c r="DA40" s="80"/>
      <c r="DB40" s="80"/>
      <c r="DC40" s="80"/>
      <c r="DD40" s="80"/>
      <c r="DE40" s="80"/>
      <c r="DF40" s="80"/>
      <c r="DG40" s="80"/>
      <c r="DH40" s="80"/>
      <c r="DI40" s="80"/>
      <c r="DJ40" s="80"/>
      <c r="DK40" s="80"/>
      <c r="DL40" s="80"/>
      <c r="DM40" s="80"/>
      <c r="DN40" s="80"/>
      <c r="DO40" s="80"/>
      <c r="DP40" s="80"/>
      <c r="DQ40" s="80"/>
      <c r="DR40" s="80"/>
      <c r="DS40" s="80"/>
      <c r="DT40" s="80"/>
      <c r="DU40" s="80"/>
      <c r="DV40" s="80"/>
      <c r="DW40" s="80"/>
      <c r="DX40" s="80"/>
      <c r="DY40" s="80"/>
      <c r="DZ40" s="80"/>
      <c r="EA40" s="80"/>
      <c r="EB40" s="80"/>
      <c r="EC40" s="80"/>
      <c r="ED40" s="80"/>
      <c r="EE40" s="80"/>
      <c r="EF40" s="80"/>
      <c r="EG40" s="80"/>
      <c r="EH40" s="80"/>
      <c r="EI40" s="80"/>
      <c r="EJ40" s="80"/>
      <c r="EK40" s="80"/>
      <c r="EL40" s="80"/>
      <c r="EM40" s="80"/>
      <c r="EN40" s="80"/>
      <c r="EO40" s="80"/>
      <c r="EP40" s="80"/>
      <c r="EQ40" s="80"/>
      <c r="ER40" s="80"/>
      <c r="ES40" s="80"/>
      <c r="ET40" s="80"/>
      <c r="EU40" s="80"/>
      <c r="EV40" s="80"/>
      <c r="EW40" s="80"/>
      <c r="EX40" s="80"/>
      <c r="EY40" s="80"/>
      <c r="EZ40" s="80"/>
      <c r="FA40" s="80"/>
      <c r="FB40" s="80"/>
      <c r="FC40" s="80"/>
      <c r="FD40" s="80"/>
      <c r="FE40" s="80"/>
      <c r="FF40" s="80"/>
      <c r="FG40" s="80"/>
      <c r="FH40" s="80"/>
      <c r="FI40" s="80"/>
      <c r="FJ40" s="80"/>
      <c r="FK40" s="80"/>
      <c r="FL40" s="80"/>
      <c r="FM40" s="80"/>
      <c r="FN40" s="80"/>
      <c r="FO40" s="80"/>
      <c r="FP40" s="80"/>
      <c r="FQ40" s="80"/>
      <c r="FR40" s="80"/>
      <c r="FS40" s="80"/>
      <c r="FT40" s="80"/>
      <c r="FU40" s="80"/>
      <c r="FV40" s="80"/>
      <c r="FW40" s="80"/>
      <c r="FX40" s="80"/>
      <c r="FY40" s="80"/>
      <c r="FZ40" s="80"/>
      <c r="GA40" s="80"/>
      <c r="GB40" s="80"/>
      <c r="GC40" s="84"/>
      <c r="GD40" s="84"/>
      <c r="GE40" s="84"/>
      <c r="GF40" s="84"/>
      <c r="GG40" s="84"/>
      <c r="GH40" s="84"/>
      <c r="GI40" s="84"/>
      <c r="GJ40" s="80"/>
      <c r="GK40" s="80"/>
      <c r="GL40" s="80"/>
      <c r="GM40" s="80"/>
      <c r="GN40" s="80"/>
      <c r="GO40" s="80"/>
      <c r="GP40" s="80"/>
      <c r="GQ40" s="80"/>
      <c r="GR40" s="80"/>
      <c r="GS40" s="80"/>
      <c r="GT40" s="80"/>
      <c r="GU40" s="80"/>
      <c r="GV40" s="80"/>
      <c r="GW40" s="80"/>
      <c r="GX40" s="80"/>
      <c r="GY40" s="80"/>
      <c r="GZ40" s="80"/>
      <c r="HA40" s="80"/>
      <c r="HB40" s="80"/>
      <c r="HC40" s="80"/>
      <c r="HD40" s="80"/>
      <c r="HE40" s="80"/>
      <c r="HF40" s="80"/>
      <c r="HG40" s="80"/>
      <c r="HH40" s="80"/>
      <c r="HI40" s="80"/>
      <c r="HJ40" s="80"/>
      <c r="HK40" s="80"/>
      <c r="HL40" s="80"/>
      <c r="HM40" s="80"/>
      <c r="HN40" s="80"/>
      <c r="HO40" s="80"/>
      <c r="HP40" s="80"/>
      <c r="HQ40" s="80"/>
      <c r="HR40" s="80"/>
      <c r="HS40" s="80"/>
      <c r="HT40" s="80"/>
      <c r="HU40" s="80"/>
      <c r="HV40" s="80"/>
      <c r="HW40" s="80"/>
      <c r="HX40" s="80"/>
      <c r="HY40" s="80"/>
      <c r="HZ40" s="80"/>
      <c r="IA40" s="80"/>
      <c r="IB40" s="80"/>
      <c r="IC40" s="80"/>
      <c r="ID40" s="80"/>
      <c r="IE40" s="80"/>
      <c r="IF40" s="80"/>
      <c r="IG40" s="80"/>
      <c r="IH40" s="80"/>
      <c r="II40" s="80"/>
      <c r="IJ40" s="80"/>
      <c r="IK40" s="80"/>
      <c r="IL40" s="80"/>
      <c r="IM40" s="80"/>
      <c r="IN40" s="80"/>
      <c r="IO40" s="80"/>
      <c r="IP40" s="80"/>
      <c r="IQ40" s="80"/>
      <c r="IR40" s="80"/>
      <c r="IS40" s="80"/>
      <c r="IT40" s="80"/>
      <c r="IU40" s="80"/>
      <c r="IV40" s="80"/>
      <c r="IW40" s="80"/>
      <c r="IX40" s="80"/>
      <c r="IY40" s="80"/>
      <c r="IZ40" s="80"/>
      <c r="JA40" s="80"/>
      <c r="JB40" s="80"/>
      <c r="JC40" s="80"/>
      <c r="JD40" s="80"/>
      <c r="JE40" s="80"/>
      <c r="JF40" s="80"/>
      <c r="JG40" s="80"/>
      <c r="JH40" s="80"/>
      <c r="JI40" s="80"/>
      <c r="JJ40" s="80"/>
      <c r="JK40" s="80"/>
      <c r="JL40" s="80"/>
      <c r="JM40" s="80"/>
      <c r="JN40" s="80"/>
      <c r="JO40" s="80"/>
      <c r="JP40" s="80"/>
      <c r="JQ40" s="80"/>
      <c r="JR40" s="80"/>
      <c r="JS40" s="80"/>
      <c r="JT40" s="80"/>
      <c r="JU40" s="80"/>
      <c r="JV40" s="80"/>
      <c r="JW40" s="80"/>
      <c r="JX40" s="80"/>
      <c r="JY40" s="80"/>
      <c r="JZ40" s="80"/>
      <c r="KA40" s="80"/>
      <c r="KB40" s="80"/>
      <c r="KC40" s="80"/>
      <c r="KD40" s="80"/>
    </row>
    <row r="41" spans="6:290" x14ac:dyDescent="0.35">
      <c r="F41" s="76" t="s">
        <v>595</v>
      </c>
      <c r="G41" s="77" t="s">
        <v>251</v>
      </c>
      <c r="H41" s="68">
        <v>45917</v>
      </c>
      <c r="I41" s="68">
        <v>45917</v>
      </c>
      <c r="J41" s="78">
        <v>0</v>
      </c>
      <c r="K41" s="68">
        <v>45917</v>
      </c>
      <c r="L41" s="68">
        <v>45920</v>
      </c>
      <c r="M41" s="78">
        <v>3</v>
      </c>
      <c r="N41" s="78">
        <v>3</v>
      </c>
      <c r="O41" s="79">
        <v>0</v>
      </c>
      <c r="P41" s="80"/>
      <c r="Q41" s="80"/>
      <c r="R41" s="80"/>
      <c r="S41" s="80"/>
      <c r="T41" s="80"/>
      <c r="U41" s="80"/>
      <c r="V41" s="80"/>
      <c r="W41" s="80"/>
      <c r="X41" s="80"/>
      <c r="Y41" s="80"/>
      <c r="Z41" s="80"/>
      <c r="AA41" s="80"/>
      <c r="AB41" s="80"/>
      <c r="AC41" s="80"/>
      <c r="AD41" s="80"/>
      <c r="AE41" s="80"/>
      <c r="AF41" s="80"/>
      <c r="AG41" s="80"/>
      <c r="AH41" s="80"/>
      <c r="AI41" s="80"/>
      <c r="AJ41" s="80"/>
      <c r="AK41" s="80"/>
      <c r="AL41" s="80"/>
      <c r="AM41" s="80"/>
      <c r="AN41" s="80"/>
      <c r="AO41" s="80"/>
      <c r="AP41" s="80"/>
      <c r="AQ41" s="80"/>
      <c r="AR41" s="80"/>
      <c r="AS41" s="80"/>
      <c r="AT41" s="80"/>
      <c r="AU41" s="80"/>
      <c r="AV41" s="80"/>
      <c r="AW41" s="80"/>
      <c r="AX41" s="80"/>
      <c r="AY41" s="80"/>
      <c r="AZ41" s="80"/>
      <c r="BA41" s="80"/>
      <c r="BB41" s="80"/>
      <c r="BC41" s="80"/>
      <c r="BD41" s="80"/>
      <c r="BE41" s="80"/>
      <c r="BF41" s="80"/>
      <c r="BG41" s="80"/>
      <c r="BH41" s="80"/>
      <c r="BI41" s="80"/>
      <c r="BJ41" s="80"/>
      <c r="BK41" s="80"/>
      <c r="BL41" s="80"/>
      <c r="BM41" s="80"/>
      <c r="BN41" s="80"/>
      <c r="BO41" s="80"/>
      <c r="BP41" s="80"/>
      <c r="BQ41" s="80"/>
      <c r="BR41" s="80"/>
      <c r="BS41" s="80"/>
      <c r="BT41" s="80"/>
      <c r="BU41" s="80"/>
      <c r="BV41" s="80"/>
      <c r="BW41" s="80"/>
      <c r="BX41" s="80"/>
      <c r="BY41" s="80"/>
      <c r="BZ41" s="80"/>
      <c r="CA41" s="80"/>
      <c r="CB41" s="80"/>
      <c r="CC41" s="80"/>
      <c r="CD41" s="80"/>
      <c r="CE41" s="80"/>
      <c r="CF41" s="80"/>
      <c r="CG41" s="80"/>
      <c r="CH41" s="80"/>
      <c r="CI41" s="80"/>
      <c r="CJ41" s="80"/>
      <c r="CK41" s="80"/>
      <c r="CL41" s="80"/>
      <c r="CM41" s="80"/>
      <c r="CN41" s="80"/>
      <c r="CO41" s="80"/>
      <c r="CP41" s="80"/>
      <c r="CQ41" s="80"/>
      <c r="CR41" s="80"/>
      <c r="CS41" s="80"/>
      <c r="CT41" s="80"/>
      <c r="CU41" s="80"/>
      <c r="CV41" s="80"/>
      <c r="CW41" s="80"/>
      <c r="CX41" s="80"/>
      <c r="CY41" s="80"/>
      <c r="CZ41" s="80"/>
      <c r="DA41" s="80"/>
      <c r="DB41" s="80"/>
      <c r="DC41" s="80"/>
      <c r="DD41" s="80"/>
      <c r="DE41" s="80"/>
      <c r="DF41" s="80"/>
      <c r="DG41" s="80"/>
      <c r="DH41" s="80"/>
      <c r="DI41" s="80"/>
      <c r="DJ41" s="80"/>
      <c r="DK41" s="80"/>
      <c r="DL41" s="80"/>
      <c r="DM41" s="80"/>
      <c r="DN41" s="80"/>
      <c r="DO41" s="80"/>
      <c r="DP41" s="80"/>
      <c r="DQ41" s="80"/>
      <c r="DR41" s="80"/>
      <c r="DS41" s="80"/>
      <c r="DT41" s="80"/>
      <c r="DU41" s="80"/>
      <c r="DV41" s="80"/>
      <c r="DW41" s="80"/>
      <c r="DX41" s="80"/>
      <c r="DY41" s="80"/>
      <c r="DZ41" s="80"/>
      <c r="EA41" s="80"/>
      <c r="EB41" s="80"/>
      <c r="EC41" s="80"/>
      <c r="ED41" s="80"/>
      <c r="EE41" s="80"/>
      <c r="EF41" s="80"/>
      <c r="EG41" s="80"/>
      <c r="EH41" s="80"/>
      <c r="EI41" s="80"/>
      <c r="EJ41" s="80"/>
      <c r="EK41" s="80"/>
      <c r="EL41" s="80"/>
      <c r="EM41" s="80"/>
      <c r="EN41" s="80"/>
      <c r="EO41" s="80"/>
      <c r="EP41" s="80"/>
      <c r="EQ41" s="80"/>
      <c r="ER41" s="80"/>
      <c r="ES41" s="80"/>
      <c r="ET41" s="80"/>
      <c r="EU41" s="80"/>
      <c r="EV41" s="80"/>
      <c r="EW41" s="80"/>
      <c r="EX41" s="80"/>
      <c r="EY41" s="80"/>
      <c r="EZ41" s="80"/>
      <c r="FA41" s="80"/>
      <c r="FB41" s="80"/>
      <c r="FC41" s="80"/>
      <c r="FD41" s="80"/>
      <c r="FE41" s="80"/>
      <c r="FF41" s="80"/>
      <c r="FG41" s="80"/>
      <c r="FH41" s="80"/>
      <c r="FI41" s="80"/>
      <c r="FJ41" s="80"/>
      <c r="FK41" s="80"/>
      <c r="FL41" s="80"/>
      <c r="FM41" s="80"/>
      <c r="FN41" s="80"/>
      <c r="FO41" s="80"/>
      <c r="FP41" s="80"/>
      <c r="FQ41" s="80"/>
      <c r="FR41" s="80"/>
      <c r="FS41" s="80"/>
      <c r="FT41" s="80"/>
      <c r="FU41" s="80"/>
      <c r="FV41" s="80"/>
      <c r="FW41" s="80"/>
      <c r="FX41" s="80"/>
      <c r="FY41" s="80"/>
      <c r="FZ41" s="80"/>
      <c r="GA41" s="80"/>
      <c r="GB41" s="80"/>
      <c r="GC41" s="109"/>
      <c r="GD41" s="109"/>
      <c r="GE41" s="109"/>
      <c r="GF41" s="109"/>
      <c r="GG41" s="80"/>
      <c r="GH41" s="80"/>
      <c r="GI41" s="80"/>
      <c r="GJ41" s="80"/>
      <c r="GK41" s="80"/>
      <c r="GL41" s="80"/>
      <c r="GM41" s="80"/>
      <c r="GN41" s="80"/>
      <c r="GO41" s="80"/>
      <c r="GP41" s="80"/>
      <c r="GQ41" s="80"/>
      <c r="GR41" s="80"/>
      <c r="GS41" s="80"/>
      <c r="GT41" s="80"/>
      <c r="GU41" s="80"/>
      <c r="GV41" s="80"/>
      <c r="GW41" s="80"/>
      <c r="GX41" s="80"/>
      <c r="GY41" s="80"/>
      <c r="GZ41" s="80"/>
      <c r="HA41" s="80"/>
      <c r="HB41" s="80"/>
      <c r="HC41" s="80"/>
      <c r="HD41" s="80"/>
      <c r="HE41" s="80"/>
      <c r="HF41" s="80"/>
      <c r="HG41" s="80"/>
      <c r="HH41" s="80"/>
      <c r="HI41" s="80"/>
      <c r="HJ41" s="80"/>
      <c r="HK41" s="80"/>
      <c r="HL41" s="80"/>
      <c r="HM41" s="80"/>
      <c r="HN41" s="80"/>
      <c r="HO41" s="80"/>
      <c r="HP41" s="80"/>
      <c r="HQ41" s="80"/>
      <c r="HR41" s="80"/>
      <c r="HS41" s="80"/>
      <c r="HT41" s="80"/>
      <c r="HU41" s="80"/>
      <c r="HV41" s="80"/>
      <c r="HW41" s="80"/>
      <c r="HX41" s="80"/>
      <c r="HY41" s="80"/>
      <c r="HZ41" s="80"/>
      <c r="IA41" s="80"/>
      <c r="IB41" s="80"/>
      <c r="IC41" s="80"/>
      <c r="ID41" s="80"/>
      <c r="IE41" s="80"/>
      <c r="IF41" s="80"/>
      <c r="IG41" s="80"/>
      <c r="IH41" s="80"/>
      <c r="II41" s="80"/>
      <c r="IJ41" s="80"/>
      <c r="IK41" s="80"/>
      <c r="IL41" s="80"/>
      <c r="IM41" s="80"/>
      <c r="IN41" s="80"/>
      <c r="IO41" s="80"/>
      <c r="IP41" s="80"/>
      <c r="IQ41" s="80"/>
      <c r="IR41" s="80"/>
      <c r="IS41" s="80"/>
      <c r="IT41" s="80"/>
      <c r="IU41" s="80"/>
      <c r="IV41" s="80"/>
      <c r="IW41" s="80"/>
      <c r="IX41" s="80"/>
      <c r="IY41" s="80"/>
      <c r="IZ41" s="80"/>
      <c r="JA41" s="80"/>
      <c r="JB41" s="80"/>
      <c r="JC41" s="80"/>
      <c r="JD41" s="80"/>
      <c r="JE41" s="80"/>
      <c r="JF41" s="80"/>
      <c r="JG41" s="80"/>
      <c r="JH41" s="80"/>
      <c r="JI41" s="80"/>
      <c r="JJ41" s="80"/>
      <c r="JK41" s="80"/>
      <c r="JL41" s="80"/>
      <c r="JM41" s="80"/>
      <c r="JN41" s="80"/>
      <c r="JO41" s="80"/>
      <c r="JP41" s="80"/>
      <c r="JQ41" s="80"/>
      <c r="JR41" s="80"/>
      <c r="JS41" s="80"/>
      <c r="JT41" s="80"/>
      <c r="JU41" s="80"/>
      <c r="JV41" s="80"/>
      <c r="JW41" s="80"/>
      <c r="JX41" s="80"/>
      <c r="JY41" s="80"/>
      <c r="JZ41" s="80"/>
      <c r="KA41" s="80"/>
      <c r="KB41" s="80"/>
      <c r="KC41" s="80"/>
      <c r="KD41" s="80"/>
    </row>
    <row r="42" spans="6:290" x14ac:dyDescent="0.35">
      <c r="F42" s="76" t="s">
        <v>596</v>
      </c>
      <c r="G42" s="77" t="s">
        <v>251</v>
      </c>
      <c r="H42" s="68">
        <v>45918</v>
      </c>
      <c r="I42" s="68">
        <v>45918</v>
      </c>
      <c r="J42" s="78">
        <v>0</v>
      </c>
      <c r="K42" s="68">
        <v>45918</v>
      </c>
      <c r="L42" s="68">
        <v>45920</v>
      </c>
      <c r="M42" s="78">
        <v>2</v>
      </c>
      <c r="N42" s="78">
        <v>2</v>
      </c>
      <c r="O42" s="79">
        <v>0</v>
      </c>
      <c r="P42" s="80"/>
      <c r="Q42" s="80"/>
      <c r="R42" s="80"/>
      <c r="S42" s="80"/>
      <c r="T42" s="80"/>
      <c r="U42" s="80"/>
      <c r="V42" s="80"/>
      <c r="W42" s="80"/>
      <c r="X42" s="80"/>
      <c r="Y42" s="80"/>
      <c r="Z42" s="80"/>
      <c r="AA42" s="80"/>
      <c r="AB42" s="80"/>
      <c r="AC42" s="80"/>
      <c r="AD42" s="80"/>
      <c r="AE42" s="80"/>
      <c r="AF42" s="80"/>
      <c r="AG42" s="80"/>
      <c r="AH42" s="80"/>
      <c r="AI42" s="80"/>
      <c r="AJ42" s="80"/>
      <c r="AK42" s="80"/>
      <c r="AL42" s="80"/>
      <c r="AM42" s="80"/>
      <c r="AN42" s="80"/>
      <c r="AO42" s="80"/>
      <c r="AP42" s="80"/>
      <c r="AQ42" s="80"/>
      <c r="AR42" s="80"/>
      <c r="AS42" s="80"/>
      <c r="AT42" s="80"/>
      <c r="AU42" s="80"/>
      <c r="AV42" s="80"/>
      <c r="AW42" s="80"/>
      <c r="AX42" s="80"/>
      <c r="AY42" s="80"/>
      <c r="AZ42" s="80"/>
      <c r="BA42" s="80"/>
      <c r="BB42" s="80"/>
      <c r="BC42" s="80"/>
      <c r="BD42" s="80"/>
      <c r="BE42" s="80"/>
      <c r="BF42" s="80"/>
      <c r="BG42" s="80"/>
      <c r="BH42" s="80"/>
      <c r="BI42" s="80"/>
      <c r="BJ42" s="80"/>
      <c r="BK42" s="80"/>
      <c r="BL42" s="80"/>
      <c r="BM42" s="80"/>
      <c r="BN42" s="80"/>
      <c r="BO42" s="80"/>
      <c r="BP42" s="80"/>
      <c r="BQ42" s="80"/>
      <c r="BR42" s="80"/>
      <c r="BS42" s="80"/>
      <c r="BT42" s="80"/>
      <c r="BU42" s="80"/>
      <c r="BV42" s="80"/>
      <c r="BW42" s="80"/>
      <c r="BX42" s="80"/>
      <c r="BY42" s="80"/>
      <c r="BZ42" s="80"/>
      <c r="CA42" s="80"/>
      <c r="CB42" s="80"/>
      <c r="CC42" s="80"/>
      <c r="CD42" s="80"/>
      <c r="CE42" s="80"/>
      <c r="CF42" s="80"/>
      <c r="CG42" s="80"/>
      <c r="CH42" s="80"/>
      <c r="CI42" s="80"/>
      <c r="CJ42" s="80"/>
      <c r="CK42" s="80"/>
      <c r="CL42" s="80"/>
      <c r="CM42" s="80"/>
      <c r="CN42" s="80"/>
      <c r="CO42" s="80"/>
      <c r="CP42" s="80"/>
      <c r="CQ42" s="80"/>
      <c r="CR42" s="80"/>
      <c r="CS42" s="80"/>
      <c r="CT42" s="80"/>
      <c r="CU42" s="80"/>
      <c r="CV42" s="80"/>
      <c r="CW42" s="80"/>
      <c r="CX42" s="80"/>
      <c r="CY42" s="80"/>
      <c r="CZ42" s="80"/>
      <c r="DA42" s="80"/>
      <c r="DB42" s="80"/>
      <c r="DC42" s="80"/>
      <c r="DD42" s="80"/>
      <c r="DE42" s="80"/>
      <c r="DF42" s="80"/>
      <c r="DG42" s="80"/>
      <c r="DH42" s="80"/>
      <c r="DI42" s="80"/>
      <c r="DJ42" s="80"/>
      <c r="DK42" s="80"/>
      <c r="DL42" s="80"/>
      <c r="DM42" s="80"/>
      <c r="DN42" s="80"/>
      <c r="DO42" s="80"/>
      <c r="DP42" s="80"/>
      <c r="DQ42" s="80"/>
      <c r="DR42" s="80"/>
      <c r="DS42" s="80"/>
      <c r="DT42" s="80"/>
      <c r="DU42" s="80"/>
      <c r="DV42" s="80"/>
      <c r="DW42" s="80"/>
      <c r="DX42" s="80"/>
      <c r="DY42" s="80"/>
      <c r="DZ42" s="80"/>
      <c r="EA42" s="80"/>
      <c r="EB42" s="80"/>
      <c r="EC42" s="80"/>
      <c r="ED42" s="80"/>
      <c r="EE42" s="80"/>
      <c r="EF42" s="80"/>
      <c r="EG42" s="80"/>
      <c r="EH42" s="80"/>
      <c r="EI42" s="80"/>
      <c r="EJ42" s="80"/>
      <c r="EK42" s="80"/>
      <c r="EL42" s="80"/>
      <c r="EM42" s="80"/>
      <c r="EN42" s="80"/>
      <c r="EO42" s="80"/>
      <c r="EP42" s="80"/>
      <c r="EQ42" s="80"/>
      <c r="ER42" s="80"/>
      <c r="ES42" s="80"/>
      <c r="ET42" s="80"/>
      <c r="EU42" s="80"/>
      <c r="EV42" s="80"/>
      <c r="EW42" s="80"/>
      <c r="EX42" s="80"/>
      <c r="EY42" s="80"/>
      <c r="EZ42" s="80"/>
      <c r="FA42" s="80"/>
      <c r="FB42" s="80"/>
      <c r="FC42" s="80"/>
      <c r="FD42" s="80"/>
      <c r="FE42" s="80"/>
      <c r="FF42" s="80"/>
      <c r="FG42" s="80"/>
      <c r="FH42" s="80"/>
      <c r="FI42" s="80"/>
      <c r="FJ42" s="80"/>
      <c r="FK42" s="80"/>
      <c r="FL42" s="80"/>
      <c r="FM42" s="80"/>
      <c r="FN42" s="80"/>
      <c r="FO42" s="80"/>
      <c r="FP42" s="80"/>
      <c r="FQ42" s="80"/>
      <c r="FR42" s="80"/>
      <c r="FS42" s="80"/>
      <c r="FT42" s="80"/>
      <c r="FU42" s="80"/>
      <c r="FV42" s="80"/>
      <c r="FW42" s="80"/>
      <c r="FX42" s="80"/>
      <c r="FY42" s="80"/>
      <c r="FZ42" s="80"/>
      <c r="GA42" s="80"/>
      <c r="GB42" s="80"/>
      <c r="GC42" s="80"/>
      <c r="GD42" s="109"/>
      <c r="GE42" s="109"/>
      <c r="GF42" s="109"/>
      <c r="GG42" s="80"/>
      <c r="GH42" s="80"/>
      <c r="GI42" s="80"/>
      <c r="GJ42" s="80"/>
      <c r="GK42" s="80"/>
      <c r="GL42" s="80"/>
      <c r="GM42" s="80"/>
      <c r="GN42" s="80"/>
      <c r="GO42" s="80"/>
      <c r="GP42" s="80"/>
      <c r="GQ42" s="80"/>
      <c r="GR42" s="80"/>
      <c r="GS42" s="80"/>
      <c r="GT42" s="80"/>
      <c r="GU42" s="80"/>
      <c r="GV42" s="80"/>
      <c r="GW42" s="80"/>
      <c r="GX42" s="80"/>
      <c r="GY42" s="80"/>
      <c r="GZ42" s="80"/>
      <c r="HA42" s="80"/>
      <c r="HB42" s="80"/>
      <c r="HC42" s="80"/>
      <c r="HD42" s="80"/>
      <c r="HE42" s="80"/>
      <c r="HF42" s="80"/>
      <c r="HG42" s="80"/>
      <c r="HH42" s="80"/>
      <c r="HI42" s="80"/>
      <c r="HJ42" s="80"/>
      <c r="HK42" s="80"/>
      <c r="HL42" s="80"/>
      <c r="HM42" s="80"/>
      <c r="HN42" s="80"/>
      <c r="HO42" s="80"/>
      <c r="HP42" s="80"/>
      <c r="HQ42" s="80"/>
      <c r="HR42" s="80"/>
      <c r="HS42" s="80"/>
      <c r="HT42" s="80"/>
      <c r="HU42" s="80"/>
      <c r="HV42" s="80"/>
      <c r="HW42" s="80"/>
      <c r="HX42" s="80"/>
      <c r="HY42" s="80"/>
      <c r="HZ42" s="80"/>
      <c r="IA42" s="80"/>
      <c r="IB42" s="80"/>
      <c r="IC42" s="80"/>
      <c r="ID42" s="80"/>
      <c r="IE42" s="80"/>
      <c r="IF42" s="80"/>
      <c r="IG42" s="80"/>
      <c r="IH42" s="80"/>
      <c r="II42" s="80"/>
      <c r="IJ42" s="80"/>
      <c r="IK42" s="80"/>
      <c r="IL42" s="80"/>
      <c r="IM42" s="80"/>
      <c r="IN42" s="80"/>
      <c r="IO42" s="80"/>
      <c r="IP42" s="80"/>
      <c r="IQ42" s="80"/>
      <c r="IR42" s="80"/>
      <c r="IS42" s="80"/>
      <c r="IT42" s="80"/>
      <c r="IU42" s="80"/>
      <c r="IV42" s="80"/>
      <c r="IW42" s="80"/>
      <c r="IX42" s="80"/>
      <c r="IY42" s="80"/>
      <c r="IZ42" s="80"/>
      <c r="JA42" s="80"/>
      <c r="JB42" s="80"/>
      <c r="JC42" s="80"/>
      <c r="JD42" s="80"/>
      <c r="JE42" s="80"/>
      <c r="JF42" s="80"/>
      <c r="JG42" s="80"/>
      <c r="JH42" s="80"/>
      <c r="JI42" s="80"/>
      <c r="JJ42" s="80"/>
      <c r="JK42" s="80"/>
      <c r="JL42" s="80"/>
      <c r="JM42" s="80"/>
      <c r="JN42" s="80"/>
      <c r="JO42" s="80"/>
      <c r="JP42" s="80"/>
      <c r="JQ42" s="80"/>
      <c r="JR42" s="80"/>
      <c r="JS42" s="80"/>
      <c r="JT42" s="80"/>
      <c r="JU42" s="80"/>
      <c r="JV42" s="80"/>
      <c r="JW42" s="80"/>
      <c r="JX42" s="80"/>
      <c r="JY42" s="80"/>
      <c r="JZ42" s="80"/>
      <c r="KA42" s="80"/>
      <c r="KB42" s="80"/>
      <c r="KC42" s="80"/>
      <c r="KD42" s="80"/>
    </row>
    <row r="43" spans="6:290" x14ac:dyDescent="0.35">
      <c r="F43" s="76" t="s">
        <v>2200</v>
      </c>
      <c r="G43" s="77" t="s">
        <v>251</v>
      </c>
      <c r="H43" s="68">
        <v>45919</v>
      </c>
      <c r="I43" s="68">
        <v>45922</v>
      </c>
      <c r="J43" s="78">
        <v>3</v>
      </c>
      <c r="K43" s="68">
        <v>45919</v>
      </c>
      <c r="L43" s="68">
        <v>45922</v>
      </c>
      <c r="M43" s="78">
        <v>3</v>
      </c>
      <c r="N43" s="78">
        <v>0</v>
      </c>
      <c r="O43" s="79">
        <v>0</v>
      </c>
      <c r="P43" s="80"/>
      <c r="Q43" s="80"/>
      <c r="R43" s="80"/>
      <c r="S43" s="80"/>
      <c r="T43" s="80"/>
      <c r="U43" s="80"/>
      <c r="V43" s="80"/>
      <c r="W43" s="80"/>
      <c r="X43" s="80"/>
      <c r="Y43" s="80"/>
      <c r="Z43" s="80"/>
      <c r="AA43" s="80"/>
      <c r="AB43" s="80"/>
      <c r="AC43" s="80"/>
      <c r="AD43" s="80"/>
      <c r="AE43" s="80"/>
      <c r="AF43" s="80"/>
      <c r="AG43" s="80"/>
      <c r="AH43" s="80"/>
      <c r="AI43" s="80"/>
      <c r="AJ43" s="80"/>
      <c r="AK43" s="80"/>
      <c r="AL43" s="80"/>
      <c r="AM43" s="80"/>
      <c r="AN43" s="80"/>
      <c r="AO43" s="80"/>
      <c r="AP43" s="80"/>
      <c r="AQ43" s="80"/>
      <c r="AR43" s="80"/>
      <c r="AS43" s="80"/>
      <c r="AT43" s="80"/>
      <c r="AU43" s="80"/>
      <c r="AV43" s="80"/>
      <c r="AW43" s="80"/>
      <c r="AX43" s="80"/>
      <c r="AY43" s="80"/>
      <c r="AZ43" s="80"/>
      <c r="BA43" s="80"/>
      <c r="BB43" s="80"/>
      <c r="BC43" s="80"/>
      <c r="BD43" s="80"/>
      <c r="BE43" s="80"/>
      <c r="BF43" s="80"/>
      <c r="BG43" s="80"/>
      <c r="BH43" s="80"/>
      <c r="BI43" s="80"/>
      <c r="BJ43" s="80"/>
      <c r="BK43" s="80"/>
      <c r="BL43" s="80"/>
      <c r="BM43" s="80"/>
      <c r="BN43" s="80"/>
      <c r="BO43" s="80"/>
      <c r="BP43" s="80"/>
      <c r="BQ43" s="80"/>
      <c r="BR43" s="80"/>
      <c r="BS43" s="80"/>
      <c r="BT43" s="80"/>
      <c r="BU43" s="80"/>
      <c r="BV43" s="80"/>
      <c r="BW43" s="80"/>
      <c r="BX43" s="80"/>
      <c r="BY43" s="80"/>
      <c r="BZ43" s="80"/>
      <c r="CA43" s="80"/>
      <c r="CB43" s="80"/>
      <c r="CC43" s="80"/>
      <c r="CD43" s="80"/>
      <c r="CE43" s="80"/>
      <c r="CF43" s="80"/>
      <c r="CG43" s="80"/>
      <c r="CH43" s="80"/>
      <c r="CI43" s="80"/>
      <c r="CJ43" s="80"/>
      <c r="CK43" s="80"/>
      <c r="CL43" s="80"/>
      <c r="CM43" s="80"/>
      <c r="CN43" s="80"/>
      <c r="CO43" s="80"/>
      <c r="CP43" s="80"/>
      <c r="CQ43" s="80"/>
      <c r="CR43" s="80"/>
      <c r="CS43" s="80"/>
      <c r="CT43" s="80"/>
      <c r="CU43" s="80"/>
      <c r="CV43" s="80"/>
      <c r="CW43" s="80"/>
      <c r="CX43" s="80"/>
      <c r="CY43" s="80"/>
      <c r="CZ43" s="80"/>
      <c r="DA43" s="80"/>
      <c r="DB43" s="80"/>
      <c r="DC43" s="80"/>
      <c r="DD43" s="80"/>
      <c r="DE43" s="80"/>
      <c r="DF43" s="80"/>
      <c r="DG43" s="80"/>
      <c r="DH43" s="80"/>
      <c r="DI43" s="80"/>
      <c r="DJ43" s="80"/>
      <c r="DK43" s="80"/>
      <c r="DL43" s="80"/>
      <c r="DM43" s="80"/>
      <c r="DN43" s="80"/>
      <c r="DO43" s="80"/>
      <c r="DP43" s="80"/>
      <c r="DQ43" s="80"/>
      <c r="DR43" s="80"/>
      <c r="DS43" s="80"/>
      <c r="DT43" s="80"/>
      <c r="DU43" s="80"/>
      <c r="DV43" s="80"/>
      <c r="DW43" s="80"/>
      <c r="DX43" s="80"/>
      <c r="DY43" s="80"/>
      <c r="DZ43" s="80"/>
      <c r="EA43" s="80"/>
      <c r="EB43" s="80"/>
      <c r="EC43" s="80"/>
      <c r="ED43" s="80"/>
      <c r="EE43" s="80"/>
      <c r="EF43" s="80"/>
      <c r="EG43" s="80"/>
      <c r="EH43" s="80"/>
      <c r="EI43" s="80"/>
      <c r="EJ43" s="80"/>
      <c r="EK43" s="80"/>
      <c r="EL43" s="80"/>
      <c r="EM43" s="80"/>
      <c r="EN43" s="80"/>
      <c r="EO43" s="80"/>
      <c r="EP43" s="80"/>
      <c r="EQ43" s="80"/>
      <c r="ER43" s="80"/>
      <c r="ES43" s="80"/>
      <c r="ET43" s="80"/>
      <c r="EU43" s="80"/>
      <c r="EV43" s="80"/>
      <c r="EW43" s="80"/>
      <c r="EX43" s="80"/>
      <c r="EY43" s="80"/>
      <c r="EZ43" s="80"/>
      <c r="FA43" s="80"/>
      <c r="FB43" s="80"/>
      <c r="FC43" s="80"/>
      <c r="FD43" s="80"/>
      <c r="FE43" s="80"/>
      <c r="FF43" s="80"/>
      <c r="FG43" s="80"/>
      <c r="FH43" s="80"/>
      <c r="FI43" s="80"/>
      <c r="FJ43" s="80"/>
      <c r="FK43" s="80"/>
      <c r="FL43" s="80"/>
      <c r="FM43" s="80"/>
      <c r="FN43" s="80"/>
      <c r="FO43" s="80"/>
      <c r="FP43" s="80"/>
      <c r="FQ43" s="80"/>
      <c r="FR43" s="80"/>
      <c r="FS43" s="80"/>
      <c r="FT43" s="80"/>
      <c r="FU43" s="80"/>
      <c r="FV43" s="80"/>
      <c r="FW43" s="80"/>
      <c r="FX43" s="80"/>
      <c r="FY43" s="80"/>
      <c r="FZ43" s="80"/>
      <c r="GA43" s="80"/>
      <c r="GB43" s="80"/>
      <c r="GC43" s="80"/>
      <c r="GD43" s="80"/>
      <c r="GE43" s="109"/>
      <c r="GF43" s="109"/>
      <c r="GG43" s="109"/>
      <c r="GH43" s="109"/>
      <c r="GI43" s="80"/>
      <c r="GJ43" s="80"/>
      <c r="GK43" s="80"/>
      <c r="GL43" s="80"/>
      <c r="GM43" s="80"/>
      <c r="GN43" s="80"/>
      <c r="GO43" s="80"/>
      <c r="GP43" s="80"/>
      <c r="GQ43" s="80"/>
      <c r="GR43" s="80"/>
      <c r="GS43" s="80"/>
      <c r="GT43" s="80"/>
      <c r="GU43" s="80"/>
      <c r="GV43" s="80"/>
      <c r="GW43" s="80"/>
      <c r="GX43" s="80"/>
      <c r="GY43" s="80"/>
      <c r="GZ43" s="80"/>
      <c r="HA43" s="80"/>
      <c r="HB43" s="80"/>
      <c r="HC43" s="80"/>
      <c r="HD43" s="80"/>
      <c r="HE43" s="80"/>
      <c r="HF43" s="80"/>
      <c r="HG43" s="80"/>
      <c r="HH43" s="80"/>
      <c r="HI43" s="80"/>
      <c r="HJ43" s="80"/>
      <c r="HK43" s="80"/>
      <c r="HL43" s="80"/>
      <c r="HM43" s="80"/>
      <c r="HN43" s="80"/>
      <c r="HO43" s="80"/>
      <c r="HP43" s="80"/>
      <c r="HQ43" s="80"/>
      <c r="HR43" s="80"/>
      <c r="HS43" s="80"/>
      <c r="HT43" s="80"/>
      <c r="HU43" s="80"/>
      <c r="HV43" s="80"/>
      <c r="HW43" s="80"/>
      <c r="HX43" s="80"/>
      <c r="HY43" s="80"/>
      <c r="HZ43" s="80"/>
      <c r="IA43" s="80"/>
      <c r="IB43" s="80"/>
      <c r="IC43" s="80"/>
      <c r="ID43" s="80"/>
      <c r="IE43" s="80"/>
      <c r="IF43" s="80"/>
      <c r="IG43" s="80"/>
      <c r="IH43" s="80"/>
      <c r="II43" s="80"/>
      <c r="IJ43" s="80"/>
      <c r="IK43" s="80"/>
      <c r="IL43" s="80"/>
      <c r="IM43" s="80"/>
      <c r="IN43" s="80"/>
      <c r="IO43" s="80"/>
      <c r="IP43" s="80"/>
      <c r="IQ43" s="80"/>
      <c r="IR43" s="80"/>
      <c r="IS43" s="80"/>
      <c r="IT43" s="80"/>
      <c r="IU43" s="80"/>
      <c r="IV43" s="80"/>
      <c r="IW43" s="80"/>
      <c r="IX43" s="80"/>
      <c r="IY43" s="80"/>
      <c r="IZ43" s="80"/>
      <c r="JA43" s="80"/>
      <c r="JB43" s="80"/>
      <c r="JC43" s="80"/>
      <c r="JD43" s="80"/>
      <c r="JE43" s="80"/>
      <c r="JF43" s="80"/>
      <c r="JG43" s="80"/>
      <c r="JH43" s="80"/>
      <c r="JI43" s="80"/>
      <c r="JJ43" s="80"/>
      <c r="JK43" s="80"/>
      <c r="JL43" s="80"/>
      <c r="JM43" s="80"/>
      <c r="JN43" s="80"/>
      <c r="JO43" s="80"/>
      <c r="JP43" s="80"/>
      <c r="JQ43" s="80"/>
      <c r="JR43" s="80"/>
      <c r="JS43" s="80"/>
      <c r="JT43" s="80"/>
      <c r="JU43" s="80"/>
      <c r="JV43" s="80"/>
      <c r="JW43" s="80"/>
      <c r="JX43" s="80"/>
      <c r="JY43" s="80"/>
      <c r="JZ43" s="80"/>
      <c r="KA43" s="80"/>
      <c r="KB43" s="80"/>
      <c r="KC43" s="80"/>
      <c r="KD43" s="80"/>
    </row>
    <row r="44" spans="6:290" x14ac:dyDescent="0.35">
      <c r="F44" s="76" t="s">
        <v>597</v>
      </c>
      <c r="G44" s="77" t="s">
        <v>102</v>
      </c>
      <c r="H44" s="68">
        <v>45920</v>
      </c>
      <c r="I44" s="68">
        <v>45930</v>
      </c>
      <c r="J44" s="78">
        <v>10</v>
      </c>
      <c r="K44" s="68">
        <v>45919</v>
      </c>
      <c r="L44" s="68">
        <v>45925</v>
      </c>
      <c r="M44" s="78">
        <v>6</v>
      </c>
      <c r="N44" s="78">
        <v>-4</v>
      </c>
      <c r="O44" s="79">
        <v>0</v>
      </c>
      <c r="P44" s="80"/>
      <c r="Q44" s="80"/>
      <c r="R44" s="80"/>
      <c r="S44" s="80"/>
      <c r="T44" s="80"/>
      <c r="U44" s="80"/>
      <c r="V44" s="80"/>
      <c r="W44" s="80"/>
      <c r="X44" s="80"/>
      <c r="Y44" s="80"/>
      <c r="Z44" s="80"/>
      <c r="AA44" s="80"/>
      <c r="AB44" s="80"/>
      <c r="AC44" s="80"/>
      <c r="AD44" s="80"/>
      <c r="AE44" s="80"/>
      <c r="AF44" s="80"/>
      <c r="AG44" s="80"/>
      <c r="AH44" s="80"/>
      <c r="AI44" s="80"/>
      <c r="AJ44" s="80"/>
      <c r="AK44" s="80"/>
      <c r="AL44" s="80"/>
      <c r="AM44" s="80"/>
      <c r="AN44" s="80"/>
      <c r="AO44" s="80"/>
      <c r="AP44" s="80"/>
      <c r="AQ44" s="80"/>
      <c r="AR44" s="80"/>
      <c r="AS44" s="80"/>
      <c r="AT44" s="80"/>
      <c r="AU44" s="80"/>
      <c r="AV44" s="80"/>
      <c r="AW44" s="80"/>
      <c r="AX44" s="80"/>
      <c r="AY44" s="80"/>
      <c r="AZ44" s="80"/>
      <c r="BA44" s="80"/>
      <c r="BB44" s="80"/>
      <c r="BC44" s="80"/>
      <c r="BD44" s="80"/>
      <c r="BE44" s="80"/>
      <c r="BF44" s="80"/>
      <c r="BG44" s="80"/>
      <c r="BH44" s="80"/>
      <c r="BI44" s="80"/>
      <c r="BJ44" s="80"/>
      <c r="BK44" s="80"/>
      <c r="BL44" s="80"/>
      <c r="BM44" s="80"/>
      <c r="BN44" s="80"/>
      <c r="BO44" s="80"/>
      <c r="BP44" s="80"/>
      <c r="BQ44" s="80"/>
      <c r="BR44" s="80"/>
      <c r="BS44" s="80"/>
      <c r="BT44" s="80"/>
      <c r="BU44" s="80"/>
      <c r="BV44" s="80"/>
      <c r="BW44" s="80"/>
      <c r="BX44" s="80"/>
      <c r="BY44" s="80"/>
      <c r="BZ44" s="80"/>
      <c r="CA44" s="80"/>
      <c r="CB44" s="80"/>
      <c r="CC44" s="80"/>
      <c r="CD44" s="80"/>
      <c r="CE44" s="80"/>
      <c r="CF44" s="80"/>
      <c r="CG44" s="80"/>
      <c r="CH44" s="80"/>
      <c r="CI44" s="80"/>
      <c r="CJ44" s="80"/>
      <c r="CK44" s="80"/>
      <c r="CL44" s="80"/>
      <c r="CM44" s="80"/>
      <c r="CN44" s="80"/>
      <c r="CO44" s="80"/>
      <c r="CP44" s="80"/>
      <c r="CQ44" s="80"/>
      <c r="CR44" s="80"/>
      <c r="CS44" s="80"/>
      <c r="CT44" s="80"/>
      <c r="CU44" s="80"/>
      <c r="CV44" s="80"/>
      <c r="CW44" s="80"/>
      <c r="CX44" s="80"/>
      <c r="CY44" s="80"/>
      <c r="CZ44" s="80"/>
      <c r="DA44" s="80"/>
      <c r="DB44" s="80"/>
      <c r="DC44" s="80"/>
      <c r="DD44" s="80"/>
      <c r="DE44" s="80"/>
      <c r="DF44" s="80"/>
      <c r="DG44" s="80"/>
      <c r="DH44" s="80"/>
      <c r="DI44" s="80"/>
      <c r="DJ44" s="80"/>
      <c r="DK44" s="80"/>
      <c r="DL44" s="80"/>
      <c r="DM44" s="80"/>
      <c r="DN44" s="80"/>
      <c r="DO44" s="80"/>
      <c r="DP44" s="80"/>
      <c r="DQ44" s="80"/>
      <c r="DR44" s="80"/>
      <c r="DS44" s="80"/>
      <c r="DT44" s="80"/>
      <c r="DU44" s="80"/>
      <c r="DV44" s="80"/>
      <c r="DW44" s="80"/>
      <c r="DX44" s="80"/>
      <c r="DY44" s="80"/>
      <c r="DZ44" s="80"/>
      <c r="EA44" s="80"/>
      <c r="EB44" s="80"/>
      <c r="EC44" s="80"/>
      <c r="ED44" s="80"/>
      <c r="EE44" s="80"/>
      <c r="EF44" s="80"/>
      <c r="EG44" s="80"/>
      <c r="EH44" s="80"/>
      <c r="EI44" s="80"/>
      <c r="EJ44" s="80"/>
      <c r="EK44" s="80"/>
      <c r="EL44" s="80"/>
      <c r="EM44" s="80"/>
      <c r="EN44" s="80"/>
      <c r="EO44" s="80"/>
      <c r="EP44" s="80"/>
      <c r="EQ44" s="80"/>
      <c r="ER44" s="80"/>
      <c r="ES44" s="80"/>
      <c r="ET44" s="80"/>
      <c r="EU44" s="80"/>
      <c r="EV44" s="80"/>
      <c r="EW44" s="80"/>
      <c r="EX44" s="80"/>
      <c r="EY44" s="80"/>
      <c r="EZ44" s="80"/>
      <c r="FA44" s="80"/>
      <c r="FB44" s="80"/>
      <c r="FC44" s="80"/>
      <c r="FD44" s="80"/>
      <c r="FE44" s="80"/>
      <c r="FF44" s="80"/>
      <c r="FG44" s="80"/>
      <c r="FH44" s="80"/>
      <c r="FI44" s="80"/>
      <c r="FJ44" s="80"/>
      <c r="FK44" s="80"/>
      <c r="FL44" s="80"/>
      <c r="FM44" s="80"/>
      <c r="FN44" s="80"/>
      <c r="FO44" s="80"/>
      <c r="FP44" s="80"/>
      <c r="FQ44" s="80"/>
      <c r="FR44" s="80"/>
      <c r="FS44" s="80"/>
      <c r="FT44" s="80"/>
      <c r="FU44" s="80"/>
      <c r="FV44" s="80"/>
      <c r="FW44" s="80"/>
      <c r="FX44" s="80"/>
      <c r="FY44" s="80"/>
      <c r="FZ44" s="80"/>
      <c r="GA44" s="80"/>
      <c r="GB44" s="80"/>
      <c r="GC44" s="80"/>
      <c r="GD44" s="80"/>
      <c r="GE44" s="110"/>
      <c r="GF44" s="110"/>
      <c r="GG44" s="110"/>
      <c r="GH44" s="110"/>
      <c r="GI44" s="110"/>
      <c r="GJ44" s="110"/>
      <c r="GK44" s="110"/>
      <c r="GL44" s="82"/>
      <c r="GM44" s="82"/>
      <c r="GN44" s="82"/>
      <c r="GO44" s="82"/>
      <c r="GP44" s="82"/>
      <c r="GQ44" s="80"/>
      <c r="GR44" s="80"/>
      <c r="GS44" s="80"/>
      <c r="GT44" s="80"/>
      <c r="GU44" s="80"/>
      <c r="GV44" s="80"/>
      <c r="GW44" s="80"/>
      <c r="GX44" s="80"/>
      <c r="GY44" s="80"/>
      <c r="GZ44" s="80"/>
      <c r="HA44" s="80"/>
      <c r="HB44" s="80"/>
      <c r="HC44" s="80"/>
      <c r="HD44" s="80"/>
      <c r="HE44" s="80"/>
      <c r="HF44" s="80"/>
      <c r="HG44" s="80"/>
      <c r="HH44" s="80"/>
      <c r="HI44" s="80"/>
      <c r="HJ44" s="80"/>
      <c r="HK44" s="80"/>
      <c r="HL44" s="80"/>
      <c r="HM44" s="80"/>
      <c r="HN44" s="80"/>
      <c r="HO44" s="80"/>
      <c r="HP44" s="80"/>
      <c r="HQ44" s="80"/>
      <c r="HR44" s="80"/>
      <c r="HS44" s="80"/>
      <c r="HT44" s="80"/>
      <c r="HU44" s="80"/>
      <c r="HV44" s="80"/>
      <c r="HW44" s="80"/>
      <c r="HX44" s="80"/>
      <c r="HY44" s="80"/>
      <c r="HZ44" s="80"/>
      <c r="IA44" s="80"/>
      <c r="IB44" s="80"/>
      <c r="IC44" s="80"/>
      <c r="ID44" s="80"/>
      <c r="IE44" s="80"/>
      <c r="IF44" s="80"/>
      <c r="IG44" s="80"/>
      <c r="IH44" s="80"/>
      <c r="II44" s="80"/>
      <c r="IJ44" s="80"/>
      <c r="IK44" s="80"/>
      <c r="IL44" s="80"/>
      <c r="IM44" s="80"/>
      <c r="IN44" s="80"/>
      <c r="IO44" s="80"/>
      <c r="IP44" s="80"/>
      <c r="IQ44" s="80"/>
      <c r="IR44" s="80"/>
      <c r="IS44" s="80"/>
      <c r="IT44" s="80"/>
      <c r="IU44" s="80"/>
      <c r="IV44" s="80"/>
      <c r="IW44" s="80"/>
      <c r="IX44" s="80"/>
      <c r="IY44" s="80"/>
      <c r="IZ44" s="80"/>
      <c r="JA44" s="80"/>
      <c r="JB44" s="80"/>
      <c r="JC44" s="80"/>
      <c r="JD44" s="80"/>
      <c r="JE44" s="80"/>
      <c r="JF44" s="80"/>
      <c r="JG44" s="80"/>
      <c r="JH44" s="80"/>
      <c r="JI44" s="80"/>
      <c r="JJ44" s="80"/>
      <c r="JK44" s="80"/>
      <c r="JL44" s="80"/>
      <c r="JM44" s="80"/>
      <c r="JN44" s="80"/>
      <c r="JO44" s="80"/>
      <c r="JP44" s="80"/>
      <c r="JQ44" s="80"/>
      <c r="JR44" s="80"/>
      <c r="JS44" s="80"/>
      <c r="JT44" s="80"/>
      <c r="JU44" s="80"/>
      <c r="JV44" s="80"/>
      <c r="JW44" s="80"/>
      <c r="JX44" s="80"/>
      <c r="JY44" s="80"/>
      <c r="JZ44" s="80"/>
      <c r="KA44" s="80"/>
      <c r="KB44" s="80"/>
      <c r="KC44" s="80"/>
      <c r="KD44" s="80"/>
    </row>
    <row r="45" spans="6:290" x14ac:dyDescent="0.35">
      <c r="F45" s="76" t="s">
        <v>598</v>
      </c>
      <c r="G45" s="77" t="s">
        <v>101</v>
      </c>
      <c r="H45" s="68">
        <v>45936</v>
      </c>
      <c r="I45" s="68">
        <v>45936</v>
      </c>
      <c r="J45" s="78">
        <v>0</v>
      </c>
      <c r="K45" s="68">
        <v>45919</v>
      </c>
      <c r="L45" s="68">
        <v>45924</v>
      </c>
      <c r="M45" s="78">
        <v>5</v>
      </c>
      <c r="N45" s="78">
        <v>5</v>
      </c>
      <c r="O45" s="79">
        <v>0</v>
      </c>
      <c r="P45" s="80"/>
      <c r="Q45" s="80"/>
      <c r="R45" s="80"/>
      <c r="S45" s="80"/>
      <c r="T45" s="80"/>
      <c r="U45" s="80"/>
      <c r="V45" s="80"/>
      <c r="W45" s="80"/>
      <c r="X45" s="80"/>
      <c r="Y45" s="80"/>
      <c r="Z45" s="80"/>
      <c r="AA45" s="80"/>
      <c r="AB45" s="80"/>
      <c r="AC45" s="80"/>
      <c r="AD45" s="80"/>
      <c r="AE45" s="80"/>
      <c r="AF45" s="80"/>
      <c r="AG45" s="80"/>
      <c r="AH45" s="80"/>
      <c r="AI45" s="80"/>
      <c r="AJ45" s="80"/>
      <c r="AK45" s="80"/>
      <c r="AL45" s="80"/>
      <c r="AM45" s="80"/>
      <c r="AN45" s="80"/>
      <c r="AO45" s="80"/>
      <c r="AP45" s="80"/>
      <c r="AQ45" s="80"/>
      <c r="AR45" s="80"/>
      <c r="AS45" s="80"/>
      <c r="AT45" s="80"/>
      <c r="AU45" s="80"/>
      <c r="AV45" s="80"/>
      <c r="AW45" s="80"/>
      <c r="AX45" s="80"/>
      <c r="AY45" s="80"/>
      <c r="AZ45" s="80"/>
      <c r="BA45" s="80"/>
      <c r="BB45" s="80"/>
      <c r="BC45" s="80"/>
      <c r="BD45" s="80"/>
      <c r="BE45" s="80"/>
      <c r="BF45" s="80"/>
      <c r="BG45" s="80"/>
      <c r="BH45" s="80"/>
      <c r="BI45" s="80"/>
      <c r="BJ45" s="80"/>
      <c r="BK45" s="80"/>
      <c r="BL45" s="80"/>
      <c r="BM45" s="80"/>
      <c r="BN45" s="80"/>
      <c r="BO45" s="80"/>
      <c r="BP45" s="80"/>
      <c r="BQ45" s="80"/>
      <c r="BR45" s="80"/>
      <c r="BS45" s="80"/>
      <c r="BT45" s="80"/>
      <c r="BU45" s="80"/>
      <c r="BV45" s="80"/>
      <c r="BW45" s="80"/>
      <c r="BX45" s="80"/>
      <c r="BY45" s="80"/>
      <c r="BZ45" s="80"/>
      <c r="CA45" s="80"/>
      <c r="CB45" s="80"/>
      <c r="CC45" s="80"/>
      <c r="CD45" s="80"/>
      <c r="CE45" s="80"/>
      <c r="CF45" s="80"/>
      <c r="CG45" s="80"/>
      <c r="CH45" s="80"/>
      <c r="CI45" s="80"/>
      <c r="CJ45" s="80"/>
      <c r="CK45" s="80"/>
      <c r="CL45" s="80"/>
      <c r="CM45" s="80"/>
      <c r="CN45" s="80"/>
      <c r="CO45" s="80"/>
      <c r="CP45" s="80"/>
      <c r="CQ45" s="80"/>
      <c r="CR45" s="80"/>
      <c r="CS45" s="80"/>
      <c r="CT45" s="80"/>
      <c r="CU45" s="80"/>
      <c r="CV45" s="80"/>
      <c r="CW45" s="80"/>
      <c r="CX45" s="80"/>
      <c r="CY45" s="80"/>
      <c r="CZ45" s="80"/>
      <c r="DA45" s="80"/>
      <c r="DB45" s="80"/>
      <c r="DC45" s="80"/>
      <c r="DD45" s="80"/>
      <c r="DE45" s="80"/>
      <c r="DF45" s="80"/>
      <c r="DG45" s="80"/>
      <c r="DH45" s="80"/>
      <c r="DI45" s="80"/>
      <c r="DJ45" s="80"/>
      <c r="DK45" s="80"/>
      <c r="DL45" s="80"/>
      <c r="DM45" s="80"/>
      <c r="DN45" s="80"/>
      <c r="DO45" s="80"/>
      <c r="DP45" s="80"/>
      <c r="DQ45" s="80"/>
      <c r="DR45" s="80"/>
      <c r="DS45" s="80"/>
      <c r="DT45" s="80"/>
      <c r="DU45" s="80"/>
      <c r="DV45" s="80"/>
      <c r="DW45" s="80"/>
      <c r="DX45" s="80"/>
      <c r="DY45" s="80"/>
      <c r="DZ45" s="80"/>
      <c r="EA45" s="80"/>
      <c r="EB45" s="80"/>
      <c r="EC45" s="80"/>
      <c r="ED45" s="80"/>
      <c r="EE45" s="80"/>
      <c r="EF45" s="80"/>
      <c r="EG45" s="80"/>
      <c r="EH45" s="80"/>
      <c r="EI45" s="80"/>
      <c r="EJ45" s="80"/>
      <c r="EK45" s="80"/>
      <c r="EL45" s="80"/>
      <c r="EM45" s="80"/>
      <c r="EN45" s="80"/>
      <c r="EO45" s="80"/>
      <c r="EP45" s="80"/>
      <c r="EQ45" s="80"/>
      <c r="ER45" s="80"/>
      <c r="ES45" s="80"/>
      <c r="ET45" s="80"/>
      <c r="EU45" s="80"/>
      <c r="EV45" s="80"/>
      <c r="EW45" s="80"/>
      <c r="EX45" s="80"/>
      <c r="EY45" s="80"/>
      <c r="EZ45" s="80"/>
      <c r="FA45" s="80"/>
      <c r="FB45" s="80"/>
      <c r="FC45" s="80"/>
      <c r="FD45" s="80"/>
      <c r="FE45" s="80"/>
      <c r="FF45" s="80"/>
      <c r="FG45" s="80"/>
      <c r="FH45" s="80"/>
      <c r="FI45" s="80"/>
      <c r="FJ45" s="80"/>
      <c r="FK45" s="80"/>
      <c r="FL45" s="80"/>
      <c r="FM45" s="80"/>
      <c r="FN45" s="80"/>
      <c r="FO45" s="80"/>
      <c r="FP45" s="80"/>
      <c r="FQ45" s="80"/>
      <c r="FR45" s="80"/>
      <c r="FS45" s="80"/>
      <c r="FT45" s="80"/>
      <c r="FU45" s="80"/>
      <c r="FV45" s="80"/>
      <c r="FW45" s="80"/>
      <c r="FX45" s="80"/>
      <c r="FY45" s="80"/>
      <c r="FZ45" s="80"/>
      <c r="GA45" s="80"/>
      <c r="GB45" s="80"/>
      <c r="GC45" s="80"/>
      <c r="GD45" s="80"/>
      <c r="GE45" s="107"/>
      <c r="GF45" s="107"/>
      <c r="GG45" s="107"/>
      <c r="GH45" s="107"/>
      <c r="GI45" s="107"/>
      <c r="GJ45" s="107"/>
      <c r="GK45" s="80"/>
      <c r="GL45" s="80"/>
      <c r="GM45" s="80"/>
      <c r="GN45" s="80"/>
      <c r="GO45" s="80"/>
      <c r="GP45" s="80"/>
      <c r="GQ45" s="80"/>
      <c r="GR45" s="80"/>
      <c r="GS45" s="80"/>
      <c r="GT45" s="80"/>
      <c r="GU45" s="80"/>
      <c r="GV45" s="82"/>
      <c r="GW45" s="80"/>
      <c r="GX45" s="80"/>
      <c r="GY45" s="80"/>
      <c r="GZ45" s="80"/>
      <c r="HA45" s="80"/>
      <c r="HB45" s="80"/>
      <c r="HC45" s="80"/>
      <c r="HD45" s="80"/>
      <c r="HE45" s="80"/>
      <c r="HF45" s="80"/>
      <c r="HG45" s="80"/>
      <c r="HH45" s="80"/>
      <c r="HI45" s="80"/>
      <c r="HJ45" s="80"/>
      <c r="HK45" s="80"/>
      <c r="HL45" s="80"/>
      <c r="HM45" s="80"/>
      <c r="HN45" s="80"/>
      <c r="HO45" s="80"/>
      <c r="HP45" s="80"/>
      <c r="HQ45" s="80"/>
      <c r="HR45" s="80"/>
      <c r="HS45" s="80"/>
      <c r="HT45" s="80"/>
      <c r="HU45" s="80"/>
      <c r="HV45" s="80"/>
      <c r="HW45" s="80"/>
      <c r="HX45" s="80"/>
      <c r="HY45" s="80"/>
      <c r="HZ45" s="80"/>
      <c r="IA45" s="80"/>
      <c r="IB45" s="80"/>
      <c r="IC45" s="80"/>
      <c r="ID45" s="80"/>
      <c r="IE45" s="80"/>
      <c r="IF45" s="80"/>
      <c r="IG45" s="80"/>
      <c r="IH45" s="80"/>
      <c r="II45" s="80"/>
      <c r="IJ45" s="80"/>
      <c r="IK45" s="80"/>
      <c r="IL45" s="80"/>
      <c r="IM45" s="80"/>
      <c r="IN45" s="80"/>
      <c r="IO45" s="80"/>
      <c r="IP45" s="80"/>
      <c r="IQ45" s="80"/>
      <c r="IR45" s="80"/>
      <c r="IS45" s="80"/>
      <c r="IT45" s="80"/>
      <c r="IU45" s="80"/>
      <c r="IV45" s="80"/>
      <c r="IW45" s="80"/>
      <c r="IX45" s="80"/>
      <c r="IY45" s="80"/>
      <c r="IZ45" s="80"/>
      <c r="JA45" s="80"/>
      <c r="JB45" s="80"/>
      <c r="JC45" s="80"/>
      <c r="JD45" s="80"/>
      <c r="JE45" s="80"/>
      <c r="JF45" s="80"/>
      <c r="JG45" s="80"/>
      <c r="JH45" s="80"/>
      <c r="JI45" s="80"/>
      <c r="JJ45" s="80"/>
      <c r="JK45" s="80"/>
      <c r="JL45" s="80"/>
      <c r="JM45" s="80"/>
      <c r="JN45" s="80"/>
      <c r="JO45" s="80"/>
      <c r="JP45" s="80"/>
      <c r="JQ45" s="80"/>
      <c r="JR45" s="80"/>
      <c r="JS45" s="80"/>
      <c r="JT45" s="80"/>
      <c r="JU45" s="80"/>
      <c r="JV45" s="80"/>
      <c r="JW45" s="80"/>
      <c r="JX45" s="80"/>
      <c r="JY45" s="80"/>
      <c r="JZ45" s="80"/>
      <c r="KA45" s="80"/>
      <c r="KB45" s="80"/>
      <c r="KC45" s="80"/>
      <c r="KD45" s="80"/>
    </row>
    <row r="46" spans="6:290" x14ac:dyDescent="0.35">
      <c r="F46" s="76"/>
      <c r="G46" s="77"/>
      <c r="H46" s="68"/>
      <c r="I46" s="68"/>
      <c r="J46" s="78"/>
      <c r="K46" s="68"/>
      <c r="L46" s="68"/>
      <c r="M46" s="78"/>
      <c r="N46" s="78"/>
      <c r="O46" s="79">
        <v>0</v>
      </c>
      <c r="P46" s="80"/>
      <c r="Q46" s="80"/>
      <c r="R46" s="80"/>
      <c r="S46" s="80"/>
      <c r="T46" s="80"/>
      <c r="U46" s="80"/>
      <c r="V46" s="80"/>
      <c r="W46" s="80"/>
      <c r="X46" s="80"/>
      <c r="Y46" s="80"/>
      <c r="Z46" s="80"/>
      <c r="AA46" s="80"/>
      <c r="AB46" s="80"/>
      <c r="AC46" s="80"/>
      <c r="AD46" s="80"/>
      <c r="AE46" s="80"/>
      <c r="AF46" s="80"/>
      <c r="AG46" s="80"/>
      <c r="AH46" s="80"/>
      <c r="AI46" s="80"/>
      <c r="AJ46" s="80"/>
      <c r="AK46" s="80"/>
      <c r="AL46" s="80"/>
      <c r="AM46" s="80"/>
      <c r="AN46" s="80"/>
      <c r="AO46" s="80"/>
      <c r="AP46" s="80"/>
      <c r="AQ46" s="80"/>
      <c r="AR46" s="80"/>
      <c r="AS46" s="80"/>
      <c r="AT46" s="80"/>
      <c r="AU46" s="80"/>
      <c r="AV46" s="80"/>
      <c r="AW46" s="80"/>
      <c r="AX46" s="80"/>
      <c r="AY46" s="80"/>
      <c r="AZ46" s="80"/>
      <c r="BA46" s="80"/>
      <c r="BB46" s="80"/>
      <c r="BC46" s="80"/>
      <c r="BD46" s="80"/>
      <c r="BE46" s="80"/>
      <c r="BF46" s="80"/>
      <c r="BG46" s="80"/>
      <c r="BH46" s="80"/>
      <c r="BI46" s="80"/>
      <c r="BJ46" s="80"/>
      <c r="BK46" s="80"/>
      <c r="BL46" s="80"/>
      <c r="BM46" s="80"/>
      <c r="BN46" s="80"/>
      <c r="BO46" s="80"/>
      <c r="BP46" s="80"/>
      <c r="BQ46" s="80"/>
      <c r="BR46" s="80"/>
      <c r="BS46" s="80"/>
      <c r="BT46" s="80"/>
      <c r="BU46" s="80"/>
      <c r="BV46" s="80"/>
      <c r="BW46" s="80"/>
      <c r="BX46" s="80"/>
      <c r="BY46" s="80"/>
      <c r="BZ46" s="80"/>
      <c r="CA46" s="80"/>
      <c r="CB46" s="80"/>
      <c r="CC46" s="80"/>
      <c r="CD46" s="80"/>
      <c r="CE46" s="80"/>
      <c r="CF46" s="80"/>
      <c r="CG46" s="80"/>
      <c r="CH46" s="80"/>
      <c r="CI46" s="80"/>
      <c r="CJ46" s="80"/>
      <c r="CK46" s="80"/>
      <c r="CL46" s="80"/>
      <c r="CM46" s="80"/>
      <c r="CN46" s="80"/>
      <c r="CO46" s="80"/>
      <c r="CP46" s="80"/>
      <c r="CQ46" s="80"/>
      <c r="CR46" s="80"/>
      <c r="CS46" s="80"/>
      <c r="CT46" s="80"/>
      <c r="CU46" s="80"/>
      <c r="CV46" s="80"/>
      <c r="CW46" s="80"/>
      <c r="CX46" s="80"/>
      <c r="CY46" s="80"/>
      <c r="CZ46" s="80"/>
      <c r="DA46" s="80"/>
      <c r="DB46" s="80"/>
      <c r="DC46" s="80"/>
      <c r="DD46" s="80"/>
      <c r="DE46" s="80"/>
      <c r="DF46" s="80"/>
      <c r="DG46" s="80"/>
      <c r="DH46" s="80"/>
      <c r="DI46" s="80"/>
      <c r="DJ46" s="80"/>
      <c r="DK46" s="80"/>
      <c r="DL46" s="80"/>
      <c r="DM46" s="80"/>
      <c r="DN46" s="80"/>
      <c r="DO46" s="80"/>
      <c r="DP46" s="80"/>
      <c r="DQ46" s="80"/>
      <c r="DR46" s="80"/>
      <c r="DS46" s="80"/>
      <c r="DT46" s="80"/>
      <c r="DU46" s="80"/>
      <c r="DV46" s="80"/>
      <c r="DW46" s="80"/>
      <c r="DX46" s="80"/>
      <c r="DY46" s="80"/>
      <c r="DZ46" s="80"/>
      <c r="EA46" s="80"/>
      <c r="EB46" s="80"/>
      <c r="EC46" s="80"/>
      <c r="ED46" s="80"/>
      <c r="EE46" s="80"/>
      <c r="EF46" s="80"/>
      <c r="EG46" s="80"/>
      <c r="EH46" s="80"/>
      <c r="EI46" s="80"/>
      <c r="EJ46" s="80"/>
      <c r="EK46" s="80"/>
      <c r="EL46" s="80"/>
      <c r="EM46" s="80"/>
      <c r="EN46" s="80"/>
      <c r="EO46" s="80"/>
      <c r="EP46" s="80"/>
      <c r="EQ46" s="80"/>
      <c r="ER46" s="80"/>
      <c r="ES46" s="80"/>
      <c r="ET46" s="80"/>
      <c r="EU46" s="80"/>
      <c r="EV46" s="80"/>
      <c r="EW46" s="80"/>
      <c r="EX46" s="80"/>
      <c r="EY46" s="80"/>
      <c r="EZ46" s="80"/>
      <c r="FA46" s="80"/>
      <c r="FB46" s="80"/>
      <c r="FC46" s="80"/>
      <c r="FD46" s="80"/>
      <c r="FE46" s="80"/>
      <c r="FF46" s="80"/>
      <c r="FG46" s="80"/>
      <c r="FH46" s="80"/>
      <c r="FI46" s="80"/>
      <c r="FJ46" s="80"/>
      <c r="FK46" s="80"/>
      <c r="FL46" s="80"/>
      <c r="FM46" s="80"/>
      <c r="FN46" s="80"/>
      <c r="FO46" s="80"/>
      <c r="FP46" s="80"/>
      <c r="FQ46" s="80"/>
      <c r="FR46" s="80"/>
      <c r="FS46" s="80"/>
      <c r="FT46" s="80"/>
      <c r="FU46" s="80"/>
      <c r="FV46" s="80"/>
      <c r="FW46" s="80"/>
      <c r="FX46" s="80"/>
      <c r="FY46" s="80"/>
      <c r="FZ46" s="80"/>
      <c r="GA46" s="80"/>
      <c r="GB46" s="80"/>
      <c r="GC46" s="80"/>
      <c r="GD46" s="80"/>
      <c r="GE46" s="80"/>
      <c r="GF46" s="80"/>
      <c r="GG46" s="80"/>
      <c r="GH46" s="80"/>
      <c r="GI46" s="80"/>
      <c r="GJ46" s="80"/>
      <c r="GK46" s="80"/>
      <c r="GL46" s="80"/>
      <c r="GM46" s="80"/>
      <c r="GN46" s="80"/>
      <c r="GO46" s="80"/>
      <c r="GP46" s="80"/>
      <c r="GQ46" s="80"/>
      <c r="GR46" s="80"/>
      <c r="GS46" s="80"/>
      <c r="GT46" s="80"/>
      <c r="GU46" s="80"/>
      <c r="GV46" s="80"/>
      <c r="GW46" s="80"/>
      <c r="GX46" s="80"/>
      <c r="GY46" s="80"/>
      <c r="GZ46" s="80"/>
      <c r="HA46" s="80"/>
      <c r="HB46" s="80"/>
      <c r="HC46" s="80"/>
      <c r="HD46" s="80"/>
      <c r="HE46" s="80"/>
      <c r="HF46" s="80"/>
      <c r="HG46" s="80"/>
      <c r="HH46" s="80"/>
      <c r="HI46" s="80"/>
      <c r="HJ46" s="80"/>
      <c r="HK46" s="80"/>
      <c r="HL46" s="80"/>
      <c r="HM46" s="80"/>
      <c r="HN46" s="80"/>
      <c r="HO46" s="80"/>
      <c r="HP46" s="80"/>
      <c r="HQ46" s="80"/>
      <c r="HR46" s="80"/>
      <c r="HS46" s="80"/>
      <c r="HT46" s="80"/>
      <c r="HU46" s="80"/>
      <c r="HV46" s="80"/>
      <c r="HW46" s="80"/>
      <c r="HX46" s="80"/>
      <c r="HY46" s="80"/>
      <c r="HZ46" s="80"/>
      <c r="IA46" s="80"/>
      <c r="IB46" s="80"/>
      <c r="IC46" s="80"/>
      <c r="ID46" s="80"/>
      <c r="IE46" s="80"/>
      <c r="IF46" s="80"/>
      <c r="IG46" s="80"/>
      <c r="IH46" s="80"/>
      <c r="II46" s="80"/>
      <c r="IJ46" s="80"/>
      <c r="IK46" s="80"/>
      <c r="IL46" s="80"/>
      <c r="IM46" s="80"/>
      <c r="IN46" s="80"/>
      <c r="IO46" s="80"/>
      <c r="IP46" s="80"/>
      <c r="IQ46" s="80"/>
      <c r="IR46" s="80"/>
      <c r="IS46" s="80"/>
      <c r="IT46" s="80"/>
      <c r="IU46" s="80"/>
      <c r="IV46" s="80"/>
      <c r="IW46" s="80"/>
      <c r="IX46" s="80"/>
      <c r="IY46" s="80"/>
      <c r="IZ46" s="80"/>
      <c r="JA46" s="80"/>
      <c r="JB46" s="80"/>
      <c r="JC46" s="80"/>
      <c r="JD46" s="80"/>
      <c r="JE46" s="80"/>
      <c r="JF46" s="80"/>
      <c r="JG46" s="80"/>
      <c r="JH46" s="80"/>
      <c r="JI46" s="80"/>
      <c r="JJ46" s="80"/>
      <c r="JK46" s="80"/>
      <c r="JL46" s="80"/>
      <c r="JM46" s="80"/>
      <c r="JN46" s="80"/>
      <c r="JO46" s="80"/>
      <c r="JP46" s="80"/>
      <c r="JQ46" s="80"/>
      <c r="JR46" s="80"/>
      <c r="JS46" s="80"/>
      <c r="JT46" s="80"/>
      <c r="JU46" s="80"/>
      <c r="JV46" s="80"/>
      <c r="JW46" s="80"/>
      <c r="JX46" s="80"/>
      <c r="JY46" s="80"/>
      <c r="JZ46" s="80"/>
      <c r="KA46" s="80"/>
      <c r="KB46" s="80"/>
      <c r="KC46" s="80"/>
      <c r="KD46" s="80"/>
    </row>
    <row r="47" spans="6:290" x14ac:dyDescent="0.35">
      <c r="F47" s="76"/>
      <c r="G47" s="77"/>
      <c r="H47" s="68"/>
      <c r="I47" s="68"/>
      <c r="J47" s="78"/>
      <c r="K47" s="68"/>
      <c r="L47" s="68"/>
      <c r="M47" s="78"/>
      <c r="N47" s="78"/>
      <c r="O47" s="79"/>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80"/>
      <c r="BA47" s="80"/>
      <c r="BB47" s="80"/>
      <c r="BC47" s="80"/>
      <c r="BD47" s="80"/>
      <c r="BE47" s="80"/>
      <c r="BF47" s="80"/>
      <c r="BG47" s="80"/>
      <c r="BH47" s="80"/>
      <c r="BI47" s="80"/>
      <c r="BJ47" s="80"/>
      <c r="BK47" s="80"/>
      <c r="BL47" s="80"/>
      <c r="BM47" s="80"/>
      <c r="BN47" s="80"/>
      <c r="BO47" s="80"/>
      <c r="BP47" s="80"/>
      <c r="BQ47" s="80"/>
      <c r="BR47" s="80"/>
      <c r="BS47" s="80"/>
      <c r="BT47" s="80"/>
      <c r="BU47" s="80"/>
      <c r="BV47" s="80"/>
      <c r="BW47" s="80"/>
      <c r="BX47" s="80"/>
      <c r="BY47" s="80"/>
      <c r="BZ47" s="80"/>
      <c r="CA47" s="80"/>
      <c r="CB47" s="80"/>
      <c r="CC47" s="80"/>
      <c r="CD47" s="80"/>
      <c r="CE47" s="80"/>
      <c r="CF47" s="80"/>
      <c r="CG47" s="80"/>
      <c r="CH47" s="80"/>
      <c r="CI47" s="80"/>
      <c r="CJ47" s="80"/>
      <c r="CK47" s="80"/>
      <c r="CL47" s="80"/>
      <c r="CM47" s="80"/>
      <c r="CN47" s="80"/>
      <c r="CO47" s="80"/>
      <c r="CP47" s="80"/>
      <c r="CQ47" s="80"/>
      <c r="CR47" s="80"/>
      <c r="CS47" s="80"/>
      <c r="CT47" s="80"/>
      <c r="CU47" s="80"/>
      <c r="CV47" s="80"/>
      <c r="CW47" s="80"/>
      <c r="CX47" s="80"/>
      <c r="CY47" s="80"/>
      <c r="CZ47" s="80"/>
      <c r="DA47" s="80"/>
      <c r="DB47" s="80"/>
      <c r="DC47" s="80"/>
      <c r="DD47" s="80"/>
      <c r="DE47" s="80"/>
      <c r="DF47" s="80"/>
      <c r="DG47" s="80"/>
      <c r="DH47" s="80"/>
      <c r="DI47" s="80"/>
      <c r="DJ47" s="80"/>
      <c r="DK47" s="80"/>
      <c r="DL47" s="80"/>
      <c r="DM47" s="80"/>
      <c r="DN47" s="80"/>
      <c r="DO47" s="80"/>
      <c r="DP47" s="80"/>
      <c r="DQ47" s="80"/>
      <c r="DR47" s="80"/>
      <c r="DS47" s="80"/>
      <c r="DT47" s="80"/>
      <c r="DU47" s="80"/>
      <c r="DV47" s="80"/>
      <c r="DW47" s="80"/>
      <c r="DX47" s="80"/>
      <c r="DY47" s="80"/>
      <c r="DZ47" s="80"/>
      <c r="EA47" s="80"/>
      <c r="EB47" s="80"/>
      <c r="EC47" s="80"/>
      <c r="ED47" s="80"/>
      <c r="EE47" s="80"/>
      <c r="EF47" s="80"/>
      <c r="EG47" s="80"/>
      <c r="EH47" s="80"/>
      <c r="EI47" s="80"/>
      <c r="EJ47" s="80"/>
      <c r="EK47" s="80"/>
      <c r="EL47" s="80"/>
      <c r="EM47" s="80"/>
      <c r="EN47" s="80"/>
      <c r="EO47" s="80"/>
      <c r="EP47" s="80"/>
      <c r="EQ47" s="80"/>
      <c r="ER47" s="80"/>
      <c r="ES47" s="80"/>
      <c r="ET47" s="80"/>
      <c r="EU47" s="80"/>
      <c r="EV47" s="80"/>
      <c r="EW47" s="80"/>
      <c r="EX47" s="80"/>
      <c r="EY47" s="80"/>
      <c r="EZ47" s="80"/>
      <c r="FA47" s="80"/>
      <c r="FB47" s="80"/>
      <c r="FC47" s="80"/>
      <c r="FD47" s="80"/>
      <c r="FE47" s="80"/>
      <c r="FF47" s="80"/>
      <c r="FG47" s="80"/>
      <c r="FH47" s="80"/>
      <c r="FI47" s="80"/>
      <c r="FJ47" s="80"/>
      <c r="FK47" s="80"/>
      <c r="FL47" s="80"/>
      <c r="FM47" s="80"/>
      <c r="FN47" s="80"/>
      <c r="FO47" s="80"/>
      <c r="FP47" s="80"/>
      <c r="FQ47" s="80"/>
      <c r="FR47" s="80"/>
      <c r="FS47" s="80"/>
      <c r="FT47" s="80"/>
      <c r="FU47" s="80"/>
      <c r="FV47" s="80"/>
      <c r="FW47" s="80"/>
      <c r="FX47" s="80"/>
      <c r="FY47" s="80"/>
      <c r="FZ47" s="80"/>
      <c r="GA47" s="80"/>
      <c r="GB47" s="80"/>
      <c r="GC47" s="80"/>
      <c r="GD47" s="80"/>
      <c r="GE47" s="80"/>
      <c r="GF47" s="80"/>
      <c r="GG47" s="80"/>
      <c r="GH47" s="80"/>
      <c r="GI47" s="80"/>
      <c r="GJ47" s="80"/>
      <c r="GK47" s="80"/>
      <c r="GL47" s="80"/>
      <c r="GM47" s="80"/>
      <c r="GN47" s="80"/>
      <c r="GO47" s="80"/>
      <c r="GP47" s="80"/>
      <c r="GQ47" s="80"/>
      <c r="GR47" s="80"/>
      <c r="GS47" s="80"/>
      <c r="GT47" s="80"/>
      <c r="GU47" s="80"/>
      <c r="GV47" s="80"/>
      <c r="GW47" s="80"/>
      <c r="GX47" s="80"/>
      <c r="GY47" s="80"/>
      <c r="GZ47" s="80"/>
      <c r="HA47" s="80"/>
      <c r="HB47" s="80"/>
      <c r="HC47" s="80"/>
      <c r="HD47" s="80"/>
      <c r="HE47" s="80"/>
      <c r="HF47" s="80"/>
      <c r="HG47" s="80"/>
      <c r="HH47" s="80"/>
      <c r="HI47" s="80"/>
      <c r="HJ47" s="80"/>
      <c r="HK47" s="80"/>
      <c r="HL47" s="80"/>
      <c r="HM47" s="80"/>
      <c r="HN47" s="80"/>
      <c r="HO47" s="80"/>
      <c r="HP47" s="80"/>
      <c r="HQ47" s="80"/>
      <c r="HR47" s="80"/>
      <c r="HS47" s="80"/>
      <c r="HT47" s="80"/>
      <c r="HU47" s="80"/>
      <c r="HV47" s="80"/>
      <c r="HW47" s="80"/>
      <c r="HX47" s="80"/>
      <c r="HY47" s="80"/>
      <c r="HZ47" s="80"/>
      <c r="IA47" s="80"/>
      <c r="IB47" s="80"/>
      <c r="IC47" s="80"/>
      <c r="ID47" s="80"/>
      <c r="IE47" s="80"/>
      <c r="IF47" s="80"/>
      <c r="IG47" s="80"/>
      <c r="IH47" s="80"/>
      <c r="II47" s="80"/>
      <c r="IJ47" s="80"/>
      <c r="IK47" s="80"/>
      <c r="IL47" s="80"/>
      <c r="IM47" s="80"/>
      <c r="IN47" s="80"/>
      <c r="IO47" s="80"/>
      <c r="IP47" s="80"/>
      <c r="IQ47" s="80"/>
      <c r="IR47" s="80"/>
      <c r="IS47" s="80"/>
      <c r="IT47" s="80"/>
      <c r="IU47" s="80"/>
      <c r="IV47" s="80"/>
      <c r="IW47" s="80"/>
      <c r="IX47" s="80"/>
      <c r="IY47" s="80"/>
      <c r="IZ47" s="80"/>
      <c r="JA47" s="80"/>
      <c r="JB47" s="80"/>
      <c r="JC47" s="80"/>
      <c r="JD47" s="80"/>
      <c r="JE47" s="80"/>
      <c r="JF47" s="80"/>
      <c r="JG47" s="80"/>
      <c r="JH47" s="80"/>
      <c r="JI47" s="80"/>
      <c r="JJ47" s="80"/>
      <c r="JK47" s="80"/>
      <c r="JL47" s="80"/>
      <c r="JM47" s="80"/>
      <c r="JN47" s="80"/>
      <c r="JO47" s="80"/>
      <c r="JP47" s="80"/>
      <c r="JQ47" s="80"/>
      <c r="JR47" s="80"/>
      <c r="JS47" s="80"/>
      <c r="JT47" s="80"/>
      <c r="JU47" s="80"/>
      <c r="JV47" s="80"/>
      <c r="JW47" s="80"/>
      <c r="JX47" s="80"/>
      <c r="JY47" s="80"/>
      <c r="JZ47" s="80"/>
      <c r="KA47" s="80"/>
      <c r="KB47" s="80"/>
      <c r="KC47" s="80"/>
      <c r="KD47" s="80"/>
    </row>
  </sheetData>
  <sortState xmlns:xlrd2="http://schemas.microsoft.com/office/spreadsheetml/2017/richdata2" ref="F14:O47">
    <sortCondition ref="H13"/>
  </sortState>
  <phoneticPr fontId="5" type="noConversion"/>
  <dataValidations count="1">
    <dataValidation type="list" allowBlank="1" showInputMessage="1" showErrorMessage="1" sqref="G14:G47" xr:uid="{78307827-3C76-40C0-A816-EABF9DE597E5}">
      <formula1>ActivityTypes</formula1>
    </dataValidation>
  </dataValidations>
  <pageMargins left="0.7" right="0.7" top="0.75" bottom="0.75" header="0.3" footer="0.3"/>
  <pageSetup scale="10"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6FFC1-298B-4071-81DE-09A7313B1EC1}">
  <sheetPr codeName="Sheet10">
    <pageSetUpPr autoPageBreaks="0"/>
  </sheetPr>
  <dimension ref="F1:S444"/>
  <sheetViews>
    <sheetView showGridLines="0" showRowColHeaders="0" zoomScaleNormal="100" workbookViewId="0">
      <pane xSplit="5" ySplit="7" topLeftCell="F8" activePane="bottomRight" state="frozen"/>
      <selection pane="topRight" activeCell="F1" sqref="F1"/>
      <selection pane="bottomLeft" activeCell="A8" sqref="A8"/>
      <selection pane="bottomRight" activeCell="P8" sqref="P8"/>
    </sheetView>
  </sheetViews>
  <sheetFormatPr defaultRowHeight="14.5" x14ac:dyDescent="0.35"/>
  <cols>
    <col min="5" max="5" width="3.54296875" customWidth="1"/>
    <col min="6" max="6" width="16.54296875" style="40" customWidth="1"/>
    <col min="7" max="7" width="18.90625" style="62" customWidth="1"/>
    <col min="8" max="8" width="44.453125" style="40" bestFit="1" customWidth="1"/>
    <col min="9" max="9" width="37.08984375" style="40" customWidth="1"/>
    <col min="10" max="10" width="15.90625" style="67" customWidth="1"/>
    <col min="11" max="11" width="20.08984375" style="42" customWidth="1"/>
    <col min="12" max="12" width="31.90625" style="40" customWidth="1"/>
    <col min="13" max="13" width="3.08984375" customWidth="1"/>
    <col min="15" max="15" width="15.453125" customWidth="1"/>
    <col min="16" max="16" width="13.453125" bestFit="1" customWidth="1"/>
    <col min="18" max="18" width="23.90625" bestFit="1" customWidth="1"/>
    <col min="19" max="19" width="13.453125" bestFit="1" customWidth="1"/>
  </cols>
  <sheetData>
    <row r="1" spans="6:19" x14ac:dyDescent="0.35">
      <c r="F1"/>
      <c r="G1"/>
      <c r="H1"/>
      <c r="I1"/>
      <c r="J1"/>
      <c r="K1"/>
      <c r="L1"/>
    </row>
    <row r="2" spans="6:19" x14ac:dyDescent="0.35">
      <c r="F2"/>
      <c r="G2"/>
      <c r="H2"/>
      <c r="I2"/>
      <c r="J2"/>
      <c r="K2"/>
      <c r="L2"/>
    </row>
    <row r="3" spans="6:19" x14ac:dyDescent="0.35">
      <c r="F3"/>
      <c r="G3"/>
      <c r="H3"/>
      <c r="I3"/>
      <c r="J3"/>
      <c r="K3"/>
      <c r="L3"/>
    </row>
    <row r="4" spans="6:19" x14ac:dyDescent="0.35">
      <c r="F4"/>
      <c r="G4"/>
      <c r="H4"/>
      <c r="I4"/>
      <c r="J4"/>
      <c r="K4"/>
      <c r="L4"/>
    </row>
    <row r="5" spans="6:19" x14ac:dyDescent="0.35">
      <c r="F5"/>
      <c r="G5"/>
      <c r="H5"/>
      <c r="I5"/>
      <c r="J5"/>
      <c r="K5"/>
      <c r="L5"/>
    </row>
    <row r="6" spans="6:19" ht="15" thickBot="1" x14ac:dyDescent="0.4">
      <c r="F6"/>
      <c r="G6"/>
      <c r="H6"/>
      <c r="I6"/>
      <c r="J6"/>
      <c r="K6"/>
      <c r="L6"/>
    </row>
    <row r="7" spans="6:19" x14ac:dyDescent="0.35">
      <c r="F7" s="87" t="s">
        <v>85</v>
      </c>
      <c r="G7" s="88" t="s">
        <v>2</v>
      </c>
      <c r="H7" s="88" t="s">
        <v>54</v>
      </c>
      <c r="I7" s="88" t="s">
        <v>55</v>
      </c>
      <c r="J7" s="89" t="s">
        <v>56</v>
      </c>
      <c r="K7" s="90" t="s">
        <v>57</v>
      </c>
      <c r="L7" s="91" t="s">
        <v>58</v>
      </c>
      <c r="N7" s="115" t="s">
        <v>59</v>
      </c>
      <c r="O7" s="116"/>
      <c r="P7" s="15">
        <v>330000</v>
      </c>
      <c r="Q7" s="15"/>
      <c r="R7" s="16"/>
      <c r="S7" s="17"/>
    </row>
    <row r="8" spans="6:19" x14ac:dyDescent="0.35">
      <c r="F8" s="92" t="s">
        <v>241</v>
      </c>
      <c r="G8" s="93" t="s">
        <v>601</v>
      </c>
      <c r="H8" s="93" t="s">
        <v>223</v>
      </c>
      <c r="I8" s="93" t="s">
        <v>600</v>
      </c>
      <c r="J8" s="94">
        <v>0</v>
      </c>
      <c r="K8" s="94"/>
      <c r="L8" s="95"/>
      <c r="N8" s="117" t="s">
        <v>60</v>
      </c>
      <c r="O8" s="118"/>
      <c r="P8" s="18">
        <v>0</v>
      </c>
      <c r="Q8" s="18"/>
      <c r="R8" s="19"/>
      <c r="S8" s="20"/>
    </row>
    <row r="9" spans="6:19" ht="15" thickBot="1" x14ac:dyDescent="0.4">
      <c r="F9" s="92" t="s">
        <v>1004</v>
      </c>
      <c r="G9" s="93" t="s">
        <v>601</v>
      </c>
      <c r="H9" s="93" t="s">
        <v>223</v>
      </c>
      <c r="I9" s="93" t="s">
        <v>608</v>
      </c>
      <c r="J9" s="94">
        <v>0</v>
      </c>
      <c r="K9" s="94"/>
      <c r="L9" s="95"/>
      <c r="N9" s="119" t="s">
        <v>61</v>
      </c>
      <c r="O9" s="120"/>
      <c r="P9" s="21">
        <v>330000</v>
      </c>
      <c r="Q9" s="21"/>
      <c r="R9" s="22"/>
      <c r="S9" s="23"/>
    </row>
    <row r="10" spans="6:19" ht="15" thickTop="1" x14ac:dyDescent="0.35">
      <c r="F10" s="92" t="s">
        <v>1005</v>
      </c>
      <c r="G10" s="93" t="s">
        <v>601</v>
      </c>
      <c r="H10" s="93" t="s">
        <v>223</v>
      </c>
      <c r="I10" s="93" t="s">
        <v>609</v>
      </c>
      <c r="J10" s="94">
        <v>0</v>
      </c>
      <c r="K10" s="94"/>
      <c r="L10" s="95"/>
      <c r="N10" s="121" t="s">
        <v>62</v>
      </c>
      <c r="O10" s="122"/>
      <c r="P10" s="24">
        <v>309027.99000000017</v>
      </c>
      <c r="Q10" s="25"/>
      <c r="R10" s="26" t="s">
        <v>63</v>
      </c>
      <c r="S10" s="27">
        <v>0</v>
      </c>
    </row>
    <row r="11" spans="6:19" ht="15" thickBot="1" x14ac:dyDescent="0.4">
      <c r="F11" s="92" t="s">
        <v>1006</v>
      </c>
      <c r="G11" s="93" t="s">
        <v>601</v>
      </c>
      <c r="H11" s="93" t="s">
        <v>223</v>
      </c>
      <c r="I11" s="93" t="s">
        <v>610</v>
      </c>
      <c r="J11" s="94">
        <v>0</v>
      </c>
      <c r="K11" s="94"/>
      <c r="L11" s="95"/>
      <c r="N11" s="123" t="s">
        <v>64</v>
      </c>
      <c r="O11" s="124"/>
      <c r="P11" s="57">
        <v>20972.01</v>
      </c>
      <c r="Q11" s="28"/>
      <c r="R11" s="29" t="s">
        <v>65</v>
      </c>
      <c r="S11" s="45">
        <v>330000</v>
      </c>
    </row>
    <row r="12" spans="6:19" x14ac:dyDescent="0.35">
      <c r="F12" s="92" t="s">
        <v>1007</v>
      </c>
      <c r="G12" s="93" t="s">
        <v>601</v>
      </c>
      <c r="H12" s="93" t="s">
        <v>223</v>
      </c>
      <c r="I12" s="93" t="s">
        <v>613</v>
      </c>
      <c r="J12" s="94">
        <v>0</v>
      </c>
      <c r="K12" s="94"/>
      <c r="L12" s="95"/>
      <c r="P12" s="75"/>
      <c r="S12" s="75"/>
    </row>
    <row r="13" spans="6:19" x14ac:dyDescent="0.35">
      <c r="F13" s="92" t="s">
        <v>1008</v>
      </c>
      <c r="G13" s="93" t="s">
        <v>601</v>
      </c>
      <c r="H13" s="93" t="s">
        <v>223</v>
      </c>
      <c r="I13" s="93" t="s">
        <v>615</v>
      </c>
      <c r="J13" s="94">
        <v>0</v>
      </c>
      <c r="K13" s="94"/>
      <c r="L13" s="95"/>
    </row>
    <row r="14" spans="6:19" x14ac:dyDescent="0.35">
      <c r="F14" s="92" t="s">
        <v>1009</v>
      </c>
      <c r="G14" s="93" t="s">
        <v>601</v>
      </c>
      <c r="H14" s="93" t="s">
        <v>223</v>
      </c>
      <c r="I14" s="93" t="s">
        <v>616</v>
      </c>
      <c r="J14" s="94">
        <v>0</v>
      </c>
      <c r="K14" s="94"/>
      <c r="L14" s="95"/>
    </row>
    <row r="15" spans="6:19" x14ac:dyDescent="0.35">
      <c r="F15" s="92" t="s">
        <v>1010</v>
      </c>
      <c r="G15" s="93" t="s">
        <v>601</v>
      </c>
      <c r="H15" s="93" t="s">
        <v>223</v>
      </c>
      <c r="I15" s="93" t="s">
        <v>617</v>
      </c>
      <c r="J15" s="94">
        <v>0</v>
      </c>
      <c r="K15" s="94"/>
      <c r="L15" s="95"/>
    </row>
    <row r="16" spans="6:19" x14ac:dyDescent="0.35">
      <c r="F16" s="92" t="s">
        <v>1011</v>
      </c>
      <c r="G16" s="93" t="s">
        <v>601</v>
      </c>
      <c r="H16" s="93" t="s">
        <v>223</v>
      </c>
      <c r="I16" s="93" t="s">
        <v>619</v>
      </c>
      <c r="J16" s="94">
        <v>0</v>
      </c>
      <c r="K16" s="94"/>
      <c r="L16" s="95"/>
    </row>
    <row r="17" spans="6:12" x14ac:dyDescent="0.35">
      <c r="F17" s="92" t="s">
        <v>1012</v>
      </c>
      <c r="G17" s="93" t="s">
        <v>601</v>
      </c>
      <c r="H17" s="93" t="s">
        <v>223</v>
      </c>
      <c r="I17" s="93" t="s">
        <v>620</v>
      </c>
      <c r="J17" s="94">
        <v>0</v>
      </c>
      <c r="K17" s="94"/>
      <c r="L17" s="95"/>
    </row>
    <row r="18" spans="6:12" x14ac:dyDescent="0.35">
      <c r="F18" s="92" t="s">
        <v>1013</v>
      </c>
      <c r="G18" s="93" t="s">
        <v>601</v>
      </c>
      <c r="H18" s="93" t="s">
        <v>223</v>
      </c>
      <c r="I18" s="93" t="s">
        <v>621</v>
      </c>
      <c r="J18" s="94">
        <v>0</v>
      </c>
      <c r="K18" s="94"/>
      <c r="L18" s="95"/>
    </row>
    <row r="19" spans="6:12" x14ac:dyDescent="0.35">
      <c r="F19" s="92" t="s">
        <v>1014</v>
      </c>
      <c r="G19" s="93" t="s">
        <v>601</v>
      </c>
      <c r="H19" s="93" t="s">
        <v>223</v>
      </c>
      <c r="I19" s="93" t="s">
        <v>624</v>
      </c>
      <c r="J19" s="94">
        <v>0</v>
      </c>
      <c r="K19" s="94"/>
      <c r="L19" s="95"/>
    </row>
    <row r="20" spans="6:12" x14ac:dyDescent="0.35">
      <c r="F20" s="92" t="s">
        <v>1015</v>
      </c>
      <c r="G20" s="93" t="s">
        <v>601</v>
      </c>
      <c r="H20" s="93" t="s">
        <v>223</v>
      </c>
      <c r="I20" s="93" t="s">
        <v>626</v>
      </c>
      <c r="J20" s="94">
        <v>0</v>
      </c>
      <c r="K20" s="94"/>
      <c r="L20" s="95"/>
    </row>
    <row r="21" spans="6:12" x14ac:dyDescent="0.35">
      <c r="F21" s="92" t="s">
        <v>1016</v>
      </c>
      <c r="G21" s="93" t="s">
        <v>601</v>
      </c>
      <c r="H21" s="93" t="s">
        <v>223</v>
      </c>
      <c r="I21" s="93" t="s">
        <v>628</v>
      </c>
      <c r="J21" s="94">
        <v>0</v>
      </c>
      <c r="K21" s="94"/>
      <c r="L21" s="95"/>
    </row>
    <row r="22" spans="6:12" x14ac:dyDescent="0.35">
      <c r="F22" s="92" t="s">
        <v>1017</v>
      </c>
      <c r="G22" s="93" t="s">
        <v>601</v>
      </c>
      <c r="H22" s="93" t="s">
        <v>223</v>
      </c>
      <c r="I22" s="93" t="s">
        <v>630</v>
      </c>
      <c r="J22" s="94">
        <v>0</v>
      </c>
      <c r="K22" s="94"/>
      <c r="L22" s="95"/>
    </row>
    <row r="23" spans="6:12" x14ac:dyDescent="0.35">
      <c r="F23" s="92" t="s">
        <v>1018</v>
      </c>
      <c r="G23" s="93" t="s">
        <v>601</v>
      </c>
      <c r="H23" s="93" t="s">
        <v>223</v>
      </c>
      <c r="I23" s="93" t="s">
        <v>631</v>
      </c>
      <c r="J23" s="94">
        <v>0</v>
      </c>
      <c r="K23" s="94"/>
      <c r="L23" s="95"/>
    </row>
    <row r="24" spans="6:12" x14ac:dyDescent="0.35">
      <c r="F24" s="92" t="s">
        <v>1019</v>
      </c>
      <c r="G24" s="93" t="s">
        <v>601</v>
      </c>
      <c r="H24" s="93" t="s">
        <v>223</v>
      </c>
      <c r="I24" s="93" t="s">
        <v>632</v>
      </c>
      <c r="J24" s="94">
        <v>0</v>
      </c>
      <c r="K24" s="94"/>
      <c r="L24" s="95"/>
    </row>
    <row r="25" spans="6:12" x14ac:dyDescent="0.35">
      <c r="F25" s="92" t="s">
        <v>1020</v>
      </c>
      <c r="G25" s="93" t="s">
        <v>601</v>
      </c>
      <c r="H25" s="93" t="s">
        <v>223</v>
      </c>
      <c r="I25" s="93" t="s">
        <v>633</v>
      </c>
      <c r="J25" s="94">
        <v>0</v>
      </c>
      <c r="K25" s="94"/>
      <c r="L25" s="95"/>
    </row>
    <row r="26" spans="6:12" x14ac:dyDescent="0.35">
      <c r="F26" s="92" t="s">
        <v>1021</v>
      </c>
      <c r="G26" s="93" t="s">
        <v>601</v>
      </c>
      <c r="H26" s="93" t="s">
        <v>223</v>
      </c>
      <c r="I26" s="93" t="s">
        <v>636</v>
      </c>
      <c r="J26" s="94">
        <v>0</v>
      </c>
      <c r="K26" s="94"/>
      <c r="L26" s="95"/>
    </row>
    <row r="27" spans="6:12" x14ac:dyDescent="0.35">
      <c r="F27" s="92" t="s">
        <v>1022</v>
      </c>
      <c r="G27" s="93" t="s">
        <v>601</v>
      </c>
      <c r="H27" s="93" t="s">
        <v>223</v>
      </c>
      <c r="I27" s="93" t="s">
        <v>637</v>
      </c>
      <c r="J27" s="94">
        <v>0</v>
      </c>
      <c r="K27" s="94"/>
      <c r="L27" s="95"/>
    </row>
    <row r="28" spans="6:12" x14ac:dyDescent="0.35">
      <c r="F28" s="92" t="s">
        <v>1023</v>
      </c>
      <c r="G28" s="93" t="s">
        <v>601</v>
      </c>
      <c r="H28" s="93" t="s">
        <v>223</v>
      </c>
      <c r="I28" s="93" t="s">
        <v>638</v>
      </c>
      <c r="J28" s="94">
        <v>0</v>
      </c>
      <c r="K28" s="94"/>
      <c r="L28" s="95"/>
    </row>
    <row r="29" spans="6:12" x14ac:dyDescent="0.35">
      <c r="F29" s="92" t="s">
        <v>1024</v>
      </c>
      <c r="G29" s="93" t="s">
        <v>601</v>
      </c>
      <c r="H29" s="93" t="s">
        <v>223</v>
      </c>
      <c r="I29" s="93" t="s">
        <v>639</v>
      </c>
      <c r="J29" s="94">
        <v>0</v>
      </c>
      <c r="K29" s="94"/>
      <c r="L29" s="95"/>
    </row>
    <row r="30" spans="6:12" x14ac:dyDescent="0.35">
      <c r="F30" s="92" t="s">
        <v>1025</v>
      </c>
      <c r="G30" s="93" t="s">
        <v>601</v>
      </c>
      <c r="H30" s="93" t="s">
        <v>223</v>
      </c>
      <c r="I30" s="93" t="s">
        <v>640</v>
      </c>
      <c r="J30" s="94">
        <v>0</v>
      </c>
      <c r="K30" s="94"/>
      <c r="L30" s="95"/>
    </row>
    <row r="31" spans="6:12" x14ac:dyDescent="0.35">
      <c r="F31" s="92" t="s">
        <v>1026</v>
      </c>
      <c r="G31" s="93" t="s">
        <v>601</v>
      </c>
      <c r="H31" s="93" t="s">
        <v>223</v>
      </c>
      <c r="I31" s="93" t="s">
        <v>641</v>
      </c>
      <c r="J31" s="94">
        <v>0</v>
      </c>
      <c r="K31" s="94"/>
      <c r="L31" s="95"/>
    </row>
    <row r="32" spans="6:12" x14ac:dyDescent="0.35">
      <c r="F32" s="92" t="s">
        <v>1027</v>
      </c>
      <c r="G32" s="93" t="s">
        <v>601</v>
      </c>
      <c r="H32" s="93" t="s">
        <v>223</v>
      </c>
      <c r="I32" s="93" t="s">
        <v>642</v>
      </c>
      <c r="J32" s="94">
        <v>0</v>
      </c>
      <c r="K32" s="94"/>
      <c r="L32" s="95"/>
    </row>
    <row r="33" spans="6:12" x14ac:dyDescent="0.35">
      <c r="F33" s="92" t="s">
        <v>1028</v>
      </c>
      <c r="G33" s="93" t="s">
        <v>601</v>
      </c>
      <c r="H33" s="93" t="s">
        <v>223</v>
      </c>
      <c r="I33" s="93" t="s">
        <v>643</v>
      </c>
      <c r="J33" s="94">
        <v>0</v>
      </c>
      <c r="K33" s="94"/>
      <c r="L33" s="95"/>
    </row>
    <row r="34" spans="6:12" x14ac:dyDescent="0.35">
      <c r="F34" s="92" t="s">
        <v>1029</v>
      </c>
      <c r="G34" s="93" t="s">
        <v>601</v>
      </c>
      <c r="H34" s="93" t="s">
        <v>223</v>
      </c>
      <c r="I34" s="93" t="s">
        <v>644</v>
      </c>
      <c r="J34" s="94">
        <v>0</v>
      </c>
      <c r="K34" s="94"/>
      <c r="L34" s="95"/>
    </row>
    <row r="35" spans="6:12" x14ac:dyDescent="0.35">
      <c r="F35" s="92" t="s">
        <v>1030</v>
      </c>
      <c r="G35" s="93" t="s">
        <v>601</v>
      </c>
      <c r="H35" s="93" t="s">
        <v>223</v>
      </c>
      <c r="I35" s="93" t="s">
        <v>648</v>
      </c>
      <c r="J35" s="94">
        <v>0</v>
      </c>
      <c r="K35" s="94"/>
      <c r="L35" s="95"/>
    </row>
    <row r="36" spans="6:12" x14ac:dyDescent="0.35">
      <c r="F36" s="92" t="s">
        <v>1031</v>
      </c>
      <c r="G36" s="93" t="s">
        <v>601</v>
      </c>
      <c r="H36" s="93" t="s">
        <v>223</v>
      </c>
      <c r="I36" s="93" t="s">
        <v>650</v>
      </c>
      <c r="J36" s="94">
        <v>0</v>
      </c>
      <c r="K36" s="94"/>
      <c r="L36" s="95"/>
    </row>
    <row r="37" spans="6:12" x14ac:dyDescent="0.35">
      <c r="F37" s="92" t="s">
        <v>1032</v>
      </c>
      <c r="G37" s="93" t="s">
        <v>601</v>
      </c>
      <c r="H37" s="93" t="s">
        <v>223</v>
      </c>
      <c r="I37" s="93" t="s">
        <v>651</v>
      </c>
      <c r="J37" s="94">
        <v>0</v>
      </c>
      <c r="K37" s="94"/>
      <c r="L37" s="95"/>
    </row>
    <row r="38" spans="6:12" x14ac:dyDescent="0.35">
      <c r="F38" s="92" t="s">
        <v>1033</v>
      </c>
      <c r="G38" s="93" t="s">
        <v>601</v>
      </c>
      <c r="H38" s="93" t="s">
        <v>223</v>
      </c>
      <c r="I38" s="93" t="s">
        <v>652</v>
      </c>
      <c r="J38" s="94">
        <v>0</v>
      </c>
      <c r="K38" s="94"/>
      <c r="L38" s="95"/>
    </row>
    <row r="39" spans="6:12" x14ac:dyDescent="0.35">
      <c r="F39" s="92" t="s">
        <v>1034</v>
      </c>
      <c r="G39" s="93" t="s">
        <v>601</v>
      </c>
      <c r="H39" s="93" t="s">
        <v>223</v>
      </c>
      <c r="I39" s="93" t="s">
        <v>616</v>
      </c>
      <c r="J39" s="94">
        <v>0</v>
      </c>
      <c r="K39" s="94"/>
      <c r="L39" s="95"/>
    </row>
    <row r="40" spans="6:12" x14ac:dyDescent="0.35">
      <c r="F40" s="92" t="s">
        <v>1035</v>
      </c>
      <c r="G40" s="93" t="s">
        <v>601</v>
      </c>
      <c r="H40" s="93" t="s">
        <v>223</v>
      </c>
      <c r="I40" s="93" t="s">
        <v>653</v>
      </c>
      <c r="J40" s="94">
        <v>0</v>
      </c>
      <c r="K40" s="94"/>
      <c r="L40" s="95"/>
    </row>
    <row r="41" spans="6:12" x14ac:dyDescent="0.35">
      <c r="F41" s="92" t="s">
        <v>1036</v>
      </c>
      <c r="G41" s="93" t="s">
        <v>601</v>
      </c>
      <c r="H41" s="93" t="s">
        <v>223</v>
      </c>
      <c r="I41" s="93" t="s">
        <v>654</v>
      </c>
      <c r="J41" s="94">
        <v>0</v>
      </c>
      <c r="K41" s="94"/>
      <c r="L41" s="95"/>
    </row>
    <row r="42" spans="6:12" x14ac:dyDescent="0.35">
      <c r="F42" s="92" t="s">
        <v>1037</v>
      </c>
      <c r="G42" s="93" t="s">
        <v>601</v>
      </c>
      <c r="H42" s="93" t="s">
        <v>223</v>
      </c>
      <c r="I42" s="93" t="s">
        <v>655</v>
      </c>
      <c r="J42" s="94">
        <v>0</v>
      </c>
      <c r="K42" s="94"/>
      <c r="L42" s="95"/>
    </row>
    <row r="43" spans="6:12" x14ac:dyDescent="0.35">
      <c r="F43" s="92" t="s">
        <v>1038</v>
      </c>
      <c r="G43" s="93" t="s">
        <v>601</v>
      </c>
      <c r="H43" s="93" t="s">
        <v>223</v>
      </c>
      <c r="I43" s="93" t="s">
        <v>656</v>
      </c>
      <c r="J43" s="94">
        <v>0</v>
      </c>
      <c r="K43" s="94"/>
      <c r="L43" s="95"/>
    </row>
    <row r="44" spans="6:12" x14ac:dyDescent="0.35">
      <c r="F44" s="92" t="s">
        <v>1039</v>
      </c>
      <c r="G44" s="93" t="s">
        <v>601</v>
      </c>
      <c r="H44" s="93" t="s">
        <v>223</v>
      </c>
      <c r="I44" s="93" t="s">
        <v>628</v>
      </c>
      <c r="J44" s="94">
        <v>0</v>
      </c>
      <c r="K44" s="94"/>
      <c r="L44" s="95"/>
    </row>
    <row r="45" spans="6:12" x14ac:dyDescent="0.35">
      <c r="F45" s="92" t="s">
        <v>1040</v>
      </c>
      <c r="G45" s="93" t="s">
        <v>601</v>
      </c>
      <c r="H45" s="93" t="s">
        <v>223</v>
      </c>
      <c r="I45" s="93" t="s">
        <v>658</v>
      </c>
      <c r="J45" s="94">
        <v>0</v>
      </c>
      <c r="K45" s="94"/>
      <c r="L45" s="95"/>
    </row>
    <row r="46" spans="6:12" x14ac:dyDescent="0.35">
      <c r="F46" s="92" t="s">
        <v>1041</v>
      </c>
      <c r="G46" s="93" t="s">
        <v>601</v>
      </c>
      <c r="H46" s="93" t="s">
        <v>223</v>
      </c>
      <c r="I46" s="93" t="s">
        <v>662</v>
      </c>
      <c r="J46" s="94">
        <v>0</v>
      </c>
      <c r="K46" s="94"/>
      <c r="L46" s="95"/>
    </row>
    <row r="47" spans="6:12" x14ac:dyDescent="0.35">
      <c r="F47" s="92" t="s">
        <v>1042</v>
      </c>
      <c r="G47" s="93" t="s">
        <v>601</v>
      </c>
      <c r="H47" s="93" t="s">
        <v>223</v>
      </c>
      <c r="I47" s="93" t="s">
        <v>616</v>
      </c>
      <c r="J47" s="94">
        <v>0</v>
      </c>
      <c r="K47" s="94"/>
      <c r="L47" s="95"/>
    </row>
    <row r="48" spans="6:12" x14ac:dyDescent="0.35">
      <c r="F48" s="92" t="s">
        <v>1043</v>
      </c>
      <c r="G48" s="93" t="s">
        <v>601</v>
      </c>
      <c r="H48" s="93" t="s">
        <v>223</v>
      </c>
      <c r="I48" s="93" t="s">
        <v>664</v>
      </c>
      <c r="J48" s="94">
        <v>0</v>
      </c>
      <c r="K48" s="94"/>
      <c r="L48" s="95"/>
    </row>
    <row r="49" spans="6:12" x14ac:dyDescent="0.35">
      <c r="F49" s="92" t="s">
        <v>1044</v>
      </c>
      <c r="G49" s="93" t="s">
        <v>601</v>
      </c>
      <c r="H49" s="93" t="s">
        <v>223</v>
      </c>
      <c r="I49" s="93" t="s">
        <v>666</v>
      </c>
      <c r="J49" s="94">
        <v>0</v>
      </c>
      <c r="K49" s="94"/>
      <c r="L49" s="95"/>
    </row>
    <row r="50" spans="6:12" x14ac:dyDescent="0.35">
      <c r="F50" s="92" t="s">
        <v>1045</v>
      </c>
      <c r="G50" s="93" t="s">
        <v>601</v>
      </c>
      <c r="H50" s="93" t="s">
        <v>223</v>
      </c>
      <c r="I50" s="93" t="s">
        <v>667</v>
      </c>
      <c r="J50" s="94">
        <v>0</v>
      </c>
      <c r="K50" s="94"/>
      <c r="L50" s="95"/>
    </row>
    <row r="51" spans="6:12" x14ac:dyDescent="0.35">
      <c r="F51" s="92" t="s">
        <v>1046</v>
      </c>
      <c r="G51" s="93" t="s">
        <v>601</v>
      </c>
      <c r="H51" s="93" t="s">
        <v>223</v>
      </c>
      <c r="I51" s="93" t="s">
        <v>654</v>
      </c>
      <c r="J51" s="94">
        <v>0</v>
      </c>
      <c r="K51" s="94"/>
      <c r="L51" s="95"/>
    </row>
    <row r="52" spans="6:12" x14ac:dyDescent="0.35">
      <c r="F52" s="92" t="s">
        <v>1047</v>
      </c>
      <c r="G52" s="93" t="s">
        <v>601</v>
      </c>
      <c r="H52" s="93" t="s">
        <v>223</v>
      </c>
      <c r="I52" s="93" t="s">
        <v>628</v>
      </c>
      <c r="J52" s="94">
        <v>0</v>
      </c>
      <c r="K52" s="94"/>
      <c r="L52" s="95"/>
    </row>
    <row r="53" spans="6:12" x14ac:dyDescent="0.35">
      <c r="F53" s="92" t="s">
        <v>1048</v>
      </c>
      <c r="G53" s="93" t="s">
        <v>601</v>
      </c>
      <c r="H53" s="93" t="s">
        <v>223</v>
      </c>
      <c r="I53" s="93" t="s">
        <v>658</v>
      </c>
      <c r="J53" s="94">
        <v>0</v>
      </c>
      <c r="K53" s="94"/>
      <c r="L53" s="95"/>
    </row>
    <row r="54" spans="6:12" x14ac:dyDescent="0.35">
      <c r="F54" s="92" t="s">
        <v>1049</v>
      </c>
      <c r="G54" s="93" t="s">
        <v>601</v>
      </c>
      <c r="H54" s="93" t="s">
        <v>223</v>
      </c>
      <c r="I54" s="93" t="s">
        <v>616</v>
      </c>
      <c r="J54" s="94">
        <v>0</v>
      </c>
      <c r="K54" s="94"/>
      <c r="L54" s="95"/>
    </row>
    <row r="55" spans="6:12" x14ac:dyDescent="0.35">
      <c r="F55" s="92" t="s">
        <v>1050</v>
      </c>
      <c r="G55" s="93" t="s">
        <v>601</v>
      </c>
      <c r="H55" s="93" t="s">
        <v>223</v>
      </c>
      <c r="I55" s="93" t="s">
        <v>670</v>
      </c>
      <c r="J55" s="94">
        <v>0</v>
      </c>
      <c r="K55" s="94"/>
      <c r="L55" s="95"/>
    </row>
    <row r="56" spans="6:12" x14ac:dyDescent="0.35">
      <c r="F56" s="92" t="s">
        <v>1051</v>
      </c>
      <c r="G56" s="93" t="s">
        <v>601</v>
      </c>
      <c r="H56" s="93" t="s">
        <v>223</v>
      </c>
      <c r="I56" s="93" t="s">
        <v>671</v>
      </c>
      <c r="J56" s="94">
        <v>0</v>
      </c>
      <c r="K56" s="94"/>
      <c r="L56" s="95"/>
    </row>
    <row r="57" spans="6:12" x14ac:dyDescent="0.35">
      <c r="F57" s="92" t="s">
        <v>1052</v>
      </c>
      <c r="G57" s="93" t="s">
        <v>601</v>
      </c>
      <c r="H57" s="93" t="s">
        <v>223</v>
      </c>
      <c r="I57" s="93" t="s">
        <v>655</v>
      </c>
      <c r="J57" s="94">
        <v>0</v>
      </c>
      <c r="K57" s="94"/>
      <c r="L57" s="95"/>
    </row>
    <row r="58" spans="6:12" x14ac:dyDescent="0.35">
      <c r="F58" s="92" t="s">
        <v>1053</v>
      </c>
      <c r="G58" s="93" t="s">
        <v>601</v>
      </c>
      <c r="H58" s="93" t="s">
        <v>223</v>
      </c>
      <c r="I58" s="93" t="s">
        <v>624</v>
      </c>
      <c r="J58" s="94">
        <v>0</v>
      </c>
      <c r="K58" s="94"/>
      <c r="L58" s="95"/>
    </row>
    <row r="59" spans="6:12" x14ac:dyDescent="0.35">
      <c r="F59" s="92" t="s">
        <v>1054</v>
      </c>
      <c r="G59" s="93" t="s">
        <v>601</v>
      </c>
      <c r="H59" s="93" t="s">
        <v>223</v>
      </c>
      <c r="I59" s="93" t="s">
        <v>621</v>
      </c>
      <c r="J59" s="94">
        <v>0</v>
      </c>
      <c r="K59" s="94"/>
      <c r="L59" s="95"/>
    </row>
    <row r="60" spans="6:12" x14ac:dyDescent="0.35">
      <c r="F60" s="92" t="s">
        <v>1055</v>
      </c>
      <c r="G60" s="93" t="s">
        <v>601</v>
      </c>
      <c r="H60" s="93" t="s">
        <v>223</v>
      </c>
      <c r="I60" s="93" t="s">
        <v>672</v>
      </c>
      <c r="J60" s="94">
        <v>0</v>
      </c>
      <c r="K60" s="94"/>
      <c r="L60" s="95"/>
    </row>
    <row r="61" spans="6:12" x14ac:dyDescent="0.35">
      <c r="F61" s="92" t="s">
        <v>1056</v>
      </c>
      <c r="G61" s="93" t="s">
        <v>601</v>
      </c>
      <c r="H61" s="93" t="s">
        <v>223</v>
      </c>
      <c r="I61" s="93" t="s">
        <v>630</v>
      </c>
      <c r="J61" s="94">
        <v>0</v>
      </c>
      <c r="K61" s="94"/>
      <c r="L61" s="95"/>
    </row>
    <row r="62" spans="6:12" x14ac:dyDescent="0.35">
      <c r="F62" s="92" t="s">
        <v>1057</v>
      </c>
      <c r="G62" s="93" t="s">
        <v>601</v>
      </c>
      <c r="H62" s="93" t="s">
        <v>223</v>
      </c>
      <c r="I62" s="93" t="s">
        <v>674</v>
      </c>
      <c r="J62" s="94">
        <v>0</v>
      </c>
      <c r="K62" s="94"/>
      <c r="L62" s="95"/>
    </row>
    <row r="63" spans="6:12" x14ac:dyDescent="0.35">
      <c r="F63" s="92" t="s">
        <v>1058</v>
      </c>
      <c r="G63" s="93" t="s">
        <v>601</v>
      </c>
      <c r="H63" s="93" t="s">
        <v>223</v>
      </c>
      <c r="I63" s="93" t="s">
        <v>662</v>
      </c>
      <c r="J63" s="94">
        <v>0</v>
      </c>
      <c r="K63" s="94"/>
      <c r="L63" s="95"/>
    </row>
    <row r="64" spans="6:12" x14ac:dyDescent="0.35">
      <c r="F64" s="92" t="s">
        <v>1059</v>
      </c>
      <c r="G64" s="93" t="s">
        <v>601</v>
      </c>
      <c r="H64" s="93" t="s">
        <v>223</v>
      </c>
      <c r="I64" s="93" t="s">
        <v>675</v>
      </c>
      <c r="J64" s="94">
        <v>0</v>
      </c>
      <c r="K64" s="94"/>
      <c r="L64" s="95"/>
    </row>
    <row r="65" spans="6:12" x14ac:dyDescent="0.35">
      <c r="F65" s="92" t="s">
        <v>1060</v>
      </c>
      <c r="G65" s="93" t="s">
        <v>601</v>
      </c>
      <c r="H65" s="93" t="s">
        <v>223</v>
      </c>
      <c r="I65" s="93" t="s">
        <v>662</v>
      </c>
      <c r="J65" s="94">
        <v>0</v>
      </c>
      <c r="K65" s="94"/>
      <c r="L65" s="95"/>
    </row>
    <row r="66" spans="6:12" x14ac:dyDescent="0.35">
      <c r="F66" s="92" t="s">
        <v>1061</v>
      </c>
      <c r="G66" s="93" t="s">
        <v>601</v>
      </c>
      <c r="H66" s="93" t="s">
        <v>223</v>
      </c>
      <c r="I66" s="93" t="s">
        <v>658</v>
      </c>
      <c r="J66" s="94">
        <v>0</v>
      </c>
      <c r="K66" s="94"/>
      <c r="L66" s="95"/>
    </row>
    <row r="67" spans="6:12" x14ac:dyDescent="0.35">
      <c r="F67" s="92" t="s">
        <v>1062</v>
      </c>
      <c r="G67" s="93" t="s">
        <v>601</v>
      </c>
      <c r="H67" s="93" t="s">
        <v>223</v>
      </c>
      <c r="I67" s="93" t="s">
        <v>616</v>
      </c>
      <c r="J67" s="94">
        <v>0</v>
      </c>
      <c r="K67" s="94"/>
      <c r="L67" s="95"/>
    </row>
    <row r="68" spans="6:12" x14ac:dyDescent="0.35">
      <c r="F68" s="92" t="s">
        <v>1063</v>
      </c>
      <c r="G68" s="93" t="s">
        <v>601</v>
      </c>
      <c r="H68" s="93" t="s">
        <v>223</v>
      </c>
      <c r="I68" s="93" t="s">
        <v>608</v>
      </c>
      <c r="J68" s="94">
        <v>0</v>
      </c>
      <c r="K68" s="94"/>
      <c r="L68" s="95"/>
    </row>
    <row r="69" spans="6:12" x14ac:dyDescent="0.35">
      <c r="F69" s="92" t="s">
        <v>1064</v>
      </c>
      <c r="G69" s="93" t="s">
        <v>601</v>
      </c>
      <c r="H69" s="93" t="s">
        <v>223</v>
      </c>
      <c r="I69" s="93" t="s">
        <v>664</v>
      </c>
      <c r="J69" s="94">
        <v>0</v>
      </c>
      <c r="K69" s="94"/>
      <c r="L69" s="95"/>
    </row>
    <row r="70" spans="6:12" x14ac:dyDescent="0.35">
      <c r="F70" s="92" t="s">
        <v>1065</v>
      </c>
      <c r="G70" s="93" t="s">
        <v>601</v>
      </c>
      <c r="H70" s="93" t="s">
        <v>223</v>
      </c>
      <c r="I70" s="93" t="s">
        <v>678</v>
      </c>
      <c r="J70" s="94">
        <v>0</v>
      </c>
      <c r="K70" s="94"/>
      <c r="L70" s="95"/>
    </row>
    <row r="71" spans="6:12" x14ac:dyDescent="0.35">
      <c r="F71" s="92" t="s">
        <v>1066</v>
      </c>
      <c r="G71" s="93" t="s">
        <v>601</v>
      </c>
      <c r="H71" s="93" t="s">
        <v>223</v>
      </c>
      <c r="I71" s="93" t="s">
        <v>679</v>
      </c>
      <c r="J71" s="94">
        <v>0</v>
      </c>
      <c r="K71" s="94"/>
      <c r="L71" s="95"/>
    </row>
    <row r="72" spans="6:12" x14ac:dyDescent="0.35">
      <c r="F72" s="92" t="s">
        <v>1067</v>
      </c>
      <c r="G72" s="93" t="s">
        <v>601</v>
      </c>
      <c r="H72" s="93" t="s">
        <v>223</v>
      </c>
      <c r="I72" s="93" t="s">
        <v>658</v>
      </c>
      <c r="J72" s="94">
        <v>0</v>
      </c>
      <c r="K72" s="94"/>
      <c r="L72" s="95"/>
    </row>
    <row r="73" spans="6:12" x14ac:dyDescent="0.35">
      <c r="F73" s="92" t="s">
        <v>1068</v>
      </c>
      <c r="G73" s="93" t="s">
        <v>601</v>
      </c>
      <c r="H73" s="93" t="s">
        <v>223</v>
      </c>
      <c r="I73" s="93" t="s">
        <v>616</v>
      </c>
      <c r="J73" s="94">
        <v>0</v>
      </c>
      <c r="K73" s="94"/>
      <c r="L73" s="95"/>
    </row>
    <row r="74" spans="6:12" x14ac:dyDescent="0.35">
      <c r="F74" s="92" t="s">
        <v>1069</v>
      </c>
      <c r="G74" s="93" t="s">
        <v>601</v>
      </c>
      <c r="H74" s="93" t="s">
        <v>223</v>
      </c>
      <c r="I74" s="93" t="s">
        <v>608</v>
      </c>
      <c r="J74" s="94">
        <v>0</v>
      </c>
      <c r="K74" s="94"/>
      <c r="L74" s="95"/>
    </row>
    <row r="75" spans="6:12" x14ac:dyDescent="0.35">
      <c r="F75" s="92" t="s">
        <v>1070</v>
      </c>
      <c r="G75" s="93" t="s">
        <v>601</v>
      </c>
      <c r="H75" s="93" t="s">
        <v>223</v>
      </c>
      <c r="I75" s="93" t="s">
        <v>655</v>
      </c>
      <c r="J75" s="94">
        <v>0</v>
      </c>
      <c r="K75" s="94"/>
      <c r="L75" s="95"/>
    </row>
    <row r="76" spans="6:12" x14ac:dyDescent="0.35">
      <c r="F76" s="92" t="s">
        <v>1071</v>
      </c>
      <c r="G76" s="93" t="s">
        <v>601</v>
      </c>
      <c r="H76" s="93" t="s">
        <v>223</v>
      </c>
      <c r="I76" s="93" t="s">
        <v>654</v>
      </c>
      <c r="J76" s="94">
        <v>0</v>
      </c>
      <c r="K76" s="94"/>
      <c r="L76" s="95"/>
    </row>
    <row r="77" spans="6:12" x14ac:dyDescent="0.35">
      <c r="F77" s="92" t="s">
        <v>1072</v>
      </c>
      <c r="G77" s="93" t="s">
        <v>601</v>
      </c>
      <c r="H77" s="93" t="s">
        <v>223</v>
      </c>
      <c r="I77" s="93" t="s">
        <v>656</v>
      </c>
      <c r="J77" s="94">
        <v>0</v>
      </c>
      <c r="K77" s="94"/>
      <c r="L77" s="95"/>
    </row>
    <row r="78" spans="6:12" x14ac:dyDescent="0.35">
      <c r="F78" s="92" t="s">
        <v>1073</v>
      </c>
      <c r="G78" s="93" t="s">
        <v>601</v>
      </c>
      <c r="H78" s="93" t="s">
        <v>223</v>
      </c>
      <c r="I78" s="93" t="s">
        <v>653</v>
      </c>
      <c r="J78" s="94">
        <v>0</v>
      </c>
      <c r="K78" s="94"/>
      <c r="L78" s="95"/>
    </row>
    <row r="79" spans="6:12" x14ac:dyDescent="0.35">
      <c r="F79" s="92" t="s">
        <v>1074</v>
      </c>
      <c r="G79" s="93" t="s">
        <v>601</v>
      </c>
      <c r="H79" s="93" t="s">
        <v>223</v>
      </c>
      <c r="I79" s="93" t="s">
        <v>671</v>
      </c>
      <c r="J79" s="94">
        <v>0</v>
      </c>
      <c r="K79" s="94"/>
      <c r="L79" s="95"/>
    </row>
    <row r="80" spans="6:12" x14ac:dyDescent="0.35">
      <c r="F80" s="92" t="s">
        <v>1075</v>
      </c>
      <c r="G80" s="93" t="s">
        <v>601</v>
      </c>
      <c r="H80" s="93" t="s">
        <v>223</v>
      </c>
      <c r="I80" s="93" t="s">
        <v>682</v>
      </c>
      <c r="J80" s="94">
        <v>0</v>
      </c>
      <c r="K80" s="94"/>
      <c r="L80" s="95"/>
    </row>
    <row r="81" spans="6:12" x14ac:dyDescent="0.35">
      <c r="F81" s="92" t="s">
        <v>1076</v>
      </c>
      <c r="G81" s="93" t="s">
        <v>601</v>
      </c>
      <c r="H81" s="93" t="s">
        <v>223</v>
      </c>
      <c r="I81" s="93" t="s">
        <v>678</v>
      </c>
      <c r="J81" s="94">
        <v>0</v>
      </c>
      <c r="K81" s="94"/>
      <c r="L81" s="95"/>
    </row>
    <row r="82" spans="6:12" x14ac:dyDescent="0.35">
      <c r="F82" s="92" t="s">
        <v>1077</v>
      </c>
      <c r="G82" s="93" t="s">
        <v>601</v>
      </c>
      <c r="H82" s="93" t="s">
        <v>223</v>
      </c>
      <c r="I82" s="93" t="s">
        <v>658</v>
      </c>
      <c r="J82" s="94">
        <v>0</v>
      </c>
      <c r="K82" s="94"/>
      <c r="L82" s="95"/>
    </row>
    <row r="83" spans="6:12" x14ac:dyDescent="0.35">
      <c r="F83" s="92" t="s">
        <v>1078</v>
      </c>
      <c r="G83" s="93" t="s">
        <v>601</v>
      </c>
      <c r="H83" s="93" t="s">
        <v>223</v>
      </c>
      <c r="I83" s="93" t="s">
        <v>685</v>
      </c>
      <c r="J83" s="94">
        <v>0</v>
      </c>
      <c r="K83" s="94"/>
      <c r="L83" s="95"/>
    </row>
    <row r="84" spans="6:12" x14ac:dyDescent="0.35">
      <c r="F84" s="92" t="s">
        <v>1079</v>
      </c>
      <c r="G84" s="93" t="s">
        <v>601</v>
      </c>
      <c r="H84" s="93" t="s">
        <v>223</v>
      </c>
      <c r="I84" s="93" t="s">
        <v>687</v>
      </c>
      <c r="J84" s="94">
        <v>0</v>
      </c>
      <c r="K84" s="94"/>
      <c r="L84" s="95"/>
    </row>
    <row r="85" spans="6:12" x14ac:dyDescent="0.35">
      <c r="F85" s="92" t="s">
        <v>1080</v>
      </c>
      <c r="G85" s="93" t="s">
        <v>601</v>
      </c>
      <c r="H85" s="93" t="s">
        <v>223</v>
      </c>
      <c r="I85" s="93" t="s">
        <v>616</v>
      </c>
      <c r="J85" s="94">
        <v>0</v>
      </c>
      <c r="K85" s="94"/>
      <c r="L85" s="95"/>
    </row>
    <row r="86" spans="6:12" x14ac:dyDescent="0.35">
      <c r="F86" s="92" t="s">
        <v>1081</v>
      </c>
      <c r="G86" s="93" t="s">
        <v>601</v>
      </c>
      <c r="H86" s="93" t="s">
        <v>223</v>
      </c>
      <c r="I86" s="93" t="s">
        <v>608</v>
      </c>
      <c r="J86" s="94">
        <v>0</v>
      </c>
      <c r="K86" s="94"/>
      <c r="L86" s="95"/>
    </row>
    <row r="87" spans="6:12" x14ac:dyDescent="0.35">
      <c r="F87" s="92" t="s">
        <v>1082</v>
      </c>
      <c r="G87" s="93" t="s">
        <v>601</v>
      </c>
      <c r="H87" s="93" t="s">
        <v>223</v>
      </c>
      <c r="I87" s="93" t="s">
        <v>654</v>
      </c>
      <c r="J87" s="94">
        <v>0</v>
      </c>
      <c r="K87" s="94"/>
      <c r="L87" s="95"/>
    </row>
    <row r="88" spans="6:12" x14ac:dyDescent="0.35">
      <c r="F88" s="92" t="s">
        <v>1083</v>
      </c>
      <c r="G88" s="93" t="s">
        <v>601</v>
      </c>
      <c r="H88" s="93" t="s">
        <v>223</v>
      </c>
      <c r="I88" s="93" t="s">
        <v>678</v>
      </c>
      <c r="J88" s="94">
        <v>0</v>
      </c>
      <c r="K88" s="94"/>
      <c r="L88" s="95"/>
    </row>
    <row r="89" spans="6:12" x14ac:dyDescent="0.35">
      <c r="F89" s="92" t="s">
        <v>1084</v>
      </c>
      <c r="G89" s="93" t="s">
        <v>601</v>
      </c>
      <c r="H89" s="93" t="s">
        <v>223</v>
      </c>
      <c r="I89" s="93" t="s">
        <v>653</v>
      </c>
      <c r="J89" s="94">
        <v>0</v>
      </c>
      <c r="K89" s="94"/>
      <c r="L89" s="95"/>
    </row>
    <row r="90" spans="6:12" x14ac:dyDescent="0.35">
      <c r="F90" s="92" t="s">
        <v>1085</v>
      </c>
      <c r="G90" s="93" t="s">
        <v>601</v>
      </c>
      <c r="H90" s="93" t="s">
        <v>223</v>
      </c>
      <c r="I90" s="93" t="s">
        <v>689</v>
      </c>
      <c r="J90" s="94">
        <v>0</v>
      </c>
      <c r="K90" s="94"/>
      <c r="L90" s="95"/>
    </row>
    <row r="91" spans="6:12" x14ac:dyDescent="0.35">
      <c r="F91" s="92" t="s">
        <v>1086</v>
      </c>
      <c r="G91" s="93" t="s">
        <v>601</v>
      </c>
      <c r="H91" s="93" t="s">
        <v>223</v>
      </c>
      <c r="I91" s="93" t="s">
        <v>690</v>
      </c>
      <c r="J91" s="94">
        <v>0</v>
      </c>
      <c r="K91" s="94"/>
      <c r="L91" s="95"/>
    </row>
    <row r="92" spans="6:12" x14ac:dyDescent="0.35">
      <c r="F92" s="92" t="s">
        <v>1087</v>
      </c>
      <c r="G92" s="93" t="s">
        <v>601</v>
      </c>
      <c r="H92" s="93" t="s">
        <v>223</v>
      </c>
      <c r="I92" s="93" t="s">
        <v>616</v>
      </c>
      <c r="J92" s="94">
        <v>0</v>
      </c>
      <c r="K92" s="94"/>
      <c r="L92" s="95"/>
    </row>
    <row r="93" spans="6:12" x14ac:dyDescent="0.35">
      <c r="F93" s="92" t="s">
        <v>1088</v>
      </c>
      <c r="G93" s="93" t="s">
        <v>601</v>
      </c>
      <c r="H93" s="93" t="s">
        <v>223</v>
      </c>
      <c r="I93" s="93" t="s">
        <v>662</v>
      </c>
      <c r="J93" s="94">
        <v>0</v>
      </c>
      <c r="K93" s="94"/>
      <c r="L93" s="95"/>
    </row>
    <row r="94" spans="6:12" x14ac:dyDescent="0.35">
      <c r="F94" s="92" t="s">
        <v>1089</v>
      </c>
      <c r="G94" s="93" t="s">
        <v>601</v>
      </c>
      <c r="H94" s="93" t="s">
        <v>223</v>
      </c>
      <c r="I94" s="93" t="s">
        <v>674</v>
      </c>
      <c r="J94" s="94">
        <v>0</v>
      </c>
      <c r="K94" s="94"/>
      <c r="L94" s="95"/>
    </row>
    <row r="95" spans="6:12" x14ac:dyDescent="0.35">
      <c r="F95" s="92" t="s">
        <v>1090</v>
      </c>
      <c r="G95" s="93" t="s">
        <v>601</v>
      </c>
      <c r="H95" s="93" t="s">
        <v>223</v>
      </c>
      <c r="I95" s="93" t="s">
        <v>658</v>
      </c>
      <c r="J95" s="94">
        <v>0</v>
      </c>
      <c r="K95" s="94"/>
      <c r="L95" s="95"/>
    </row>
    <row r="96" spans="6:12" x14ac:dyDescent="0.35">
      <c r="F96" s="92" t="s">
        <v>1091</v>
      </c>
      <c r="G96" s="93" t="s">
        <v>601</v>
      </c>
      <c r="H96" s="93" t="s">
        <v>223</v>
      </c>
      <c r="I96" s="93" t="s">
        <v>694</v>
      </c>
      <c r="J96" s="94">
        <v>0</v>
      </c>
      <c r="K96" s="94"/>
      <c r="L96" s="95"/>
    </row>
    <row r="97" spans="6:12" x14ac:dyDescent="0.35">
      <c r="F97" s="92" t="s">
        <v>1092</v>
      </c>
      <c r="G97" s="93" t="s">
        <v>601</v>
      </c>
      <c r="H97" s="93" t="s">
        <v>223</v>
      </c>
      <c r="I97" s="93" t="s">
        <v>653</v>
      </c>
      <c r="J97" s="94">
        <v>0</v>
      </c>
      <c r="K97" s="94"/>
      <c r="L97" s="95"/>
    </row>
    <row r="98" spans="6:12" x14ac:dyDescent="0.35">
      <c r="F98" s="92" t="s">
        <v>1093</v>
      </c>
      <c r="G98" s="93" t="s">
        <v>601</v>
      </c>
      <c r="H98" s="93" t="s">
        <v>223</v>
      </c>
      <c r="I98" s="93" t="s">
        <v>678</v>
      </c>
      <c r="J98" s="94">
        <v>0</v>
      </c>
      <c r="K98" s="94"/>
      <c r="L98" s="95"/>
    </row>
    <row r="99" spans="6:12" x14ac:dyDescent="0.35">
      <c r="F99" s="92" t="s">
        <v>1094</v>
      </c>
      <c r="G99" s="93" t="s">
        <v>601</v>
      </c>
      <c r="H99" s="93" t="s">
        <v>223</v>
      </c>
      <c r="I99" s="93" t="s">
        <v>654</v>
      </c>
      <c r="J99" s="94">
        <v>0</v>
      </c>
      <c r="K99" s="94"/>
      <c r="L99" s="95"/>
    </row>
    <row r="100" spans="6:12" x14ac:dyDescent="0.35">
      <c r="F100" s="92" t="s">
        <v>1095</v>
      </c>
      <c r="G100" s="93" t="s">
        <v>601</v>
      </c>
      <c r="H100" s="93" t="s">
        <v>223</v>
      </c>
      <c r="I100" s="93" t="s">
        <v>690</v>
      </c>
      <c r="J100" s="94">
        <v>0</v>
      </c>
      <c r="K100" s="94"/>
      <c r="L100" s="95"/>
    </row>
    <row r="101" spans="6:12" x14ac:dyDescent="0.35">
      <c r="F101" s="92" t="s">
        <v>1096</v>
      </c>
      <c r="G101" s="93" t="s">
        <v>601</v>
      </c>
      <c r="H101" s="93" t="s">
        <v>223</v>
      </c>
      <c r="I101" s="93" t="s">
        <v>662</v>
      </c>
      <c r="J101" s="94">
        <v>0</v>
      </c>
      <c r="K101" s="94"/>
      <c r="L101" s="95"/>
    </row>
    <row r="102" spans="6:12" x14ac:dyDescent="0.35">
      <c r="F102" s="92" t="s">
        <v>1097</v>
      </c>
      <c r="G102" s="93" t="s">
        <v>601</v>
      </c>
      <c r="H102" s="93" t="s">
        <v>223</v>
      </c>
      <c r="I102" s="93" t="s">
        <v>608</v>
      </c>
      <c r="J102" s="94">
        <v>0</v>
      </c>
      <c r="K102" s="94"/>
      <c r="L102" s="95"/>
    </row>
    <row r="103" spans="6:12" x14ac:dyDescent="0.35">
      <c r="F103" s="92" t="s">
        <v>1098</v>
      </c>
      <c r="G103" s="93" t="s">
        <v>601</v>
      </c>
      <c r="H103" s="93" t="s">
        <v>223</v>
      </c>
      <c r="I103" s="93" t="s">
        <v>653</v>
      </c>
      <c r="J103" s="94">
        <v>0</v>
      </c>
      <c r="K103" s="94"/>
      <c r="L103" s="95"/>
    </row>
    <row r="104" spans="6:12" x14ac:dyDescent="0.35">
      <c r="F104" s="92" t="s">
        <v>1099</v>
      </c>
      <c r="G104" s="93" t="s">
        <v>601</v>
      </c>
      <c r="H104" s="93" t="s">
        <v>223</v>
      </c>
      <c r="I104" s="93" t="s">
        <v>687</v>
      </c>
      <c r="J104" s="94">
        <v>0</v>
      </c>
      <c r="K104" s="94"/>
      <c r="L104" s="95"/>
    </row>
    <row r="105" spans="6:12" x14ac:dyDescent="0.35">
      <c r="F105" s="92" t="s">
        <v>1100</v>
      </c>
      <c r="G105" s="93" t="s">
        <v>601</v>
      </c>
      <c r="H105" s="93" t="s">
        <v>223</v>
      </c>
      <c r="I105" s="93" t="s">
        <v>616</v>
      </c>
      <c r="J105" s="94">
        <v>0</v>
      </c>
      <c r="K105" s="94"/>
      <c r="L105" s="95"/>
    </row>
    <row r="106" spans="6:12" x14ac:dyDescent="0.35">
      <c r="F106" s="92" t="s">
        <v>1101</v>
      </c>
      <c r="G106" s="93" t="s">
        <v>601</v>
      </c>
      <c r="H106" s="93" t="s">
        <v>223</v>
      </c>
      <c r="I106" s="93" t="s">
        <v>658</v>
      </c>
      <c r="J106" s="94">
        <v>0</v>
      </c>
      <c r="K106" s="94"/>
      <c r="L106" s="95"/>
    </row>
    <row r="107" spans="6:12" x14ac:dyDescent="0.35">
      <c r="F107" s="92" t="s">
        <v>1102</v>
      </c>
      <c r="G107" s="93" t="s">
        <v>601</v>
      </c>
      <c r="H107" s="93" t="s">
        <v>223</v>
      </c>
      <c r="I107" s="93" t="s">
        <v>654</v>
      </c>
      <c r="J107" s="94">
        <v>0</v>
      </c>
      <c r="K107" s="94"/>
      <c r="L107" s="95"/>
    </row>
    <row r="108" spans="6:12" x14ac:dyDescent="0.35">
      <c r="F108" s="92" t="s">
        <v>1103</v>
      </c>
      <c r="G108" s="93" t="s">
        <v>601</v>
      </c>
      <c r="H108" s="93" t="s">
        <v>223</v>
      </c>
      <c r="I108" s="93" t="s">
        <v>685</v>
      </c>
      <c r="J108" s="94">
        <v>0</v>
      </c>
      <c r="K108" s="94"/>
      <c r="L108" s="95"/>
    </row>
    <row r="109" spans="6:12" x14ac:dyDescent="0.35">
      <c r="F109" s="92" t="s">
        <v>1104</v>
      </c>
      <c r="G109" s="93" t="s">
        <v>601</v>
      </c>
      <c r="H109" s="93" t="s">
        <v>223</v>
      </c>
      <c r="I109" s="93" t="s">
        <v>690</v>
      </c>
      <c r="J109" s="94">
        <v>0</v>
      </c>
      <c r="K109" s="94"/>
      <c r="L109" s="95"/>
    </row>
    <row r="110" spans="6:12" x14ac:dyDescent="0.35">
      <c r="F110" s="92" t="s">
        <v>1105</v>
      </c>
      <c r="G110" s="93" t="s">
        <v>601</v>
      </c>
      <c r="H110" s="93" t="s">
        <v>223</v>
      </c>
      <c r="I110" s="93" t="s">
        <v>678</v>
      </c>
      <c r="J110" s="94">
        <v>0</v>
      </c>
      <c r="K110" s="94"/>
      <c r="L110" s="95"/>
    </row>
    <row r="111" spans="6:12" x14ac:dyDescent="0.35">
      <c r="F111" s="92" t="s">
        <v>1106</v>
      </c>
      <c r="G111" s="93" t="s">
        <v>601</v>
      </c>
      <c r="H111" s="93" t="s">
        <v>223</v>
      </c>
      <c r="I111" s="93" t="s">
        <v>616</v>
      </c>
      <c r="J111" s="94">
        <v>0</v>
      </c>
      <c r="K111" s="94"/>
      <c r="L111" s="95"/>
    </row>
    <row r="112" spans="6:12" x14ac:dyDescent="0.35">
      <c r="F112" s="92" t="s">
        <v>1107</v>
      </c>
      <c r="G112" s="93" t="s">
        <v>601</v>
      </c>
      <c r="H112" s="93" t="s">
        <v>223</v>
      </c>
      <c r="I112" s="93" t="s">
        <v>662</v>
      </c>
      <c r="J112" s="94">
        <v>0</v>
      </c>
      <c r="K112" s="94"/>
      <c r="L112" s="95"/>
    </row>
    <row r="113" spans="6:12" x14ac:dyDescent="0.35">
      <c r="F113" s="92" t="s">
        <v>1108</v>
      </c>
      <c r="G113" s="93" t="s">
        <v>601</v>
      </c>
      <c r="H113" s="93" t="s">
        <v>223</v>
      </c>
      <c r="I113" s="93" t="s">
        <v>653</v>
      </c>
      <c r="J113" s="94">
        <v>0</v>
      </c>
      <c r="K113" s="94"/>
      <c r="L113" s="95"/>
    </row>
    <row r="114" spans="6:12" x14ac:dyDescent="0.35">
      <c r="F114" s="92" t="s">
        <v>1109</v>
      </c>
      <c r="G114" s="93" t="s">
        <v>601</v>
      </c>
      <c r="H114" s="93" t="s">
        <v>223</v>
      </c>
      <c r="I114" s="93" t="s">
        <v>654</v>
      </c>
      <c r="J114" s="94">
        <v>0</v>
      </c>
      <c r="K114" s="94"/>
      <c r="L114" s="95"/>
    </row>
    <row r="115" spans="6:12" x14ac:dyDescent="0.35">
      <c r="F115" s="92" t="s">
        <v>1110</v>
      </c>
      <c r="G115" s="93" t="s">
        <v>601</v>
      </c>
      <c r="H115" s="93" t="s">
        <v>223</v>
      </c>
      <c r="I115" s="93" t="s">
        <v>658</v>
      </c>
      <c r="J115" s="94">
        <v>0</v>
      </c>
      <c r="K115" s="94"/>
      <c r="L115" s="95"/>
    </row>
    <row r="116" spans="6:12" x14ac:dyDescent="0.35">
      <c r="F116" s="92" t="s">
        <v>1111</v>
      </c>
      <c r="G116" s="93" t="s">
        <v>601</v>
      </c>
      <c r="H116" s="93" t="s">
        <v>223</v>
      </c>
      <c r="I116" s="93" t="s">
        <v>685</v>
      </c>
      <c r="J116" s="94">
        <v>0</v>
      </c>
      <c r="K116" s="94"/>
      <c r="L116" s="95"/>
    </row>
    <row r="117" spans="6:12" x14ac:dyDescent="0.35">
      <c r="F117" s="92" t="s">
        <v>1112</v>
      </c>
      <c r="G117" s="93" t="s">
        <v>601</v>
      </c>
      <c r="H117" s="93" t="s">
        <v>223</v>
      </c>
      <c r="I117" s="93" t="s">
        <v>608</v>
      </c>
      <c r="J117" s="94">
        <v>0</v>
      </c>
      <c r="K117" s="94"/>
      <c r="L117" s="95"/>
    </row>
    <row r="118" spans="6:12" x14ac:dyDescent="0.35">
      <c r="F118" s="92" t="s">
        <v>1113</v>
      </c>
      <c r="G118" s="93" t="s">
        <v>601</v>
      </c>
      <c r="H118" s="93" t="s">
        <v>223</v>
      </c>
      <c r="I118" s="93" t="s">
        <v>658</v>
      </c>
      <c r="J118" s="94">
        <v>0</v>
      </c>
      <c r="K118" s="94"/>
      <c r="L118" s="95"/>
    </row>
    <row r="119" spans="6:12" x14ac:dyDescent="0.35">
      <c r="F119" s="92" t="s">
        <v>1114</v>
      </c>
      <c r="G119" s="93" t="s">
        <v>601</v>
      </c>
      <c r="H119" s="93" t="s">
        <v>223</v>
      </c>
      <c r="I119" s="93" t="s">
        <v>694</v>
      </c>
      <c r="J119" s="94">
        <v>0</v>
      </c>
      <c r="K119" s="94"/>
      <c r="L119" s="95"/>
    </row>
    <row r="120" spans="6:12" x14ac:dyDescent="0.35">
      <c r="F120" s="92" t="s">
        <v>1115</v>
      </c>
      <c r="G120" s="93" t="s">
        <v>601</v>
      </c>
      <c r="H120" s="93" t="s">
        <v>223</v>
      </c>
      <c r="I120" s="93" t="s">
        <v>616</v>
      </c>
      <c r="J120" s="94">
        <v>0</v>
      </c>
      <c r="K120" s="94"/>
      <c r="L120" s="95"/>
    </row>
    <row r="121" spans="6:12" x14ac:dyDescent="0.35">
      <c r="F121" s="92" t="s">
        <v>1116</v>
      </c>
      <c r="G121" s="93" t="s">
        <v>601</v>
      </c>
      <c r="H121" s="93" t="s">
        <v>223</v>
      </c>
      <c r="I121" s="93" t="s">
        <v>608</v>
      </c>
      <c r="J121" s="94">
        <v>0</v>
      </c>
      <c r="K121" s="94"/>
      <c r="L121" s="95"/>
    </row>
    <row r="122" spans="6:12" x14ac:dyDescent="0.35">
      <c r="F122" s="92" t="s">
        <v>1117</v>
      </c>
      <c r="G122" s="93" t="s">
        <v>601</v>
      </c>
      <c r="H122" s="93" t="s">
        <v>223</v>
      </c>
      <c r="I122" s="93" t="s">
        <v>701</v>
      </c>
      <c r="J122" s="94">
        <v>0</v>
      </c>
      <c r="K122" s="94"/>
      <c r="L122" s="95"/>
    </row>
    <row r="123" spans="6:12" x14ac:dyDescent="0.35">
      <c r="F123" s="92" t="s">
        <v>1118</v>
      </c>
      <c r="G123" s="93" t="s">
        <v>601</v>
      </c>
      <c r="H123" s="93" t="s">
        <v>223</v>
      </c>
      <c r="I123" s="93" t="s">
        <v>664</v>
      </c>
      <c r="J123" s="94">
        <v>0</v>
      </c>
      <c r="K123" s="94"/>
      <c r="L123" s="95"/>
    </row>
    <row r="124" spans="6:12" x14ac:dyDescent="0.35">
      <c r="F124" s="92" t="s">
        <v>1119</v>
      </c>
      <c r="G124" s="93" t="s">
        <v>601</v>
      </c>
      <c r="H124" s="93" t="s">
        <v>223</v>
      </c>
      <c r="I124" s="93" t="s">
        <v>653</v>
      </c>
      <c r="J124" s="94">
        <v>0</v>
      </c>
      <c r="K124" s="94"/>
      <c r="L124" s="95"/>
    </row>
    <row r="125" spans="6:12" x14ac:dyDescent="0.35">
      <c r="F125" s="92" t="s">
        <v>1120</v>
      </c>
      <c r="G125" s="93" t="s">
        <v>601</v>
      </c>
      <c r="H125" s="93" t="s">
        <v>223</v>
      </c>
      <c r="I125" s="93" t="s">
        <v>678</v>
      </c>
      <c r="J125" s="94">
        <v>0</v>
      </c>
      <c r="K125" s="94"/>
      <c r="L125" s="95"/>
    </row>
    <row r="126" spans="6:12" x14ac:dyDescent="0.35">
      <c r="F126" s="92" t="s">
        <v>1121</v>
      </c>
      <c r="G126" s="93" t="s">
        <v>601</v>
      </c>
      <c r="H126" s="93" t="s">
        <v>223</v>
      </c>
      <c r="I126" s="93" t="s">
        <v>656</v>
      </c>
      <c r="J126" s="94">
        <v>0</v>
      </c>
      <c r="K126" s="94"/>
      <c r="L126" s="95"/>
    </row>
    <row r="127" spans="6:12" x14ac:dyDescent="0.35">
      <c r="F127" s="92" t="s">
        <v>1122</v>
      </c>
      <c r="G127" s="93" t="s">
        <v>601</v>
      </c>
      <c r="H127" s="93" t="s">
        <v>223</v>
      </c>
      <c r="I127" s="93" t="s">
        <v>654</v>
      </c>
      <c r="J127" s="94">
        <v>0</v>
      </c>
      <c r="K127" s="94"/>
      <c r="L127" s="95"/>
    </row>
    <row r="128" spans="6:12" x14ac:dyDescent="0.35">
      <c r="F128" s="92" t="s">
        <v>1123</v>
      </c>
      <c r="G128" s="93" t="s">
        <v>601</v>
      </c>
      <c r="H128" s="93" t="s">
        <v>223</v>
      </c>
      <c r="I128" s="93" t="s">
        <v>654</v>
      </c>
      <c r="J128" s="94">
        <v>0</v>
      </c>
      <c r="K128" s="94"/>
      <c r="L128" s="95"/>
    </row>
    <row r="129" spans="6:12" x14ac:dyDescent="0.35">
      <c r="F129" s="92" t="s">
        <v>1124</v>
      </c>
      <c r="G129" s="93" t="s">
        <v>601</v>
      </c>
      <c r="H129" s="93" t="s">
        <v>223</v>
      </c>
      <c r="I129" s="93" t="s">
        <v>628</v>
      </c>
      <c r="J129" s="94">
        <v>0</v>
      </c>
      <c r="K129" s="94"/>
      <c r="L129" s="95"/>
    </row>
    <row r="130" spans="6:12" x14ac:dyDescent="0.35">
      <c r="F130" s="92" t="s">
        <v>1125</v>
      </c>
      <c r="G130" s="93" t="s">
        <v>601</v>
      </c>
      <c r="H130" s="93" t="s">
        <v>223</v>
      </c>
      <c r="I130" s="93" t="s">
        <v>703</v>
      </c>
      <c r="J130" s="94">
        <v>0</v>
      </c>
      <c r="K130" s="94"/>
      <c r="L130" s="95"/>
    </row>
    <row r="131" spans="6:12" x14ac:dyDescent="0.35">
      <c r="F131" s="92" t="s">
        <v>1126</v>
      </c>
      <c r="G131" s="93" t="s">
        <v>601</v>
      </c>
      <c r="H131" s="93" t="s">
        <v>223</v>
      </c>
      <c r="I131" s="93" t="s">
        <v>658</v>
      </c>
      <c r="J131" s="94">
        <v>0</v>
      </c>
      <c r="K131" s="94"/>
      <c r="L131" s="95"/>
    </row>
    <row r="132" spans="6:12" x14ac:dyDescent="0.35">
      <c r="F132" s="92" t="s">
        <v>1127</v>
      </c>
      <c r="G132" s="93" t="s">
        <v>601</v>
      </c>
      <c r="H132" s="93" t="s">
        <v>223</v>
      </c>
      <c r="I132" s="93" t="s">
        <v>694</v>
      </c>
      <c r="J132" s="94">
        <v>0</v>
      </c>
      <c r="K132" s="94"/>
      <c r="L132" s="95"/>
    </row>
    <row r="133" spans="6:12" x14ac:dyDescent="0.35">
      <c r="F133" s="92" t="s">
        <v>1128</v>
      </c>
      <c r="G133" s="93" t="s">
        <v>601</v>
      </c>
      <c r="H133" s="93" t="s">
        <v>223</v>
      </c>
      <c r="I133" s="93" t="s">
        <v>616</v>
      </c>
      <c r="J133" s="94">
        <v>0</v>
      </c>
      <c r="K133" s="94"/>
      <c r="L133" s="95"/>
    </row>
    <row r="134" spans="6:12" x14ac:dyDescent="0.35">
      <c r="F134" s="92" t="s">
        <v>1129</v>
      </c>
      <c r="G134" s="93" t="s">
        <v>601</v>
      </c>
      <c r="H134" s="93" t="s">
        <v>223</v>
      </c>
      <c r="I134" s="93" t="s">
        <v>608</v>
      </c>
      <c r="J134" s="94">
        <v>0</v>
      </c>
      <c r="K134" s="94"/>
      <c r="L134" s="95"/>
    </row>
    <row r="135" spans="6:12" x14ac:dyDescent="0.35">
      <c r="F135" s="92" t="s">
        <v>1130</v>
      </c>
      <c r="G135" s="93" t="s">
        <v>601</v>
      </c>
      <c r="H135" s="93" t="s">
        <v>223</v>
      </c>
      <c r="I135" s="93" t="s">
        <v>654</v>
      </c>
      <c r="J135" s="94">
        <v>0</v>
      </c>
      <c r="K135" s="94"/>
      <c r="L135" s="95"/>
    </row>
    <row r="136" spans="6:12" x14ac:dyDescent="0.35">
      <c r="F136" s="92" t="s">
        <v>1131</v>
      </c>
      <c r="G136" s="93" t="s">
        <v>601</v>
      </c>
      <c r="H136" s="93" t="s">
        <v>223</v>
      </c>
      <c r="I136" s="93" t="s">
        <v>656</v>
      </c>
      <c r="J136" s="94">
        <v>0</v>
      </c>
      <c r="K136" s="94"/>
      <c r="L136" s="95"/>
    </row>
    <row r="137" spans="6:12" x14ac:dyDescent="0.35">
      <c r="F137" s="92" t="s">
        <v>1132</v>
      </c>
      <c r="G137" s="93" t="s">
        <v>601</v>
      </c>
      <c r="H137" s="93" t="s">
        <v>223</v>
      </c>
      <c r="I137" s="93" t="s">
        <v>678</v>
      </c>
      <c r="J137" s="94">
        <v>0</v>
      </c>
      <c r="K137" s="94"/>
      <c r="L137" s="95"/>
    </row>
    <row r="138" spans="6:12" x14ac:dyDescent="0.35">
      <c r="F138" s="92" t="s">
        <v>1133</v>
      </c>
      <c r="G138" s="93" t="s">
        <v>601</v>
      </c>
      <c r="H138" s="93" t="s">
        <v>223</v>
      </c>
      <c r="I138" s="93" t="s">
        <v>653</v>
      </c>
      <c r="J138" s="94">
        <v>0</v>
      </c>
      <c r="K138" s="94"/>
      <c r="L138" s="95"/>
    </row>
    <row r="139" spans="6:12" x14ac:dyDescent="0.35">
      <c r="F139" s="92" t="s">
        <v>1134</v>
      </c>
      <c r="G139" s="93" t="s">
        <v>601</v>
      </c>
      <c r="H139" s="93" t="s">
        <v>223</v>
      </c>
      <c r="I139" s="93" t="s">
        <v>655</v>
      </c>
      <c r="J139" s="94">
        <v>0</v>
      </c>
      <c r="K139" s="94"/>
      <c r="L139" s="95"/>
    </row>
    <row r="140" spans="6:12" x14ac:dyDescent="0.35">
      <c r="F140" s="92" t="s">
        <v>1135</v>
      </c>
      <c r="G140" s="93" t="s">
        <v>601</v>
      </c>
      <c r="H140" s="93" t="s">
        <v>223</v>
      </c>
      <c r="I140" s="93" t="s">
        <v>658</v>
      </c>
      <c r="J140" s="94">
        <v>0</v>
      </c>
      <c r="K140" s="94"/>
      <c r="L140" s="95"/>
    </row>
    <row r="141" spans="6:12" x14ac:dyDescent="0.35">
      <c r="F141" s="92" t="s">
        <v>1136</v>
      </c>
      <c r="G141" s="93" t="s">
        <v>601</v>
      </c>
      <c r="H141" s="93" t="s">
        <v>223</v>
      </c>
      <c r="I141" s="93" t="s">
        <v>694</v>
      </c>
      <c r="J141" s="94">
        <v>0</v>
      </c>
      <c r="K141" s="94"/>
      <c r="L141" s="95"/>
    </row>
    <row r="142" spans="6:12" x14ac:dyDescent="0.35">
      <c r="F142" s="92" t="s">
        <v>1137</v>
      </c>
      <c r="G142" s="93" t="s">
        <v>601</v>
      </c>
      <c r="H142" s="93" t="s">
        <v>223</v>
      </c>
      <c r="I142" s="93" t="s">
        <v>616</v>
      </c>
      <c r="J142" s="94">
        <v>0</v>
      </c>
      <c r="K142" s="94"/>
      <c r="L142" s="95"/>
    </row>
    <row r="143" spans="6:12" x14ac:dyDescent="0.35">
      <c r="F143" s="92" t="s">
        <v>1138</v>
      </c>
      <c r="G143" s="93" t="s">
        <v>601</v>
      </c>
      <c r="H143" s="93" t="s">
        <v>223</v>
      </c>
      <c r="I143" s="93" t="s">
        <v>608</v>
      </c>
      <c r="J143" s="94">
        <v>0</v>
      </c>
      <c r="K143" s="94"/>
      <c r="L143" s="95"/>
    </row>
    <row r="144" spans="6:12" x14ac:dyDescent="0.35">
      <c r="F144" s="92" t="s">
        <v>1139</v>
      </c>
      <c r="G144" s="93" t="s">
        <v>601</v>
      </c>
      <c r="H144" s="93" t="s">
        <v>223</v>
      </c>
      <c r="I144" s="93" t="s">
        <v>654</v>
      </c>
      <c r="J144" s="94">
        <v>0</v>
      </c>
      <c r="K144" s="94"/>
      <c r="L144" s="95"/>
    </row>
    <row r="145" spans="6:12" x14ac:dyDescent="0.35">
      <c r="F145" s="92" t="s">
        <v>1140</v>
      </c>
      <c r="G145" s="93" t="s">
        <v>601</v>
      </c>
      <c r="H145" s="93" t="s">
        <v>223</v>
      </c>
      <c r="I145" s="93" t="s">
        <v>656</v>
      </c>
      <c r="J145" s="94">
        <v>0</v>
      </c>
      <c r="K145" s="94"/>
      <c r="L145" s="95"/>
    </row>
    <row r="146" spans="6:12" x14ac:dyDescent="0.35">
      <c r="F146" s="92" t="s">
        <v>1141</v>
      </c>
      <c r="G146" s="93" t="s">
        <v>601</v>
      </c>
      <c r="H146" s="93" t="s">
        <v>223</v>
      </c>
      <c r="I146" s="93" t="s">
        <v>678</v>
      </c>
      <c r="J146" s="94">
        <v>0</v>
      </c>
      <c r="K146" s="94"/>
      <c r="L146" s="95"/>
    </row>
    <row r="147" spans="6:12" x14ac:dyDescent="0.35">
      <c r="F147" s="92" t="s">
        <v>1142</v>
      </c>
      <c r="G147" s="93" t="s">
        <v>601</v>
      </c>
      <c r="H147" s="93" t="s">
        <v>223</v>
      </c>
      <c r="I147" s="93" t="s">
        <v>653</v>
      </c>
      <c r="J147" s="94">
        <v>0</v>
      </c>
      <c r="K147" s="94"/>
      <c r="L147" s="95"/>
    </row>
    <row r="148" spans="6:12" x14ac:dyDescent="0.35">
      <c r="F148" s="92" t="s">
        <v>1143</v>
      </c>
      <c r="G148" s="93" t="s">
        <v>601</v>
      </c>
      <c r="H148" s="93" t="s">
        <v>223</v>
      </c>
      <c r="I148" s="93" t="s">
        <v>709</v>
      </c>
      <c r="J148" s="94">
        <v>0</v>
      </c>
      <c r="K148" s="94"/>
      <c r="L148" s="95"/>
    </row>
    <row r="149" spans="6:12" x14ac:dyDescent="0.35">
      <c r="F149" s="92" t="s">
        <v>1144</v>
      </c>
      <c r="G149" s="93" t="s">
        <v>601</v>
      </c>
      <c r="H149" s="93" t="s">
        <v>223</v>
      </c>
      <c r="I149" s="93" t="s">
        <v>658</v>
      </c>
      <c r="J149" s="94">
        <v>0</v>
      </c>
      <c r="K149" s="94"/>
      <c r="L149" s="95"/>
    </row>
    <row r="150" spans="6:12" x14ac:dyDescent="0.35">
      <c r="F150" s="92" t="s">
        <v>1145</v>
      </c>
      <c r="G150" s="93" t="s">
        <v>601</v>
      </c>
      <c r="H150" s="93" t="s">
        <v>223</v>
      </c>
      <c r="I150" s="93" t="s">
        <v>713</v>
      </c>
      <c r="J150" s="94">
        <v>0</v>
      </c>
      <c r="K150" s="94"/>
      <c r="L150" s="95"/>
    </row>
    <row r="151" spans="6:12" x14ac:dyDescent="0.35">
      <c r="F151" s="92" t="s">
        <v>1146</v>
      </c>
      <c r="G151" s="93" t="s">
        <v>601</v>
      </c>
      <c r="H151" s="93" t="s">
        <v>223</v>
      </c>
      <c r="I151" s="93" t="s">
        <v>654</v>
      </c>
      <c r="J151" s="94">
        <v>0</v>
      </c>
      <c r="K151" s="94"/>
      <c r="L151" s="95"/>
    </row>
    <row r="152" spans="6:12" x14ac:dyDescent="0.35">
      <c r="F152" s="92" t="s">
        <v>1147</v>
      </c>
      <c r="G152" s="93" t="s">
        <v>601</v>
      </c>
      <c r="H152" s="93" t="s">
        <v>223</v>
      </c>
      <c r="I152" s="93" t="s">
        <v>616</v>
      </c>
      <c r="J152" s="94">
        <v>0</v>
      </c>
      <c r="K152" s="94"/>
      <c r="L152" s="95"/>
    </row>
    <row r="153" spans="6:12" x14ac:dyDescent="0.35">
      <c r="F153" s="92" t="s">
        <v>1148</v>
      </c>
      <c r="G153" s="93" t="s">
        <v>601</v>
      </c>
      <c r="H153" s="93" t="s">
        <v>223</v>
      </c>
      <c r="I153" s="93" t="s">
        <v>608</v>
      </c>
      <c r="J153" s="94">
        <v>0</v>
      </c>
      <c r="K153" s="94"/>
      <c r="L153" s="95"/>
    </row>
    <row r="154" spans="6:12" x14ac:dyDescent="0.35">
      <c r="F154" s="92" t="s">
        <v>1149</v>
      </c>
      <c r="G154" s="93" t="s">
        <v>601</v>
      </c>
      <c r="H154" s="93" t="s">
        <v>223</v>
      </c>
      <c r="I154" s="93" t="s">
        <v>662</v>
      </c>
      <c r="J154" s="94">
        <v>0</v>
      </c>
      <c r="K154" s="94"/>
      <c r="L154" s="95"/>
    </row>
    <row r="155" spans="6:12" x14ac:dyDescent="0.35">
      <c r="F155" s="92" t="s">
        <v>1150</v>
      </c>
      <c r="G155" s="93" t="s">
        <v>601</v>
      </c>
      <c r="H155" s="93" t="s">
        <v>223</v>
      </c>
      <c r="I155" s="93" t="s">
        <v>654</v>
      </c>
      <c r="J155" s="94">
        <v>0</v>
      </c>
      <c r="K155" s="94"/>
      <c r="L155" s="95"/>
    </row>
    <row r="156" spans="6:12" x14ac:dyDescent="0.35">
      <c r="F156" s="92" t="s">
        <v>1151</v>
      </c>
      <c r="G156" s="93" t="s">
        <v>601</v>
      </c>
      <c r="H156" s="93" t="s">
        <v>223</v>
      </c>
      <c r="I156" s="93" t="s">
        <v>715</v>
      </c>
      <c r="J156" s="94">
        <v>0</v>
      </c>
      <c r="K156" s="94"/>
      <c r="L156" s="95"/>
    </row>
    <row r="157" spans="6:12" x14ac:dyDescent="0.35">
      <c r="F157" s="92" t="s">
        <v>1152</v>
      </c>
      <c r="G157" s="93" t="s">
        <v>601</v>
      </c>
      <c r="H157" s="93" t="s">
        <v>223</v>
      </c>
      <c r="I157" s="93" t="s">
        <v>716</v>
      </c>
      <c r="J157" s="94">
        <v>0</v>
      </c>
      <c r="K157" s="94"/>
      <c r="L157" s="95"/>
    </row>
    <row r="158" spans="6:12" x14ac:dyDescent="0.35">
      <c r="F158" s="92" t="s">
        <v>1153</v>
      </c>
      <c r="G158" s="93" t="s">
        <v>601</v>
      </c>
      <c r="H158" s="93" t="s">
        <v>223</v>
      </c>
      <c r="I158" s="93" t="s">
        <v>628</v>
      </c>
      <c r="J158" s="94">
        <v>0</v>
      </c>
      <c r="K158" s="94"/>
      <c r="L158" s="95"/>
    </row>
    <row r="159" spans="6:12" x14ac:dyDescent="0.35">
      <c r="F159" s="92" t="s">
        <v>1154</v>
      </c>
      <c r="G159" s="93" t="s">
        <v>601</v>
      </c>
      <c r="H159" s="93" t="s">
        <v>223</v>
      </c>
      <c r="I159" s="93" t="s">
        <v>713</v>
      </c>
      <c r="J159" s="94">
        <v>0</v>
      </c>
      <c r="K159" s="94"/>
      <c r="L159" s="95"/>
    </row>
    <row r="160" spans="6:12" x14ac:dyDescent="0.35">
      <c r="F160" s="92" t="s">
        <v>1155</v>
      </c>
      <c r="G160" s="93" t="s">
        <v>601</v>
      </c>
      <c r="H160" s="93" t="s">
        <v>223</v>
      </c>
      <c r="I160" s="93" t="s">
        <v>616</v>
      </c>
      <c r="J160" s="94">
        <v>0</v>
      </c>
      <c r="K160" s="94"/>
      <c r="L160" s="95"/>
    </row>
    <row r="161" spans="6:12" x14ac:dyDescent="0.35">
      <c r="F161" s="92" t="s">
        <v>1156</v>
      </c>
      <c r="G161" s="93" t="s">
        <v>601</v>
      </c>
      <c r="H161" s="93" t="s">
        <v>223</v>
      </c>
      <c r="I161" s="93" t="s">
        <v>654</v>
      </c>
      <c r="J161" s="94">
        <v>0</v>
      </c>
      <c r="K161" s="94"/>
      <c r="L161" s="95"/>
    </row>
    <row r="162" spans="6:12" x14ac:dyDescent="0.35">
      <c r="F162" s="92" t="s">
        <v>1157</v>
      </c>
      <c r="G162" s="93" t="s">
        <v>601</v>
      </c>
      <c r="H162" s="93" t="s">
        <v>223</v>
      </c>
      <c r="I162" s="93" t="s">
        <v>718</v>
      </c>
      <c r="J162" s="94">
        <v>0</v>
      </c>
      <c r="K162" s="94"/>
      <c r="L162" s="95"/>
    </row>
    <row r="163" spans="6:12" x14ac:dyDescent="0.35">
      <c r="F163" s="92" t="s">
        <v>1158</v>
      </c>
      <c r="G163" s="93" t="s">
        <v>601</v>
      </c>
      <c r="H163" s="93" t="s">
        <v>223</v>
      </c>
      <c r="I163" s="93" t="s">
        <v>616</v>
      </c>
      <c r="J163" s="94">
        <v>0</v>
      </c>
      <c r="K163" s="94"/>
      <c r="L163" s="95"/>
    </row>
    <row r="164" spans="6:12" x14ac:dyDescent="0.35">
      <c r="F164" s="92" t="s">
        <v>1159</v>
      </c>
      <c r="G164" s="93" t="s">
        <v>601</v>
      </c>
      <c r="H164" s="93" t="s">
        <v>223</v>
      </c>
      <c r="I164" s="93" t="s">
        <v>722</v>
      </c>
      <c r="J164" s="94">
        <v>0</v>
      </c>
      <c r="K164" s="94"/>
      <c r="L164" s="95"/>
    </row>
    <row r="165" spans="6:12" x14ac:dyDescent="0.35">
      <c r="F165" s="92" t="s">
        <v>1160</v>
      </c>
      <c r="G165" s="93" t="s">
        <v>601</v>
      </c>
      <c r="H165" s="93" t="s">
        <v>223</v>
      </c>
      <c r="I165" s="93" t="s">
        <v>724</v>
      </c>
      <c r="J165" s="94">
        <v>0</v>
      </c>
      <c r="K165" s="94"/>
      <c r="L165" s="95"/>
    </row>
    <row r="166" spans="6:12" x14ac:dyDescent="0.35">
      <c r="F166" s="92" t="s">
        <v>1161</v>
      </c>
      <c r="G166" s="93" t="s">
        <v>601</v>
      </c>
      <c r="H166" s="93" t="s">
        <v>223</v>
      </c>
      <c r="I166" s="93" t="s">
        <v>725</v>
      </c>
      <c r="J166" s="94">
        <v>0</v>
      </c>
      <c r="K166" s="94"/>
      <c r="L166" s="95"/>
    </row>
    <row r="167" spans="6:12" x14ac:dyDescent="0.35">
      <c r="F167" s="92" t="s">
        <v>1162</v>
      </c>
      <c r="G167" s="93" t="s">
        <v>601</v>
      </c>
      <c r="H167" s="93" t="s">
        <v>223</v>
      </c>
      <c r="I167" s="93" t="s">
        <v>727</v>
      </c>
      <c r="J167" s="94">
        <v>0</v>
      </c>
      <c r="K167" s="94"/>
      <c r="L167" s="95"/>
    </row>
    <row r="168" spans="6:12" x14ac:dyDescent="0.35">
      <c r="F168" s="92" t="s">
        <v>1163</v>
      </c>
      <c r="G168" s="93" t="s">
        <v>601</v>
      </c>
      <c r="H168" s="93" t="s">
        <v>223</v>
      </c>
      <c r="I168" s="93" t="s">
        <v>729</v>
      </c>
      <c r="J168" s="94">
        <v>0</v>
      </c>
      <c r="K168" s="94"/>
      <c r="L168" s="95"/>
    </row>
    <row r="169" spans="6:12" x14ac:dyDescent="0.35">
      <c r="F169" s="92" t="s">
        <v>1164</v>
      </c>
      <c r="G169" s="93" t="s">
        <v>601</v>
      </c>
      <c r="H169" s="93" t="s">
        <v>223</v>
      </c>
      <c r="I169" s="93" t="s">
        <v>730</v>
      </c>
      <c r="J169" s="94">
        <v>0</v>
      </c>
      <c r="K169" s="94"/>
      <c r="L169" s="95"/>
    </row>
    <row r="170" spans="6:12" x14ac:dyDescent="0.35">
      <c r="F170" s="92" t="s">
        <v>1165</v>
      </c>
      <c r="G170" s="93" t="s">
        <v>601</v>
      </c>
      <c r="H170" s="93" t="s">
        <v>223</v>
      </c>
      <c r="I170" s="93" t="s">
        <v>666</v>
      </c>
      <c r="J170" s="94">
        <v>0</v>
      </c>
      <c r="K170" s="94"/>
      <c r="L170" s="95"/>
    </row>
    <row r="171" spans="6:12" x14ac:dyDescent="0.35">
      <c r="F171" s="92" t="s">
        <v>1166</v>
      </c>
      <c r="G171" s="93" t="s">
        <v>601</v>
      </c>
      <c r="H171" s="93" t="s">
        <v>223</v>
      </c>
      <c r="I171" s="93" t="s">
        <v>731</v>
      </c>
      <c r="J171" s="94">
        <v>0</v>
      </c>
      <c r="K171" s="94"/>
      <c r="L171" s="95"/>
    </row>
    <row r="172" spans="6:12" x14ac:dyDescent="0.35">
      <c r="F172" s="92" t="s">
        <v>1167</v>
      </c>
      <c r="G172" s="93" t="s">
        <v>601</v>
      </c>
      <c r="H172" s="93" t="s">
        <v>223</v>
      </c>
      <c r="I172" s="93" t="s">
        <v>732</v>
      </c>
      <c r="J172" s="94">
        <v>0</v>
      </c>
      <c r="K172" s="94"/>
      <c r="L172" s="95"/>
    </row>
    <row r="173" spans="6:12" x14ac:dyDescent="0.35">
      <c r="F173" s="92" t="s">
        <v>1168</v>
      </c>
      <c r="G173" s="93" t="s">
        <v>601</v>
      </c>
      <c r="H173" s="93" t="s">
        <v>223</v>
      </c>
      <c r="I173" s="93" t="s">
        <v>733</v>
      </c>
      <c r="J173" s="94">
        <v>0</v>
      </c>
      <c r="K173" s="94"/>
      <c r="L173" s="95"/>
    </row>
    <row r="174" spans="6:12" x14ac:dyDescent="0.35">
      <c r="F174" s="92" t="s">
        <v>1169</v>
      </c>
      <c r="G174" s="93" t="s">
        <v>601</v>
      </c>
      <c r="H174" s="93" t="s">
        <v>223</v>
      </c>
      <c r="I174" s="93" t="s">
        <v>734</v>
      </c>
      <c r="J174" s="94">
        <v>0</v>
      </c>
      <c r="K174" s="94"/>
      <c r="L174" s="95"/>
    </row>
    <row r="175" spans="6:12" x14ac:dyDescent="0.35">
      <c r="F175" s="92" t="s">
        <v>1170</v>
      </c>
      <c r="G175" s="93" t="s">
        <v>601</v>
      </c>
      <c r="H175" s="93" t="s">
        <v>223</v>
      </c>
      <c r="I175" s="93" t="s">
        <v>735</v>
      </c>
      <c r="J175" s="94">
        <v>0</v>
      </c>
      <c r="K175" s="94"/>
      <c r="L175" s="95"/>
    </row>
    <row r="176" spans="6:12" x14ac:dyDescent="0.35">
      <c r="F176" s="92" t="s">
        <v>1171</v>
      </c>
      <c r="G176" s="93" t="s">
        <v>601</v>
      </c>
      <c r="H176" s="93" t="s">
        <v>223</v>
      </c>
      <c r="I176" s="93" t="s">
        <v>690</v>
      </c>
      <c r="J176" s="94">
        <v>0</v>
      </c>
      <c r="K176" s="94"/>
      <c r="L176" s="95"/>
    </row>
    <row r="177" spans="6:12" x14ac:dyDescent="0.35">
      <c r="F177" s="92" t="s">
        <v>1172</v>
      </c>
      <c r="G177" s="93" t="s">
        <v>601</v>
      </c>
      <c r="H177" s="93" t="s">
        <v>223</v>
      </c>
      <c r="I177" s="93" t="s">
        <v>736</v>
      </c>
      <c r="J177" s="94">
        <v>0</v>
      </c>
      <c r="K177" s="94"/>
      <c r="L177" s="95"/>
    </row>
    <row r="178" spans="6:12" x14ac:dyDescent="0.35">
      <c r="F178" s="92" t="s">
        <v>1173</v>
      </c>
      <c r="G178" s="93" t="s">
        <v>601</v>
      </c>
      <c r="H178" s="93" t="s">
        <v>223</v>
      </c>
      <c r="I178" s="93" t="s">
        <v>737</v>
      </c>
      <c r="J178" s="94">
        <v>0</v>
      </c>
      <c r="K178" s="94"/>
      <c r="L178" s="95"/>
    </row>
    <row r="179" spans="6:12" x14ac:dyDescent="0.35">
      <c r="F179" s="92" t="s">
        <v>1174</v>
      </c>
      <c r="G179" s="93" t="s">
        <v>601</v>
      </c>
      <c r="H179" s="93" t="s">
        <v>223</v>
      </c>
      <c r="I179" s="93" t="s">
        <v>738</v>
      </c>
      <c r="J179" s="94">
        <v>0</v>
      </c>
      <c r="K179" s="94"/>
      <c r="L179" s="95"/>
    </row>
    <row r="180" spans="6:12" x14ac:dyDescent="0.35">
      <c r="F180" s="92" t="s">
        <v>1175</v>
      </c>
      <c r="G180" s="93" t="s">
        <v>601</v>
      </c>
      <c r="H180" s="93" t="s">
        <v>223</v>
      </c>
      <c r="I180" s="93" t="s">
        <v>739</v>
      </c>
      <c r="J180" s="94">
        <v>0</v>
      </c>
      <c r="K180" s="94"/>
      <c r="L180" s="95"/>
    </row>
    <row r="181" spans="6:12" x14ac:dyDescent="0.35">
      <c r="F181" s="92" t="s">
        <v>1176</v>
      </c>
      <c r="G181" s="93" t="s">
        <v>601</v>
      </c>
      <c r="H181" s="93" t="s">
        <v>223</v>
      </c>
      <c r="I181" s="93" t="s">
        <v>740</v>
      </c>
      <c r="J181" s="94">
        <v>0</v>
      </c>
      <c r="K181" s="94"/>
      <c r="L181" s="95"/>
    </row>
    <row r="182" spans="6:12" x14ac:dyDescent="0.35">
      <c r="F182" s="92" t="s">
        <v>1177</v>
      </c>
      <c r="G182" s="93" t="s">
        <v>601</v>
      </c>
      <c r="H182" s="93" t="s">
        <v>223</v>
      </c>
      <c r="I182" s="93" t="s">
        <v>741</v>
      </c>
      <c r="J182" s="94">
        <v>0</v>
      </c>
      <c r="K182" s="94"/>
      <c r="L182" s="95"/>
    </row>
    <row r="183" spans="6:12" x14ac:dyDescent="0.35">
      <c r="F183" s="92" t="s">
        <v>1178</v>
      </c>
      <c r="G183" s="93" t="s">
        <v>601</v>
      </c>
      <c r="H183" s="93" t="s">
        <v>223</v>
      </c>
      <c r="I183" s="93" t="s">
        <v>744</v>
      </c>
      <c r="J183" s="94">
        <v>0</v>
      </c>
      <c r="K183" s="94"/>
      <c r="L183" s="95"/>
    </row>
    <row r="184" spans="6:12" x14ac:dyDescent="0.35">
      <c r="F184" s="92" t="s">
        <v>1179</v>
      </c>
      <c r="G184" s="93" t="s">
        <v>601</v>
      </c>
      <c r="H184" s="93" t="s">
        <v>223</v>
      </c>
      <c r="I184" s="93" t="s">
        <v>746</v>
      </c>
      <c r="J184" s="94">
        <v>0</v>
      </c>
      <c r="K184" s="94"/>
      <c r="L184" s="95"/>
    </row>
    <row r="185" spans="6:12" x14ac:dyDescent="0.35">
      <c r="F185" s="92" t="s">
        <v>1180</v>
      </c>
      <c r="G185" s="93" t="s">
        <v>601</v>
      </c>
      <c r="H185" s="93" t="s">
        <v>223</v>
      </c>
      <c r="I185" s="93" t="s">
        <v>748</v>
      </c>
      <c r="J185" s="94">
        <v>0</v>
      </c>
      <c r="K185" s="94"/>
      <c r="L185" s="95"/>
    </row>
    <row r="186" spans="6:12" x14ac:dyDescent="0.35">
      <c r="F186" s="92" t="s">
        <v>1181</v>
      </c>
      <c r="G186" s="93" t="s">
        <v>601</v>
      </c>
      <c r="H186" s="93" t="s">
        <v>223</v>
      </c>
      <c r="I186" s="93" t="s">
        <v>750</v>
      </c>
      <c r="J186" s="94">
        <v>0</v>
      </c>
      <c r="K186" s="94"/>
      <c r="L186" s="95"/>
    </row>
    <row r="187" spans="6:12" x14ac:dyDescent="0.35">
      <c r="F187" s="92" t="s">
        <v>1182</v>
      </c>
      <c r="G187" s="93" t="s">
        <v>601</v>
      </c>
      <c r="H187" s="93" t="s">
        <v>223</v>
      </c>
      <c r="I187" s="93" t="s">
        <v>752</v>
      </c>
      <c r="J187" s="94">
        <v>0</v>
      </c>
      <c r="K187" s="94"/>
      <c r="L187" s="95"/>
    </row>
    <row r="188" spans="6:12" x14ac:dyDescent="0.35">
      <c r="F188" s="92" t="s">
        <v>1183</v>
      </c>
      <c r="G188" s="93" t="s">
        <v>601</v>
      </c>
      <c r="H188" s="93" t="s">
        <v>223</v>
      </c>
      <c r="I188" s="93" t="s">
        <v>753</v>
      </c>
      <c r="J188" s="94">
        <v>0</v>
      </c>
      <c r="K188" s="94"/>
      <c r="L188" s="95"/>
    </row>
    <row r="189" spans="6:12" x14ac:dyDescent="0.35">
      <c r="F189" s="92" t="s">
        <v>1184</v>
      </c>
      <c r="G189" s="93" t="s">
        <v>601</v>
      </c>
      <c r="H189" s="93" t="s">
        <v>223</v>
      </c>
      <c r="I189" s="93" t="s">
        <v>757</v>
      </c>
      <c r="J189" s="94">
        <v>0</v>
      </c>
      <c r="K189" s="94"/>
      <c r="L189" s="95"/>
    </row>
    <row r="190" spans="6:12" x14ac:dyDescent="0.35">
      <c r="F190" s="92" t="s">
        <v>1185</v>
      </c>
      <c r="G190" s="93" t="s">
        <v>601</v>
      </c>
      <c r="H190" s="93" t="s">
        <v>223</v>
      </c>
      <c r="I190" s="93" t="s">
        <v>616</v>
      </c>
      <c r="J190" s="94">
        <v>0</v>
      </c>
      <c r="K190" s="94"/>
      <c r="L190" s="95"/>
    </row>
    <row r="191" spans="6:12" x14ac:dyDescent="0.35">
      <c r="F191" s="92" t="s">
        <v>1186</v>
      </c>
      <c r="G191" s="93" t="s">
        <v>601</v>
      </c>
      <c r="H191" s="93" t="s">
        <v>223</v>
      </c>
      <c r="I191" s="93" t="s">
        <v>759</v>
      </c>
      <c r="J191" s="94">
        <v>0</v>
      </c>
      <c r="K191" s="94"/>
      <c r="L191" s="95"/>
    </row>
    <row r="192" spans="6:12" x14ac:dyDescent="0.35">
      <c r="F192" s="92" t="s">
        <v>1187</v>
      </c>
      <c r="G192" s="93" t="s">
        <v>601</v>
      </c>
      <c r="H192" s="93" t="s">
        <v>223</v>
      </c>
      <c r="I192" s="93" t="s">
        <v>760</v>
      </c>
      <c r="J192" s="94">
        <v>0</v>
      </c>
      <c r="K192" s="94"/>
      <c r="L192" s="95"/>
    </row>
    <row r="193" spans="6:12" x14ac:dyDescent="0.35">
      <c r="F193" s="92" t="s">
        <v>1188</v>
      </c>
      <c r="G193" s="93" t="s">
        <v>601</v>
      </c>
      <c r="H193" s="93" t="s">
        <v>223</v>
      </c>
      <c r="I193" s="93" t="s">
        <v>656</v>
      </c>
      <c r="J193" s="94">
        <v>0</v>
      </c>
      <c r="K193" s="94"/>
      <c r="L193" s="95"/>
    </row>
    <row r="194" spans="6:12" x14ac:dyDescent="0.35">
      <c r="F194" s="92" t="s">
        <v>1189</v>
      </c>
      <c r="G194" s="93" t="s">
        <v>601</v>
      </c>
      <c r="H194" s="93" t="s">
        <v>223</v>
      </c>
      <c r="I194" s="93" t="s">
        <v>678</v>
      </c>
      <c r="J194" s="94">
        <v>0</v>
      </c>
      <c r="K194" s="94"/>
      <c r="L194" s="95"/>
    </row>
    <row r="195" spans="6:12" x14ac:dyDescent="0.35">
      <c r="F195" s="92" t="s">
        <v>1190</v>
      </c>
      <c r="G195" s="93" t="s">
        <v>601</v>
      </c>
      <c r="H195" s="93" t="s">
        <v>223</v>
      </c>
      <c r="I195" s="93" t="s">
        <v>690</v>
      </c>
      <c r="J195" s="94">
        <v>0</v>
      </c>
      <c r="K195" s="94"/>
      <c r="L195" s="95"/>
    </row>
    <row r="196" spans="6:12" x14ac:dyDescent="0.35">
      <c r="F196" s="92" t="s">
        <v>1191</v>
      </c>
      <c r="G196" s="93" t="s">
        <v>601</v>
      </c>
      <c r="H196" s="93" t="s">
        <v>223</v>
      </c>
      <c r="I196" s="93" t="s">
        <v>761</v>
      </c>
      <c r="J196" s="94">
        <v>0</v>
      </c>
      <c r="K196" s="94"/>
      <c r="L196" s="95"/>
    </row>
    <row r="197" spans="6:12" x14ac:dyDescent="0.35">
      <c r="F197" s="92" t="s">
        <v>1192</v>
      </c>
      <c r="G197" s="93" t="s">
        <v>601</v>
      </c>
      <c r="H197" s="93" t="s">
        <v>223</v>
      </c>
      <c r="I197" s="93" t="s">
        <v>764</v>
      </c>
      <c r="J197" s="94">
        <v>0</v>
      </c>
      <c r="K197" s="94"/>
      <c r="L197" s="95"/>
    </row>
    <row r="198" spans="6:12" x14ac:dyDescent="0.35">
      <c r="F198" s="92" t="s">
        <v>1193</v>
      </c>
      <c r="G198" s="93" t="s">
        <v>601</v>
      </c>
      <c r="H198" s="93" t="s">
        <v>223</v>
      </c>
      <c r="I198" s="93" t="s">
        <v>616</v>
      </c>
      <c r="J198" s="94">
        <v>0</v>
      </c>
      <c r="K198" s="94"/>
      <c r="L198" s="95"/>
    </row>
    <row r="199" spans="6:12" x14ac:dyDescent="0.35">
      <c r="F199" s="92" t="s">
        <v>1194</v>
      </c>
      <c r="G199" s="93" t="s">
        <v>601</v>
      </c>
      <c r="H199" s="93" t="s">
        <v>223</v>
      </c>
      <c r="I199" s="93" t="s">
        <v>759</v>
      </c>
      <c r="J199" s="94">
        <v>0</v>
      </c>
      <c r="K199" s="94"/>
      <c r="L199" s="95"/>
    </row>
    <row r="200" spans="6:12" x14ac:dyDescent="0.35">
      <c r="F200" s="92" t="s">
        <v>1195</v>
      </c>
      <c r="G200" s="93" t="s">
        <v>601</v>
      </c>
      <c r="H200" s="93" t="s">
        <v>223</v>
      </c>
      <c r="I200" s="93" t="s">
        <v>753</v>
      </c>
      <c r="J200" s="94">
        <v>0</v>
      </c>
      <c r="K200" s="94"/>
      <c r="L200" s="95"/>
    </row>
    <row r="201" spans="6:12" x14ac:dyDescent="0.35">
      <c r="F201" s="92" t="s">
        <v>1196</v>
      </c>
      <c r="G201" s="93" t="s">
        <v>601</v>
      </c>
      <c r="H201" s="93" t="s">
        <v>223</v>
      </c>
      <c r="I201" s="93" t="s">
        <v>757</v>
      </c>
      <c r="J201" s="94">
        <v>0</v>
      </c>
      <c r="K201" s="94"/>
      <c r="L201" s="95"/>
    </row>
    <row r="202" spans="6:12" x14ac:dyDescent="0.35">
      <c r="F202" s="92" t="s">
        <v>1197</v>
      </c>
      <c r="G202" s="93" t="s">
        <v>601</v>
      </c>
      <c r="H202" s="93" t="s">
        <v>223</v>
      </c>
      <c r="I202" s="93" t="s">
        <v>616</v>
      </c>
      <c r="J202" s="94">
        <v>0</v>
      </c>
      <c r="K202" s="94"/>
      <c r="L202" s="95"/>
    </row>
    <row r="203" spans="6:12" x14ac:dyDescent="0.35">
      <c r="F203" s="92" t="s">
        <v>1198</v>
      </c>
      <c r="G203" s="93" t="s">
        <v>601</v>
      </c>
      <c r="H203" s="93" t="s">
        <v>223</v>
      </c>
      <c r="I203" s="93" t="s">
        <v>759</v>
      </c>
      <c r="J203" s="94">
        <v>0</v>
      </c>
      <c r="K203" s="94"/>
      <c r="L203" s="95"/>
    </row>
    <row r="204" spans="6:12" x14ac:dyDescent="0.35">
      <c r="F204" s="92" t="s">
        <v>1199</v>
      </c>
      <c r="G204" s="93" t="s">
        <v>601</v>
      </c>
      <c r="H204" s="93" t="s">
        <v>223</v>
      </c>
      <c r="I204" s="93" t="s">
        <v>760</v>
      </c>
      <c r="J204" s="94">
        <v>0</v>
      </c>
      <c r="K204" s="94"/>
      <c r="L204" s="95"/>
    </row>
    <row r="205" spans="6:12" x14ac:dyDescent="0.35">
      <c r="F205" s="92" t="s">
        <v>1200</v>
      </c>
      <c r="G205" s="93" t="s">
        <v>601</v>
      </c>
      <c r="H205" s="93" t="s">
        <v>223</v>
      </c>
      <c r="I205" s="93" t="s">
        <v>678</v>
      </c>
      <c r="J205" s="94">
        <v>0</v>
      </c>
      <c r="K205" s="94"/>
      <c r="L205" s="95"/>
    </row>
    <row r="206" spans="6:12" x14ac:dyDescent="0.35">
      <c r="F206" s="92" t="s">
        <v>1201</v>
      </c>
      <c r="G206" s="93" t="s">
        <v>601</v>
      </c>
      <c r="H206" s="93" t="s">
        <v>223</v>
      </c>
      <c r="I206" s="93" t="s">
        <v>767</v>
      </c>
      <c r="J206" s="94">
        <v>0</v>
      </c>
      <c r="K206" s="94"/>
      <c r="L206" s="95"/>
    </row>
    <row r="207" spans="6:12" x14ac:dyDescent="0.35">
      <c r="F207" s="92" t="s">
        <v>1202</v>
      </c>
      <c r="G207" s="93" t="s">
        <v>601</v>
      </c>
      <c r="H207" s="93" t="s">
        <v>223</v>
      </c>
      <c r="I207" s="93" t="s">
        <v>761</v>
      </c>
      <c r="J207" s="94">
        <v>0</v>
      </c>
      <c r="K207" s="94"/>
      <c r="L207" s="95"/>
    </row>
    <row r="208" spans="6:12" x14ac:dyDescent="0.35">
      <c r="F208" s="92" t="s">
        <v>1203</v>
      </c>
      <c r="G208" s="93" t="s">
        <v>601</v>
      </c>
      <c r="H208" s="93" t="s">
        <v>223</v>
      </c>
      <c r="I208" s="93" t="s">
        <v>764</v>
      </c>
      <c r="J208" s="94">
        <v>0</v>
      </c>
      <c r="K208" s="94"/>
      <c r="L208" s="95"/>
    </row>
    <row r="209" spans="6:12" x14ac:dyDescent="0.35">
      <c r="F209" s="92" t="s">
        <v>1204</v>
      </c>
      <c r="G209" s="93" t="s">
        <v>601</v>
      </c>
      <c r="H209" s="93" t="s">
        <v>223</v>
      </c>
      <c r="I209" s="93" t="s">
        <v>616</v>
      </c>
      <c r="J209" s="94">
        <v>0</v>
      </c>
      <c r="K209" s="94"/>
      <c r="L209" s="95"/>
    </row>
    <row r="210" spans="6:12" x14ac:dyDescent="0.35">
      <c r="F210" s="92" t="s">
        <v>1205</v>
      </c>
      <c r="G210" s="93" t="s">
        <v>601</v>
      </c>
      <c r="H210" s="93" t="s">
        <v>223</v>
      </c>
      <c r="I210" s="93" t="s">
        <v>759</v>
      </c>
      <c r="J210" s="94">
        <v>0</v>
      </c>
      <c r="K210" s="94"/>
      <c r="L210" s="95"/>
    </row>
    <row r="211" spans="6:12" x14ac:dyDescent="0.35">
      <c r="F211" s="92" t="s">
        <v>1206</v>
      </c>
      <c r="G211" s="93" t="s">
        <v>601</v>
      </c>
      <c r="H211" s="93" t="s">
        <v>223</v>
      </c>
      <c r="I211" s="93" t="s">
        <v>760</v>
      </c>
      <c r="J211" s="94">
        <v>0</v>
      </c>
      <c r="K211" s="94"/>
      <c r="L211" s="95"/>
    </row>
    <row r="212" spans="6:12" x14ac:dyDescent="0.35">
      <c r="F212" s="92" t="s">
        <v>1207</v>
      </c>
      <c r="G212" s="93" t="s">
        <v>601</v>
      </c>
      <c r="H212" s="93" t="s">
        <v>223</v>
      </c>
      <c r="I212" s="93" t="s">
        <v>656</v>
      </c>
      <c r="J212" s="94">
        <v>0</v>
      </c>
      <c r="K212" s="94"/>
      <c r="L212" s="95"/>
    </row>
    <row r="213" spans="6:12" x14ac:dyDescent="0.35">
      <c r="F213" s="92" t="s">
        <v>1208</v>
      </c>
      <c r="G213" s="93" t="s">
        <v>601</v>
      </c>
      <c r="H213" s="93" t="s">
        <v>223</v>
      </c>
      <c r="I213" s="93" t="s">
        <v>753</v>
      </c>
      <c r="J213" s="94">
        <v>0</v>
      </c>
      <c r="K213" s="94"/>
      <c r="L213" s="95"/>
    </row>
    <row r="214" spans="6:12" x14ac:dyDescent="0.35">
      <c r="F214" s="92" t="s">
        <v>1209</v>
      </c>
      <c r="G214" s="93" t="s">
        <v>601</v>
      </c>
      <c r="H214" s="93" t="s">
        <v>223</v>
      </c>
      <c r="I214" s="93" t="s">
        <v>757</v>
      </c>
      <c r="J214" s="94">
        <v>0</v>
      </c>
      <c r="K214" s="94"/>
      <c r="L214" s="95"/>
    </row>
    <row r="215" spans="6:12" x14ac:dyDescent="0.35">
      <c r="F215" s="92" t="s">
        <v>1210</v>
      </c>
      <c r="G215" s="93" t="s">
        <v>601</v>
      </c>
      <c r="H215" s="93" t="s">
        <v>223</v>
      </c>
      <c r="I215" s="93" t="s">
        <v>616</v>
      </c>
      <c r="J215" s="94">
        <v>0</v>
      </c>
      <c r="K215" s="94"/>
      <c r="L215" s="95"/>
    </row>
    <row r="216" spans="6:12" x14ac:dyDescent="0.35">
      <c r="F216" s="92" t="s">
        <v>1211</v>
      </c>
      <c r="G216" s="93" t="s">
        <v>601</v>
      </c>
      <c r="H216" s="93" t="s">
        <v>223</v>
      </c>
      <c r="I216" s="93" t="s">
        <v>759</v>
      </c>
      <c r="J216" s="94">
        <v>0</v>
      </c>
      <c r="K216" s="94"/>
      <c r="L216" s="95"/>
    </row>
    <row r="217" spans="6:12" x14ac:dyDescent="0.35">
      <c r="F217" s="92" t="s">
        <v>1212</v>
      </c>
      <c r="G217" s="93" t="s">
        <v>601</v>
      </c>
      <c r="H217" s="93" t="s">
        <v>223</v>
      </c>
      <c r="I217" s="93" t="s">
        <v>760</v>
      </c>
      <c r="J217" s="94">
        <v>0</v>
      </c>
      <c r="K217" s="94"/>
      <c r="L217" s="95"/>
    </row>
    <row r="218" spans="6:12" x14ac:dyDescent="0.35">
      <c r="F218" s="92" t="s">
        <v>1213</v>
      </c>
      <c r="G218" s="93" t="s">
        <v>601</v>
      </c>
      <c r="H218" s="93" t="s">
        <v>223</v>
      </c>
      <c r="I218" s="93" t="s">
        <v>767</v>
      </c>
      <c r="J218" s="94">
        <v>0</v>
      </c>
      <c r="K218" s="94"/>
      <c r="L218" s="95"/>
    </row>
    <row r="219" spans="6:12" x14ac:dyDescent="0.35">
      <c r="F219" s="92" t="s">
        <v>1214</v>
      </c>
      <c r="G219" s="93" t="s">
        <v>601</v>
      </c>
      <c r="H219" s="93" t="s">
        <v>223</v>
      </c>
      <c r="I219" s="93" t="s">
        <v>761</v>
      </c>
      <c r="J219" s="94">
        <v>0</v>
      </c>
      <c r="K219" s="94"/>
      <c r="L219" s="95"/>
    </row>
    <row r="220" spans="6:12" x14ac:dyDescent="0.35">
      <c r="F220" s="92" t="s">
        <v>1215</v>
      </c>
      <c r="G220" s="93" t="s">
        <v>601</v>
      </c>
      <c r="H220" s="93" t="s">
        <v>223</v>
      </c>
      <c r="I220" s="93" t="s">
        <v>764</v>
      </c>
      <c r="J220" s="94">
        <v>0</v>
      </c>
      <c r="K220" s="94"/>
      <c r="L220" s="95"/>
    </row>
    <row r="221" spans="6:12" x14ac:dyDescent="0.35">
      <c r="F221" s="92" t="s">
        <v>1216</v>
      </c>
      <c r="G221" s="93" t="s">
        <v>601</v>
      </c>
      <c r="H221" s="93" t="s">
        <v>223</v>
      </c>
      <c r="I221" s="93" t="s">
        <v>616</v>
      </c>
      <c r="J221" s="94">
        <v>0</v>
      </c>
      <c r="K221" s="94"/>
      <c r="L221" s="95"/>
    </row>
    <row r="222" spans="6:12" x14ac:dyDescent="0.35">
      <c r="F222" s="92" t="s">
        <v>1217</v>
      </c>
      <c r="G222" s="93" t="s">
        <v>601</v>
      </c>
      <c r="H222" s="93" t="s">
        <v>223</v>
      </c>
      <c r="I222" s="93" t="s">
        <v>759</v>
      </c>
      <c r="J222" s="94">
        <v>0</v>
      </c>
      <c r="K222" s="94"/>
      <c r="L222" s="95"/>
    </row>
    <row r="223" spans="6:12" x14ac:dyDescent="0.35">
      <c r="F223" s="92" t="s">
        <v>1218</v>
      </c>
      <c r="G223" s="93" t="s">
        <v>601</v>
      </c>
      <c r="H223" s="93" t="s">
        <v>223</v>
      </c>
      <c r="I223" s="93" t="s">
        <v>760</v>
      </c>
      <c r="J223" s="94">
        <v>0</v>
      </c>
      <c r="K223" s="94"/>
      <c r="L223" s="95"/>
    </row>
    <row r="224" spans="6:12" x14ac:dyDescent="0.35">
      <c r="F224" s="92" t="s">
        <v>1219</v>
      </c>
      <c r="G224" s="93" t="s">
        <v>601</v>
      </c>
      <c r="H224" s="93" t="s">
        <v>223</v>
      </c>
      <c r="I224" s="93" t="s">
        <v>774</v>
      </c>
      <c r="J224" s="94">
        <v>0</v>
      </c>
      <c r="K224" s="94"/>
      <c r="L224" s="95"/>
    </row>
    <row r="225" spans="6:12" x14ac:dyDescent="0.35">
      <c r="F225" s="92" t="s">
        <v>1220</v>
      </c>
      <c r="G225" s="93" t="s">
        <v>601</v>
      </c>
      <c r="H225" s="93" t="s">
        <v>223</v>
      </c>
      <c r="I225" s="93" t="s">
        <v>753</v>
      </c>
      <c r="J225" s="94">
        <v>0</v>
      </c>
      <c r="K225" s="94"/>
      <c r="L225" s="95"/>
    </row>
    <row r="226" spans="6:12" x14ac:dyDescent="0.35">
      <c r="F226" s="92" t="s">
        <v>1221</v>
      </c>
      <c r="G226" s="93" t="s">
        <v>601</v>
      </c>
      <c r="H226" s="93" t="s">
        <v>223</v>
      </c>
      <c r="I226" s="93" t="s">
        <v>757</v>
      </c>
      <c r="J226" s="94">
        <v>0</v>
      </c>
      <c r="K226" s="94"/>
      <c r="L226" s="95"/>
    </row>
    <row r="227" spans="6:12" x14ac:dyDescent="0.35">
      <c r="F227" s="92" t="s">
        <v>1222</v>
      </c>
      <c r="G227" s="93" t="s">
        <v>601</v>
      </c>
      <c r="H227" s="93" t="s">
        <v>223</v>
      </c>
      <c r="I227" s="93" t="s">
        <v>616</v>
      </c>
      <c r="J227" s="94">
        <v>0</v>
      </c>
      <c r="K227" s="94"/>
      <c r="L227" s="95"/>
    </row>
    <row r="228" spans="6:12" x14ac:dyDescent="0.35">
      <c r="F228" s="92" t="s">
        <v>1223</v>
      </c>
      <c r="G228" s="93" t="s">
        <v>601</v>
      </c>
      <c r="H228" s="93" t="s">
        <v>223</v>
      </c>
      <c r="I228" s="93" t="s">
        <v>759</v>
      </c>
      <c r="J228" s="94">
        <v>0</v>
      </c>
      <c r="K228" s="94"/>
      <c r="L228" s="95"/>
    </row>
    <row r="229" spans="6:12" x14ac:dyDescent="0.35">
      <c r="F229" s="92" t="s">
        <v>1224</v>
      </c>
      <c r="G229" s="93" t="s">
        <v>601</v>
      </c>
      <c r="H229" s="93" t="s">
        <v>223</v>
      </c>
      <c r="I229" s="93" t="s">
        <v>760</v>
      </c>
      <c r="J229" s="94">
        <v>0</v>
      </c>
      <c r="K229" s="94"/>
      <c r="L229" s="95"/>
    </row>
    <row r="230" spans="6:12" x14ac:dyDescent="0.35">
      <c r="F230" s="92" t="s">
        <v>1225</v>
      </c>
      <c r="G230" s="93" t="s">
        <v>601</v>
      </c>
      <c r="H230" s="93" t="s">
        <v>223</v>
      </c>
      <c r="I230" s="93" t="s">
        <v>656</v>
      </c>
      <c r="J230" s="94">
        <v>0</v>
      </c>
      <c r="K230" s="94"/>
      <c r="L230" s="95"/>
    </row>
    <row r="231" spans="6:12" x14ac:dyDescent="0.35">
      <c r="F231" s="92" t="s">
        <v>1226</v>
      </c>
      <c r="G231" s="93" t="s">
        <v>601</v>
      </c>
      <c r="H231" s="93" t="s">
        <v>223</v>
      </c>
      <c r="I231" s="93" t="s">
        <v>678</v>
      </c>
      <c r="J231" s="94">
        <v>0</v>
      </c>
      <c r="K231" s="94"/>
      <c r="L231" s="95"/>
    </row>
    <row r="232" spans="6:12" x14ac:dyDescent="0.35">
      <c r="F232" s="92" t="s">
        <v>1227</v>
      </c>
      <c r="G232" s="93" t="s">
        <v>601</v>
      </c>
      <c r="H232" s="93" t="s">
        <v>223</v>
      </c>
      <c r="I232" s="93" t="s">
        <v>690</v>
      </c>
      <c r="J232" s="94">
        <v>0</v>
      </c>
      <c r="K232" s="94"/>
      <c r="L232" s="95"/>
    </row>
    <row r="233" spans="6:12" x14ac:dyDescent="0.35">
      <c r="F233" s="92" t="s">
        <v>1228</v>
      </c>
      <c r="G233" s="93" t="s">
        <v>601</v>
      </c>
      <c r="H233" s="93" t="s">
        <v>223</v>
      </c>
      <c r="I233" s="93" t="s">
        <v>761</v>
      </c>
      <c r="J233" s="94">
        <v>0</v>
      </c>
      <c r="K233" s="94"/>
      <c r="L233" s="95"/>
    </row>
    <row r="234" spans="6:12" x14ac:dyDescent="0.35">
      <c r="F234" s="92" t="s">
        <v>1229</v>
      </c>
      <c r="G234" s="93" t="s">
        <v>601</v>
      </c>
      <c r="H234" s="93" t="s">
        <v>223</v>
      </c>
      <c r="I234" s="93" t="s">
        <v>764</v>
      </c>
      <c r="J234" s="94">
        <v>0</v>
      </c>
      <c r="K234" s="94"/>
      <c r="L234" s="95"/>
    </row>
    <row r="235" spans="6:12" x14ac:dyDescent="0.35">
      <c r="F235" s="92" t="s">
        <v>1230</v>
      </c>
      <c r="G235" s="93" t="s">
        <v>601</v>
      </c>
      <c r="H235" s="93" t="s">
        <v>223</v>
      </c>
      <c r="I235" s="93" t="s">
        <v>616</v>
      </c>
      <c r="J235" s="94">
        <v>0</v>
      </c>
      <c r="K235" s="94"/>
      <c r="L235" s="95"/>
    </row>
    <row r="236" spans="6:12" x14ac:dyDescent="0.35">
      <c r="F236" s="92" t="s">
        <v>1231</v>
      </c>
      <c r="G236" s="93" t="s">
        <v>601</v>
      </c>
      <c r="H236" s="93" t="s">
        <v>223</v>
      </c>
      <c r="I236" s="93" t="s">
        <v>759</v>
      </c>
      <c r="J236" s="94">
        <v>0</v>
      </c>
      <c r="K236" s="94"/>
      <c r="L236" s="95"/>
    </row>
    <row r="237" spans="6:12" x14ac:dyDescent="0.35">
      <c r="F237" s="92" t="s">
        <v>1232</v>
      </c>
      <c r="G237" s="93" t="s">
        <v>601</v>
      </c>
      <c r="H237" s="93" t="s">
        <v>223</v>
      </c>
      <c r="I237" s="93" t="s">
        <v>760</v>
      </c>
      <c r="J237" s="94">
        <v>0</v>
      </c>
      <c r="K237" s="94"/>
      <c r="L237" s="95"/>
    </row>
    <row r="238" spans="6:12" x14ac:dyDescent="0.35">
      <c r="F238" s="92" t="s">
        <v>1233</v>
      </c>
      <c r="G238" s="93" t="s">
        <v>601</v>
      </c>
      <c r="H238" s="93" t="s">
        <v>223</v>
      </c>
      <c r="I238" s="93" t="s">
        <v>779</v>
      </c>
      <c r="J238" s="94">
        <v>0</v>
      </c>
      <c r="K238" s="94"/>
      <c r="L238" s="95"/>
    </row>
    <row r="239" spans="6:12" x14ac:dyDescent="0.35">
      <c r="F239" s="92" t="s">
        <v>1234</v>
      </c>
      <c r="G239" s="93" t="s">
        <v>601</v>
      </c>
      <c r="H239" s="93" t="s">
        <v>223</v>
      </c>
      <c r="I239" s="93" t="s">
        <v>753</v>
      </c>
      <c r="J239" s="94">
        <v>0</v>
      </c>
      <c r="K239" s="94"/>
      <c r="L239" s="95"/>
    </row>
    <row r="240" spans="6:12" x14ac:dyDescent="0.35">
      <c r="F240" s="92" t="s">
        <v>1235</v>
      </c>
      <c r="G240" s="93" t="s">
        <v>601</v>
      </c>
      <c r="H240" s="93" t="s">
        <v>223</v>
      </c>
      <c r="I240" s="93" t="s">
        <v>757</v>
      </c>
      <c r="J240" s="94">
        <v>0</v>
      </c>
      <c r="K240" s="94"/>
      <c r="L240" s="95"/>
    </row>
    <row r="241" spans="6:12" x14ac:dyDescent="0.35">
      <c r="F241" s="92" t="s">
        <v>1236</v>
      </c>
      <c r="G241" s="93" t="s">
        <v>601</v>
      </c>
      <c r="H241" s="93" t="s">
        <v>223</v>
      </c>
      <c r="I241" s="93" t="s">
        <v>616</v>
      </c>
      <c r="J241" s="94">
        <v>0</v>
      </c>
      <c r="K241" s="94"/>
      <c r="L241" s="95"/>
    </row>
    <row r="242" spans="6:12" x14ac:dyDescent="0.35">
      <c r="F242" s="92" t="s">
        <v>1237</v>
      </c>
      <c r="G242" s="93" t="s">
        <v>601</v>
      </c>
      <c r="H242" s="93" t="s">
        <v>223</v>
      </c>
      <c r="I242" s="93" t="s">
        <v>759</v>
      </c>
      <c r="J242" s="94">
        <v>0</v>
      </c>
      <c r="K242" s="94"/>
      <c r="L242" s="95"/>
    </row>
    <row r="243" spans="6:12" x14ac:dyDescent="0.35">
      <c r="F243" s="92" t="s">
        <v>1238</v>
      </c>
      <c r="G243" s="93" t="s">
        <v>601</v>
      </c>
      <c r="H243" s="93" t="s">
        <v>223</v>
      </c>
      <c r="I243" s="93" t="s">
        <v>760</v>
      </c>
      <c r="J243" s="94">
        <v>0</v>
      </c>
      <c r="K243" s="94"/>
      <c r="L243" s="95"/>
    </row>
    <row r="244" spans="6:12" x14ac:dyDescent="0.35">
      <c r="F244" s="92" t="s">
        <v>1239</v>
      </c>
      <c r="G244" s="93" t="s">
        <v>601</v>
      </c>
      <c r="H244" s="93" t="s">
        <v>223</v>
      </c>
      <c r="I244" s="93" t="s">
        <v>761</v>
      </c>
      <c r="J244" s="94">
        <v>0</v>
      </c>
      <c r="K244" s="94"/>
      <c r="L244" s="95"/>
    </row>
    <row r="245" spans="6:12" x14ac:dyDescent="0.35">
      <c r="F245" s="92" t="s">
        <v>1240</v>
      </c>
      <c r="G245" s="93" t="s">
        <v>601</v>
      </c>
      <c r="H245" s="93" t="s">
        <v>223</v>
      </c>
      <c r="I245" s="93" t="s">
        <v>764</v>
      </c>
      <c r="J245" s="94">
        <v>0</v>
      </c>
      <c r="K245" s="94"/>
      <c r="L245" s="95"/>
    </row>
    <row r="246" spans="6:12" x14ac:dyDescent="0.35">
      <c r="F246" s="92" t="s">
        <v>1241</v>
      </c>
      <c r="G246" s="93" t="s">
        <v>601</v>
      </c>
      <c r="H246" s="93" t="s">
        <v>223</v>
      </c>
      <c r="I246" s="93" t="s">
        <v>616</v>
      </c>
      <c r="J246" s="94">
        <v>0</v>
      </c>
      <c r="K246" s="94"/>
      <c r="L246" s="95"/>
    </row>
    <row r="247" spans="6:12" x14ac:dyDescent="0.35">
      <c r="F247" s="92" t="s">
        <v>1242</v>
      </c>
      <c r="G247" s="93" t="s">
        <v>601</v>
      </c>
      <c r="H247" s="93" t="s">
        <v>223</v>
      </c>
      <c r="I247" s="93" t="s">
        <v>759</v>
      </c>
      <c r="J247" s="94">
        <v>0</v>
      </c>
      <c r="K247" s="94"/>
      <c r="L247" s="95"/>
    </row>
    <row r="248" spans="6:12" x14ac:dyDescent="0.35">
      <c r="F248" s="92" t="s">
        <v>1243</v>
      </c>
      <c r="G248" s="93" t="s">
        <v>601</v>
      </c>
      <c r="H248" s="93" t="s">
        <v>223</v>
      </c>
      <c r="I248" s="93" t="s">
        <v>760</v>
      </c>
      <c r="J248" s="94">
        <v>0</v>
      </c>
      <c r="K248" s="94"/>
      <c r="L248" s="95"/>
    </row>
    <row r="249" spans="6:12" x14ac:dyDescent="0.35">
      <c r="F249" s="92" t="s">
        <v>1244</v>
      </c>
      <c r="G249" s="93" t="s">
        <v>601</v>
      </c>
      <c r="H249" s="93" t="s">
        <v>223</v>
      </c>
      <c r="I249" s="93" t="s">
        <v>753</v>
      </c>
      <c r="J249" s="94">
        <v>0</v>
      </c>
      <c r="K249" s="94"/>
      <c r="L249" s="95"/>
    </row>
    <row r="250" spans="6:12" x14ac:dyDescent="0.35">
      <c r="F250" s="92" t="s">
        <v>1245</v>
      </c>
      <c r="G250" s="93" t="s">
        <v>601</v>
      </c>
      <c r="H250" s="93" t="s">
        <v>223</v>
      </c>
      <c r="I250" s="93" t="s">
        <v>757</v>
      </c>
      <c r="J250" s="94">
        <v>0</v>
      </c>
      <c r="K250" s="94"/>
      <c r="L250" s="95"/>
    </row>
    <row r="251" spans="6:12" x14ac:dyDescent="0.35">
      <c r="F251" s="92" t="s">
        <v>1246</v>
      </c>
      <c r="G251" s="93" t="s">
        <v>601</v>
      </c>
      <c r="H251" s="93" t="s">
        <v>223</v>
      </c>
      <c r="I251" s="93" t="s">
        <v>616</v>
      </c>
      <c r="J251" s="94">
        <v>0</v>
      </c>
      <c r="K251" s="94"/>
      <c r="L251" s="95"/>
    </row>
    <row r="252" spans="6:12" x14ac:dyDescent="0.35">
      <c r="F252" s="92" t="s">
        <v>1247</v>
      </c>
      <c r="G252" s="93" t="s">
        <v>601</v>
      </c>
      <c r="H252" s="93" t="s">
        <v>223</v>
      </c>
      <c r="I252" s="93" t="s">
        <v>759</v>
      </c>
      <c r="J252" s="94">
        <v>0</v>
      </c>
      <c r="K252" s="94"/>
      <c r="L252" s="95"/>
    </row>
    <row r="253" spans="6:12" x14ac:dyDescent="0.35">
      <c r="F253" s="92" t="s">
        <v>1248</v>
      </c>
      <c r="G253" s="93" t="s">
        <v>601</v>
      </c>
      <c r="H253" s="93" t="s">
        <v>223</v>
      </c>
      <c r="I253" s="93" t="s">
        <v>760</v>
      </c>
      <c r="J253" s="94">
        <v>0</v>
      </c>
      <c r="K253" s="94"/>
      <c r="L253" s="95"/>
    </row>
    <row r="254" spans="6:12" x14ac:dyDescent="0.35">
      <c r="F254" s="92" t="s">
        <v>1249</v>
      </c>
      <c r="G254" s="93" t="s">
        <v>601</v>
      </c>
      <c r="H254" s="93" t="s">
        <v>223</v>
      </c>
      <c r="I254" s="93" t="s">
        <v>786</v>
      </c>
      <c r="J254" s="94">
        <v>0</v>
      </c>
      <c r="K254" s="94"/>
      <c r="L254" s="95"/>
    </row>
    <row r="255" spans="6:12" x14ac:dyDescent="0.35">
      <c r="F255" s="92" t="s">
        <v>1250</v>
      </c>
      <c r="G255" s="93" t="s">
        <v>601</v>
      </c>
      <c r="H255" s="93" t="s">
        <v>223</v>
      </c>
      <c r="I255" s="93" t="s">
        <v>656</v>
      </c>
      <c r="J255" s="94">
        <v>0</v>
      </c>
      <c r="K255" s="94"/>
      <c r="L255" s="95"/>
    </row>
    <row r="256" spans="6:12" x14ac:dyDescent="0.35">
      <c r="F256" s="92" t="s">
        <v>1251</v>
      </c>
      <c r="G256" s="93" t="s">
        <v>601</v>
      </c>
      <c r="H256" s="93" t="s">
        <v>223</v>
      </c>
      <c r="I256" s="93" t="s">
        <v>761</v>
      </c>
      <c r="J256" s="94">
        <v>0</v>
      </c>
      <c r="K256" s="94"/>
      <c r="L256" s="95"/>
    </row>
    <row r="257" spans="6:12" x14ac:dyDescent="0.35">
      <c r="F257" s="92" t="s">
        <v>1252</v>
      </c>
      <c r="G257" s="93" t="s">
        <v>601</v>
      </c>
      <c r="H257" s="93" t="s">
        <v>223</v>
      </c>
      <c r="I257" s="93" t="s">
        <v>764</v>
      </c>
      <c r="J257" s="94">
        <v>0</v>
      </c>
      <c r="K257" s="94"/>
      <c r="L257" s="95"/>
    </row>
    <row r="258" spans="6:12" x14ac:dyDescent="0.35">
      <c r="F258" s="92" t="s">
        <v>1253</v>
      </c>
      <c r="G258" s="93" t="s">
        <v>601</v>
      </c>
      <c r="H258" s="93" t="s">
        <v>223</v>
      </c>
      <c r="I258" s="93" t="s">
        <v>616</v>
      </c>
      <c r="J258" s="94">
        <v>0</v>
      </c>
      <c r="K258" s="94"/>
      <c r="L258" s="95"/>
    </row>
    <row r="259" spans="6:12" x14ac:dyDescent="0.35">
      <c r="F259" s="92" t="s">
        <v>1254</v>
      </c>
      <c r="G259" s="93" t="s">
        <v>601</v>
      </c>
      <c r="H259" s="93" t="s">
        <v>223</v>
      </c>
      <c r="I259" s="93" t="s">
        <v>759</v>
      </c>
      <c r="J259" s="94">
        <v>0</v>
      </c>
      <c r="K259" s="94"/>
      <c r="L259" s="95"/>
    </row>
    <row r="260" spans="6:12" x14ac:dyDescent="0.35">
      <c r="F260" s="92" t="s">
        <v>1255</v>
      </c>
      <c r="G260" s="93" t="s">
        <v>601</v>
      </c>
      <c r="H260" s="93" t="s">
        <v>223</v>
      </c>
      <c r="I260" s="93" t="s">
        <v>760</v>
      </c>
      <c r="J260" s="94">
        <v>0</v>
      </c>
      <c r="K260" s="94"/>
      <c r="L260" s="95"/>
    </row>
    <row r="261" spans="6:12" x14ac:dyDescent="0.35">
      <c r="F261" s="92" t="s">
        <v>1256</v>
      </c>
      <c r="G261" s="93" t="s">
        <v>601</v>
      </c>
      <c r="H261" s="93" t="s">
        <v>223</v>
      </c>
      <c r="I261" s="93" t="s">
        <v>753</v>
      </c>
      <c r="J261" s="94">
        <v>0</v>
      </c>
      <c r="K261" s="94"/>
      <c r="L261" s="95"/>
    </row>
    <row r="262" spans="6:12" x14ac:dyDescent="0.35">
      <c r="F262" s="92" t="s">
        <v>1257</v>
      </c>
      <c r="G262" s="93" t="s">
        <v>601</v>
      </c>
      <c r="H262" s="93" t="s">
        <v>223</v>
      </c>
      <c r="I262" s="93" t="s">
        <v>757</v>
      </c>
      <c r="J262" s="94">
        <v>0</v>
      </c>
      <c r="K262" s="94"/>
      <c r="L262" s="95"/>
    </row>
    <row r="263" spans="6:12" x14ac:dyDescent="0.35">
      <c r="F263" s="92" t="s">
        <v>1258</v>
      </c>
      <c r="G263" s="93" t="s">
        <v>601</v>
      </c>
      <c r="H263" s="93" t="s">
        <v>223</v>
      </c>
      <c r="I263" s="93" t="s">
        <v>616</v>
      </c>
      <c r="J263" s="94">
        <v>0</v>
      </c>
      <c r="K263" s="94"/>
      <c r="L263" s="95"/>
    </row>
    <row r="264" spans="6:12" x14ac:dyDescent="0.35">
      <c r="F264" s="92" t="s">
        <v>1259</v>
      </c>
      <c r="G264" s="93" t="s">
        <v>601</v>
      </c>
      <c r="H264" s="93" t="s">
        <v>223</v>
      </c>
      <c r="I264" s="93" t="s">
        <v>759</v>
      </c>
      <c r="J264" s="94">
        <v>0</v>
      </c>
      <c r="K264" s="94"/>
      <c r="L264" s="95"/>
    </row>
    <row r="265" spans="6:12" x14ac:dyDescent="0.35">
      <c r="F265" s="92" t="s">
        <v>1260</v>
      </c>
      <c r="G265" s="93" t="s">
        <v>601</v>
      </c>
      <c r="H265" s="93" t="s">
        <v>223</v>
      </c>
      <c r="I265" s="93" t="s">
        <v>690</v>
      </c>
      <c r="J265" s="94">
        <v>0</v>
      </c>
      <c r="K265" s="94"/>
      <c r="L265" s="95"/>
    </row>
    <row r="266" spans="6:12" x14ac:dyDescent="0.35">
      <c r="F266" s="92" t="s">
        <v>1261</v>
      </c>
      <c r="G266" s="93" t="s">
        <v>601</v>
      </c>
      <c r="H266" s="93" t="s">
        <v>223</v>
      </c>
      <c r="I266" s="93" t="s">
        <v>761</v>
      </c>
      <c r="J266" s="94">
        <v>0</v>
      </c>
      <c r="K266" s="94"/>
      <c r="L266" s="95"/>
    </row>
    <row r="267" spans="6:12" x14ac:dyDescent="0.35">
      <c r="F267" s="92" t="s">
        <v>1262</v>
      </c>
      <c r="G267" s="93" t="s">
        <v>601</v>
      </c>
      <c r="H267" s="93" t="s">
        <v>223</v>
      </c>
      <c r="I267" s="93" t="s">
        <v>764</v>
      </c>
      <c r="J267" s="94">
        <v>0</v>
      </c>
      <c r="K267" s="94"/>
      <c r="L267" s="95"/>
    </row>
    <row r="268" spans="6:12" x14ac:dyDescent="0.35">
      <c r="F268" s="92" t="s">
        <v>1263</v>
      </c>
      <c r="G268" s="93" t="s">
        <v>601</v>
      </c>
      <c r="H268" s="93" t="s">
        <v>223</v>
      </c>
      <c r="I268" s="93" t="s">
        <v>616</v>
      </c>
      <c r="J268" s="94">
        <v>0</v>
      </c>
      <c r="K268" s="94"/>
      <c r="L268" s="95"/>
    </row>
    <row r="269" spans="6:12" x14ac:dyDescent="0.35">
      <c r="F269" s="92" t="s">
        <v>1264</v>
      </c>
      <c r="G269" s="93" t="s">
        <v>601</v>
      </c>
      <c r="H269" s="93" t="s">
        <v>223</v>
      </c>
      <c r="I269" s="93" t="s">
        <v>759</v>
      </c>
      <c r="J269" s="94">
        <v>0</v>
      </c>
      <c r="K269" s="94"/>
      <c r="L269" s="95"/>
    </row>
    <row r="270" spans="6:12" x14ac:dyDescent="0.35">
      <c r="F270" s="92" t="s">
        <v>1265</v>
      </c>
      <c r="G270" s="93" t="s">
        <v>601</v>
      </c>
      <c r="H270" s="93" t="s">
        <v>223</v>
      </c>
      <c r="I270" s="93" t="s">
        <v>760</v>
      </c>
      <c r="J270" s="94">
        <v>0</v>
      </c>
      <c r="K270" s="94"/>
      <c r="L270" s="95"/>
    </row>
    <row r="271" spans="6:12" x14ac:dyDescent="0.35">
      <c r="F271" s="92" t="s">
        <v>1266</v>
      </c>
      <c r="G271" s="93" t="s">
        <v>601</v>
      </c>
      <c r="H271" s="93" t="s">
        <v>223</v>
      </c>
      <c r="I271" s="93" t="s">
        <v>690</v>
      </c>
      <c r="J271" s="94">
        <v>0</v>
      </c>
      <c r="K271" s="94"/>
      <c r="L271" s="95"/>
    </row>
    <row r="272" spans="6:12" x14ac:dyDescent="0.35">
      <c r="F272" s="92" t="s">
        <v>1267</v>
      </c>
      <c r="G272" s="93" t="s">
        <v>601</v>
      </c>
      <c r="H272" s="93" t="s">
        <v>223</v>
      </c>
      <c r="I272" s="93" t="s">
        <v>678</v>
      </c>
      <c r="J272" s="94">
        <v>0</v>
      </c>
      <c r="K272" s="94"/>
      <c r="L272" s="95"/>
    </row>
    <row r="273" spans="6:12" x14ac:dyDescent="0.35">
      <c r="F273" s="92" t="s">
        <v>1268</v>
      </c>
      <c r="G273" s="93" t="s">
        <v>601</v>
      </c>
      <c r="H273" s="93" t="s">
        <v>223</v>
      </c>
      <c r="I273" s="93" t="s">
        <v>753</v>
      </c>
      <c r="J273" s="94">
        <v>0</v>
      </c>
      <c r="K273" s="94"/>
      <c r="L273" s="95"/>
    </row>
    <row r="274" spans="6:12" x14ac:dyDescent="0.35">
      <c r="F274" s="92" t="s">
        <v>1269</v>
      </c>
      <c r="G274" s="93" t="s">
        <v>601</v>
      </c>
      <c r="H274" s="93" t="s">
        <v>223</v>
      </c>
      <c r="I274" s="93" t="s">
        <v>757</v>
      </c>
      <c r="J274" s="94">
        <v>0</v>
      </c>
      <c r="K274" s="94"/>
      <c r="L274" s="95"/>
    </row>
    <row r="275" spans="6:12" x14ac:dyDescent="0.35">
      <c r="F275" s="92" t="s">
        <v>1270</v>
      </c>
      <c r="G275" s="93" t="s">
        <v>601</v>
      </c>
      <c r="H275" s="93" t="s">
        <v>223</v>
      </c>
      <c r="I275" s="93" t="s">
        <v>616</v>
      </c>
      <c r="J275" s="94">
        <v>0</v>
      </c>
      <c r="K275" s="94"/>
      <c r="L275" s="95"/>
    </row>
    <row r="276" spans="6:12" x14ac:dyDescent="0.35">
      <c r="F276" s="92" t="s">
        <v>1271</v>
      </c>
      <c r="G276" s="93" t="s">
        <v>601</v>
      </c>
      <c r="H276" s="93" t="s">
        <v>223</v>
      </c>
      <c r="I276" s="93" t="s">
        <v>759</v>
      </c>
      <c r="J276" s="94">
        <v>0</v>
      </c>
      <c r="K276" s="94"/>
      <c r="L276" s="95"/>
    </row>
    <row r="277" spans="6:12" x14ac:dyDescent="0.35">
      <c r="F277" s="92" t="s">
        <v>1272</v>
      </c>
      <c r="G277" s="93" t="s">
        <v>601</v>
      </c>
      <c r="H277" s="93" t="s">
        <v>223</v>
      </c>
      <c r="I277" s="93" t="s">
        <v>654</v>
      </c>
      <c r="J277" s="94">
        <v>0</v>
      </c>
      <c r="K277" s="94"/>
      <c r="L277" s="95"/>
    </row>
    <row r="278" spans="6:12" x14ac:dyDescent="0.35">
      <c r="F278" s="92" t="s">
        <v>1273</v>
      </c>
      <c r="G278" s="93" t="s">
        <v>601</v>
      </c>
      <c r="H278" s="93" t="s">
        <v>223</v>
      </c>
      <c r="I278" s="93" t="s">
        <v>732</v>
      </c>
      <c r="J278" s="94">
        <v>0</v>
      </c>
      <c r="K278" s="94"/>
      <c r="L278" s="95"/>
    </row>
    <row r="279" spans="6:12" x14ac:dyDescent="0.35">
      <c r="F279" s="92" t="s">
        <v>1274</v>
      </c>
      <c r="G279" s="93" t="s">
        <v>601</v>
      </c>
      <c r="H279" s="93" t="s">
        <v>223</v>
      </c>
      <c r="I279" s="93" t="s">
        <v>795</v>
      </c>
      <c r="J279" s="94">
        <v>0</v>
      </c>
      <c r="K279" s="94"/>
      <c r="L279" s="95"/>
    </row>
    <row r="280" spans="6:12" x14ac:dyDescent="0.35">
      <c r="F280" s="92" t="s">
        <v>1275</v>
      </c>
      <c r="G280" s="93" t="s">
        <v>601</v>
      </c>
      <c r="H280" s="93" t="s">
        <v>223</v>
      </c>
      <c r="I280" s="93" t="s">
        <v>678</v>
      </c>
      <c r="J280" s="94">
        <v>0</v>
      </c>
      <c r="K280" s="94"/>
      <c r="L280" s="95"/>
    </row>
    <row r="281" spans="6:12" x14ac:dyDescent="0.35">
      <c r="F281" s="92" t="s">
        <v>1276</v>
      </c>
      <c r="G281" s="93" t="s">
        <v>601</v>
      </c>
      <c r="H281" s="93" t="s">
        <v>223</v>
      </c>
      <c r="I281" s="93" t="s">
        <v>690</v>
      </c>
      <c r="J281" s="94">
        <v>0</v>
      </c>
      <c r="K281" s="94"/>
      <c r="L281" s="95"/>
    </row>
    <row r="282" spans="6:12" x14ac:dyDescent="0.35">
      <c r="F282" s="92" t="s">
        <v>1277</v>
      </c>
      <c r="G282" s="93" t="s">
        <v>601</v>
      </c>
      <c r="H282" s="93" t="s">
        <v>223</v>
      </c>
      <c r="I282" s="93" t="s">
        <v>761</v>
      </c>
      <c r="J282" s="94">
        <v>0</v>
      </c>
      <c r="K282" s="94"/>
      <c r="L282" s="95"/>
    </row>
    <row r="283" spans="6:12" x14ac:dyDescent="0.35">
      <c r="F283" s="92" t="s">
        <v>1278</v>
      </c>
      <c r="G283" s="93" t="s">
        <v>601</v>
      </c>
      <c r="H283" s="93" t="s">
        <v>223</v>
      </c>
      <c r="I283" s="93" t="s">
        <v>764</v>
      </c>
      <c r="J283" s="94">
        <v>0</v>
      </c>
      <c r="K283" s="94"/>
      <c r="L283" s="95"/>
    </row>
    <row r="284" spans="6:12" x14ac:dyDescent="0.35">
      <c r="F284" s="92" t="s">
        <v>1279</v>
      </c>
      <c r="G284" s="93" t="s">
        <v>601</v>
      </c>
      <c r="H284" s="93" t="s">
        <v>223</v>
      </c>
      <c r="I284" s="93" t="s">
        <v>616</v>
      </c>
      <c r="J284" s="94">
        <v>0</v>
      </c>
      <c r="K284" s="94"/>
      <c r="L284" s="95"/>
    </row>
    <row r="285" spans="6:12" x14ac:dyDescent="0.35">
      <c r="F285" s="92" t="s">
        <v>1280</v>
      </c>
      <c r="G285" s="93" t="s">
        <v>601</v>
      </c>
      <c r="H285" s="93" t="s">
        <v>223</v>
      </c>
      <c r="I285" s="93" t="s">
        <v>759</v>
      </c>
      <c r="J285" s="94">
        <v>0</v>
      </c>
      <c r="K285" s="94"/>
      <c r="L285" s="95"/>
    </row>
    <row r="286" spans="6:12" x14ac:dyDescent="0.35">
      <c r="F286" s="92" t="s">
        <v>1281</v>
      </c>
      <c r="G286" s="93" t="s">
        <v>601</v>
      </c>
      <c r="H286" s="93" t="s">
        <v>223</v>
      </c>
      <c r="I286" s="93" t="s">
        <v>760</v>
      </c>
      <c r="J286" s="94">
        <v>0</v>
      </c>
      <c r="K286" s="94"/>
      <c r="L286" s="95"/>
    </row>
    <row r="287" spans="6:12" x14ac:dyDescent="0.35">
      <c r="F287" s="92" t="s">
        <v>1282</v>
      </c>
      <c r="G287" s="93" t="s">
        <v>601</v>
      </c>
      <c r="H287" s="93" t="s">
        <v>223</v>
      </c>
      <c r="I287" s="93" t="s">
        <v>656</v>
      </c>
      <c r="J287" s="94">
        <v>0</v>
      </c>
      <c r="K287" s="94"/>
      <c r="L287" s="95"/>
    </row>
    <row r="288" spans="6:12" x14ac:dyDescent="0.35">
      <c r="F288" s="92" t="s">
        <v>1283</v>
      </c>
      <c r="G288" s="93" t="s">
        <v>601</v>
      </c>
      <c r="H288" s="93" t="s">
        <v>223</v>
      </c>
      <c r="I288" s="93" t="s">
        <v>797</v>
      </c>
      <c r="J288" s="94">
        <v>0</v>
      </c>
      <c r="K288" s="94"/>
      <c r="L288" s="95"/>
    </row>
    <row r="289" spans="6:12" x14ac:dyDescent="0.35">
      <c r="F289" s="92" t="s">
        <v>1284</v>
      </c>
      <c r="G289" s="93" t="s">
        <v>601</v>
      </c>
      <c r="H289" s="93" t="s">
        <v>223</v>
      </c>
      <c r="I289" s="93" t="s">
        <v>799</v>
      </c>
      <c r="J289" s="94">
        <v>0</v>
      </c>
      <c r="K289" s="94"/>
      <c r="L289" s="95"/>
    </row>
    <row r="290" spans="6:12" x14ac:dyDescent="0.35">
      <c r="F290" s="92" t="s">
        <v>1285</v>
      </c>
      <c r="G290" s="93" t="s">
        <v>601</v>
      </c>
      <c r="H290" s="93" t="s">
        <v>223</v>
      </c>
      <c r="I290" s="93" t="s">
        <v>801</v>
      </c>
      <c r="J290" s="94">
        <v>0</v>
      </c>
      <c r="K290" s="94"/>
      <c r="L290" s="95"/>
    </row>
    <row r="291" spans="6:12" x14ac:dyDescent="0.35">
      <c r="F291" s="92" t="s">
        <v>1286</v>
      </c>
      <c r="G291" s="93" t="s">
        <v>804</v>
      </c>
      <c r="H291" s="93" t="s">
        <v>223</v>
      </c>
      <c r="I291" s="93" t="s">
        <v>636</v>
      </c>
      <c r="J291" s="94">
        <v>1906.92</v>
      </c>
      <c r="K291" s="94"/>
      <c r="L291" s="95"/>
    </row>
    <row r="292" spans="6:12" x14ac:dyDescent="0.35">
      <c r="F292" s="92" t="s">
        <v>1287</v>
      </c>
      <c r="G292" s="93" t="s">
        <v>804</v>
      </c>
      <c r="H292" s="93" t="s">
        <v>223</v>
      </c>
      <c r="I292" s="93" t="s">
        <v>808</v>
      </c>
      <c r="J292" s="94">
        <v>6279.1</v>
      </c>
      <c r="K292" s="94"/>
      <c r="L292" s="95"/>
    </row>
    <row r="293" spans="6:12" x14ac:dyDescent="0.35">
      <c r="F293" s="92" t="s">
        <v>1288</v>
      </c>
      <c r="G293" s="93" t="s">
        <v>804</v>
      </c>
      <c r="H293" s="93" t="s">
        <v>223</v>
      </c>
      <c r="I293" s="93" t="s">
        <v>621</v>
      </c>
      <c r="J293" s="94">
        <v>10011.67</v>
      </c>
      <c r="K293" s="94"/>
      <c r="L293" s="95"/>
    </row>
    <row r="294" spans="6:12" x14ac:dyDescent="0.35">
      <c r="F294" s="92" t="s">
        <v>1289</v>
      </c>
      <c r="G294" s="93" t="s">
        <v>804</v>
      </c>
      <c r="H294" s="93" t="s">
        <v>223</v>
      </c>
      <c r="I294" s="93" t="s">
        <v>814</v>
      </c>
      <c r="J294" s="94">
        <v>615.6</v>
      </c>
      <c r="K294" s="94"/>
      <c r="L294" s="95"/>
    </row>
    <row r="295" spans="6:12" x14ac:dyDescent="0.35">
      <c r="F295" s="92" t="s">
        <v>1290</v>
      </c>
      <c r="G295" s="93" t="s">
        <v>804</v>
      </c>
      <c r="H295" s="93" t="s">
        <v>223</v>
      </c>
      <c r="I295" s="93" t="s">
        <v>621</v>
      </c>
      <c r="J295" s="94">
        <v>5143.8</v>
      </c>
      <c r="K295" s="94"/>
      <c r="L295" s="95"/>
    </row>
    <row r="296" spans="6:12" x14ac:dyDescent="0.35">
      <c r="F296" s="92" t="s">
        <v>1291</v>
      </c>
      <c r="G296" s="93" t="s">
        <v>804</v>
      </c>
      <c r="H296" s="93" t="s">
        <v>223</v>
      </c>
      <c r="I296" s="93" t="s">
        <v>819</v>
      </c>
      <c r="J296" s="94">
        <v>3391.42</v>
      </c>
      <c r="K296" s="94"/>
      <c r="L296" s="95"/>
    </row>
    <row r="297" spans="6:12" x14ac:dyDescent="0.35">
      <c r="F297" s="92" t="s">
        <v>1292</v>
      </c>
      <c r="G297" s="93" t="s">
        <v>804</v>
      </c>
      <c r="H297" s="93" t="s">
        <v>223</v>
      </c>
      <c r="I297" s="93" t="s">
        <v>823</v>
      </c>
      <c r="J297" s="94">
        <v>1269.28</v>
      </c>
      <c r="K297" s="94"/>
      <c r="L297" s="95"/>
    </row>
    <row r="298" spans="6:12" x14ac:dyDescent="0.35">
      <c r="F298" s="92" t="s">
        <v>1293</v>
      </c>
      <c r="G298" s="93" t="s">
        <v>804</v>
      </c>
      <c r="H298" s="93" t="s">
        <v>223</v>
      </c>
      <c r="I298" s="93" t="s">
        <v>828</v>
      </c>
      <c r="J298" s="94">
        <v>2072.5700000000002</v>
      </c>
      <c r="K298" s="94"/>
      <c r="L298" s="95"/>
    </row>
    <row r="299" spans="6:12" x14ac:dyDescent="0.35">
      <c r="F299" s="92" t="s">
        <v>1294</v>
      </c>
      <c r="G299" s="93" t="s">
        <v>804</v>
      </c>
      <c r="H299" s="93" t="s">
        <v>223</v>
      </c>
      <c r="I299" s="93" t="s">
        <v>832</v>
      </c>
      <c r="J299" s="94">
        <v>1221.32</v>
      </c>
      <c r="K299" s="94"/>
      <c r="L299" s="95"/>
    </row>
    <row r="300" spans="6:12" x14ac:dyDescent="0.35">
      <c r="F300" s="92" t="s">
        <v>1295</v>
      </c>
      <c r="G300" s="93" t="s">
        <v>804</v>
      </c>
      <c r="H300" s="93" t="s">
        <v>223</v>
      </c>
      <c r="I300" s="93" t="s">
        <v>835</v>
      </c>
      <c r="J300" s="94">
        <v>613.87</v>
      </c>
      <c r="K300" s="94"/>
      <c r="L300" s="95"/>
    </row>
    <row r="301" spans="6:12" x14ac:dyDescent="0.35">
      <c r="F301" s="92" t="s">
        <v>1296</v>
      </c>
      <c r="G301" s="93" t="s">
        <v>804</v>
      </c>
      <c r="H301" s="93" t="s">
        <v>223</v>
      </c>
      <c r="I301" s="93" t="s">
        <v>838</v>
      </c>
      <c r="J301" s="94">
        <v>1434.9</v>
      </c>
      <c r="K301" s="94"/>
      <c r="L301" s="95"/>
    </row>
    <row r="302" spans="6:12" x14ac:dyDescent="0.35">
      <c r="F302" s="92" t="s">
        <v>1297</v>
      </c>
      <c r="G302" s="93" t="s">
        <v>804</v>
      </c>
      <c r="H302" s="93" t="s">
        <v>223</v>
      </c>
      <c r="I302" s="93" t="s">
        <v>842</v>
      </c>
      <c r="J302" s="94">
        <v>1140.04</v>
      </c>
      <c r="K302" s="94"/>
      <c r="L302" s="95"/>
    </row>
    <row r="303" spans="6:12" x14ac:dyDescent="0.35">
      <c r="F303" s="92" t="s">
        <v>1298</v>
      </c>
      <c r="G303" s="93" t="s">
        <v>804</v>
      </c>
      <c r="H303" s="93" t="s">
        <v>223</v>
      </c>
      <c r="I303" s="93" t="s">
        <v>846</v>
      </c>
      <c r="J303" s="94">
        <v>945.75</v>
      </c>
      <c r="K303" s="94"/>
      <c r="L303" s="95"/>
    </row>
    <row r="304" spans="6:12" x14ac:dyDescent="0.35">
      <c r="F304" s="92" t="s">
        <v>1299</v>
      </c>
      <c r="G304" s="93" t="s">
        <v>804</v>
      </c>
      <c r="H304" s="93" t="s">
        <v>223</v>
      </c>
      <c r="I304" s="93" t="s">
        <v>850</v>
      </c>
      <c r="J304" s="94">
        <v>1122.19</v>
      </c>
      <c r="K304" s="94"/>
      <c r="L304" s="95"/>
    </row>
    <row r="305" spans="6:12" x14ac:dyDescent="0.35">
      <c r="F305" s="92" t="s">
        <v>1300</v>
      </c>
      <c r="G305" s="93" t="s">
        <v>804</v>
      </c>
      <c r="H305" s="93" t="s">
        <v>223</v>
      </c>
      <c r="I305" s="93" t="s">
        <v>854</v>
      </c>
      <c r="J305" s="94">
        <v>487.62</v>
      </c>
      <c r="K305" s="94"/>
      <c r="L305" s="95"/>
    </row>
    <row r="306" spans="6:12" x14ac:dyDescent="0.35">
      <c r="F306" s="92" t="s">
        <v>1301</v>
      </c>
      <c r="G306" s="93" t="s">
        <v>804</v>
      </c>
      <c r="H306" s="93" t="s">
        <v>223</v>
      </c>
      <c r="I306" s="93" t="s">
        <v>842</v>
      </c>
      <c r="J306" s="94">
        <v>1140.04</v>
      </c>
      <c r="K306" s="94"/>
      <c r="L306" s="95"/>
    </row>
    <row r="307" spans="6:12" x14ac:dyDescent="0.35">
      <c r="F307" s="92" t="s">
        <v>1302</v>
      </c>
      <c r="G307" s="93" t="s">
        <v>804</v>
      </c>
      <c r="H307" s="93" t="s">
        <v>223</v>
      </c>
      <c r="I307" s="93" t="s">
        <v>846</v>
      </c>
      <c r="J307" s="94">
        <v>945.75</v>
      </c>
      <c r="K307" s="94"/>
      <c r="L307" s="95"/>
    </row>
    <row r="308" spans="6:12" x14ac:dyDescent="0.35">
      <c r="F308" s="92" t="s">
        <v>1303</v>
      </c>
      <c r="G308" s="93" t="s">
        <v>804</v>
      </c>
      <c r="H308" s="93" t="s">
        <v>223</v>
      </c>
      <c r="I308" s="93" t="s">
        <v>850</v>
      </c>
      <c r="J308" s="94">
        <v>1122.19</v>
      </c>
      <c r="K308" s="94"/>
      <c r="L308" s="95"/>
    </row>
    <row r="309" spans="6:12" x14ac:dyDescent="0.35">
      <c r="F309" s="92" t="s">
        <v>1304</v>
      </c>
      <c r="G309" s="93" t="s">
        <v>804</v>
      </c>
      <c r="H309" s="93" t="s">
        <v>223</v>
      </c>
      <c r="I309" s="93" t="s">
        <v>854</v>
      </c>
      <c r="J309" s="94">
        <v>487.62</v>
      </c>
      <c r="K309" s="94"/>
      <c r="L309" s="95"/>
    </row>
    <row r="310" spans="6:12" x14ac:dyDescent="0.35">
      <c r="F310" s="92" t="s">
        <v>1305</v>
      </c>
      <c r="G310" s="93" t="s">
        <v>804</v>
      </c>
      <c r="H310" s="93" t="s">
        <v>223</v>
      </c>
      <c r="I310" s="93" t="s">
        <v>842</v>
      </c>
      <c r="J310" s="94">
        <v>1140.04</v>
      </c>
      <c r="K310" s="94"/>
      <c r="L310" s="95"/>
    </row>
    <row r="311" spans="6:12" x14ac:dyDescent="0.35">
      <c r="F311" s="92" t="s">
        <v>1306</v>
      </c>
      <c r="G311" s="93" t="s">
        <v>804</v>
      </c>
      <c r="H311" s="93" t="s">
        <v>223</v>
      </c>
      <c r="I311" s="93" t="s">
        <v>846</v>
      </c>
      <c r="J311" s="94">
        <v>945.75</v>
      </c>
      <c r="K311" s="94"/>
      <c r="L311" s="95"/>
    </row>
    <row r="312" spans="6:12" x14ac:dyDescent="0.35">
      <c r="F312" s="92" t="s">
        <v>1307</v>
      </c>
      <c r="G312" s="93" t="s">
        <v>804</v>
      </c>
      <c r="H312" s="93" t="s">
        <v>223</v>
      </c>
      <c r="I312" s="93" t="s">
        <v>850</v>
      </c>
      <c r="J312" s="94">
        <v>1122.19</v>
      </c>
      <c r="K312" s="94"/>
      <c r="L312" s="95"/>
    </row>
    <row r="313" spans="6:12" x14ac:dyDescent="0.35">
      <c r="F313" s="92" t="s">
        <v>1308</v>
      </c>
      <c r="G313" s="93" t="s">
        <v>804</v>
      </c>
      <c r="H313" s="93" t="s">
        <v>223</v>
      </c>
      <c r="I313" s="93" t="s">
        <v>854</v>
      </c>
      <c r="J313" s="94">
        <v>487.62</v>
      </c>
      <c r="K313" s="94"/>
      <c r="L313" s="95"/>
    </row>
    <row r="314" spans="6:12" x14ac:dyDescent="0.35">
      <c r="F314" s="92" t="s">
        <v>1309</v>
      </c>
      <c r="G314" s="93" t="s">
        <v>804</v>
      </c>
      <c r="H314" s="93" t="s">
        <v>223</v>
      </c>
      <c r="I314" s="93" t="s">
        <v>842</v>
      </c>
      <c r="J314" s="94">
        <v>1140.04</v>
      </c>
      <c r="K314" s="94"/>
      <c r="L314" s="95"/>
    </row>
    <row r="315" spans="6:12" x14ac:dyDescent="0.35">
      <c r="F315" s="92" t="s">
        <v>1310</v>
      </c>
      <c r="G315" s="93" t="s">
        <v>804</v>
      </c>
      <c r="H315" s="93" t="s">
        <v>223</v>
      </c>
      <c r="I315" s="93" t="s">
        <v>846</v>
      </c>
      <c r="J315" s="94">
        <v>945.75</v>
      </c>
      <c r="K315" s="94"/>
      <c r="L315" s="95"/>
    </row>
    <row r="316" spans="6:12" x14ac:dyDescent="0.35">
      <c r="F316" s="92" t="s">
        <v>1311</v>
      </c>
      <c r="G316" s="93" t="s">
        <v>804</v>
      </c>
      <c r="H316" s="93" t="s">
        <v>223</v>
      </c>
      <c r="I316" s="93" t="s">
        <v>850</v>
      </c>
      <c r="J316" s="94">
        <v>1122.19</v>
      </c>
      <c r="K316" s="94"/>
      <c r="L316" s="95"/>
    </row>
    <row r="317" spans="6:12" x14ac:dyDescent="0.35">
      <c r="F317" s="92" t="s">
        <v>1312</v>
      </c>
      <c r="G317" s="93" t="s">
        <v>804</v>
      </c>
      <c r="H317" s="93" t="s">
        <v>223</v>
      </c>
      <c r="I317" s="93" t="s">
        <v>854</v>
      </c>
      <c r="J317" s="94">
        <v>487.62</v>
      </c>
      <c r="K317" s="94"/>
      <c r="L317" s="95"/>
    </row>
    <row r="318" spans="6:12" x14ac:dyDescent="0.35">
      <c r="F318" s="92" t="s">
        <v>1313</v>
      </c>
      <c r="G318" s="93" t="s">
        <v>804</v>
      </c>
      <c r="H318" s="93" t="s">
        <v>223</v>
      </c>
      <c r="I318" s="93" t="s">
        <v>842</v>
      </c>
      <c r="J318" s="94">
        <v>570.02</v>
      </c>
      <c r="K318" s="94"/>
      <c r="L318" s="95"/>
    </row>
    <row r="319" spans="6:12" x14ac:dyDescent="0.35">
      <c r="F319" s="92" t="s">
        <v>1314</v>
      </c>
      <c r="G319" s="93" t="s">
        <v>804</v>
      </c>
      <c r="H319" s="93" t="s">
        <v>223</v>
      </c>
      <c r="I319" s="93" t="s">
        <v>846</v>
      </c>
      <c r="J319" s="94">
        <v>945.75</v>
      </c>
      <c r="K319" s="94"/>
      <c r="L319" s="95"/>
    </row>
    <row r="320" spans="6:12" x14ac:dyDescent="0.35">
      <c r="F320" s="92" t="s">
        <v>1315</v>
      </c>
      <c r="G320" s="93" t="s">
        <v>804</v>
      </c>
      <c r="H320" s="93" t="s">
        <v>223</v>
      </c>
      <c r="I320" s="93" t="s">
        <v>850</v>
      </c>
      <c r="J320" s="94">
        <v>1122.19</v>
      </c>
      <c r="K320" s="94"/>
      <c r="L320" s="95"/>
    </row>
    <row r="321" spans="6:12" x14ac:dyDescent="0.35">
      <c r="F321" s="92" t="s">
        <v>1316</v>
      </c>
      <c r="G321" s="93" t="s">
        <v>804</v>
      </c>
      <c r="H321" s="93" t="s">
        <v>223</v>
      </c>
      <c r="I321" s="93" t="s">
        <v>861</v>
      </c>
      <c r="J321" s="94">
        <v>2571.92</v>
      </c>
      <c r="K321" s="94"/>
      <c r="L321" s="95"/>
    </row>
    <row r="322" spans="6:12" x14ac:dyDescent="0.35">
      <c r="F322" s="92" t="s">
        <v>1317</v>
      </c>
      <c r="G322" s="93" t="s">
        <v>804</v>
      </c>
      <c r="H322" s="93" t="s">
        <v>223</v>
      </c>
      <c r="I322" s="93" t="s">
        <v>850</v>
      </c>
      <c r="J322" s="94">
        <v>1122.19</v>
      </c>
      <c r="K322" s="94"/>
      <c r="L322" s="95"/>
    </row>
    <row r="323" spans="6:12" x14ac:dyDescent="0.35">
      <c r="F323" s="92" t="s">
        <v>1318</v>
      </c>
      <c r="G323" s="93" t="s">
        <v>804</v>
      </c>
      <c r="H323" s="93" t="s">
        <v>223</v>
      </c>
      <c r="I323" s="93" t="s">
        <v>865</v>
      </c>
      <c r="J323" s="94">
        <v>1374.99</v>
      </c>
      <c r="K323" s="94"/>
      <c r="L323" s="95"/>
    </row>
    <row r="324" spans="6:12" x14ac:dyDescent="0.35">
      <c r="F324" s="92" t="s">
        <v>1319</v>
      </c>
      <c r="G324" s="93" t="s">
        <v>804</v>
      </c>
      <c r="H324" s="93" t="s">
        <v>223</v>
      </c>
      <c r="I324" s="93" t="s">
        <v>869</v>
      </c>
      <c r="J324" s="94">
        <v>2648.55</v>
      </c>
      <c r="K324" s="94"/>
      <c r="L324" s="95"/>
    </row>
    <row r="325" spans="6:12" x14ac:dyDescent="0.35">
      <c r="F325" s="92" t="s">
        <v>1320</v>
      </c>
      <c r="G325" s="93" t="s">
        <v>804</v>
      </c>
      <c r="H325" s="93" t="s">
        <v>223</v>
      </c>
      <c r="I325" s="93" t="s">
        <v>621</v>
      </c>
      <c r="J325" s="94">
        <v>6323.16</v>
      </c>
      <c r="K325" s="94"/>
      <c r="L325" s="95"/>
    </row>
    <row r="326" spans="6:12" x14ac:dyDescent="0.35">
      <c r="F326" s="92" t="s">
        <v>1321</v>
      </c>
      <c r="G326" s="93" t="s">
        <v>804</v>
      </c>
      <c r="H326" s="93" t="s">
        <v>223</v>
      </c>
      <c r="I326" s="93" t="s">
        <v>842</v>
      </c>
      <c r="J326" s="94">
        <v>1140.04</v>
      </c>
      <c r="K326" s="94"/>
      <c r="L326" s="95"/>
    </row>
    <row r="327" spans="6:12" x14ac:dyDescent="0.35">
      <c r="F327" s="92" t="s">
        <v>1322</v>
      </c>
      <c r="G327" s="93" t="s">
        <v>804</v>
      </c>
      <c r="H327" s="93" t="s">
        <v>223</v>
      </c>
      <c r="I327" s="93" t="s">
        <v>846</v>
      </c>
      <c r="J327" s="94">
        <v>945.75</v>
      </c>
      <c r="K327" s="94"/>
      <c r="L327" s="95"/>
    </row>
    <row r="328" spans="6:12" x14ac:dyDescent="0.35">
      <c r="F328" s="92" t="s">
        <v>1323</v>
      </c>
      <c r="G328" s="93" t="s">
        <v>804</v>
      </c>
      <c r="H328" s="93" t="s">
        <v>223</v>
      </c>
      <c r="I328" s="93" t="s">
        <v>850</v>
      </c>
      <c r="J328" s="94">
        <v>1122.19</v>
      </c>
      <c r="K328" s="94"/>
      <c r="L328" s="95"/>
    </row>
    <row r="329" spans="6:12" x14ac:dyDescent="0.35">
      <c r="F329" s="92" t="s">
        <v>1324</v>
      </c>
      <c r="G329" s="93" t="s">
        <v>804</v>
      </c>
      <c r="H329" s="93" t="s">
        <v>223</v>
      </c>
      <c r="I329" s="93" t="s">
        <v>854</v>
      </c>
      <c r="J329" s="94">
        <v>487.62</v>
      </c>
      <c r="K329" s="94"/>
      <c r="L329" s="95"/>
    </row>
    <row r="330" spans="6:12" x14ac:dyDescent="0.35">
      <c r="F330" s="92" t="s">
        <v>1325</v>
      </c>
      <c r="G330" s="93" t="s">
        <v>804</v>
      </c>
      <c r="H330" s="93" t="s">
        <v>223</v>
      </c>
      <c r="I330" s="93" t="s">
        <v>842</v>
      </c>
      <c r="J330" s="94">
        <v>1140.04</v>
      </c>
      <c r="K330" s="94"/>
      <c r="L330" s="95"/>
    </row>
    <row r="331" spans="6:12" x14ac:dyDescent="0.35">
      <c r="F331" s="92" t="s">
        <v>1326</v>
      </c>
      <c r="G331" s="93" t="s">
        <v>804</v>
      </c>
      <c r="H331" s="93" t="s">
        <v>223</v>
      </c>
      <c r="I331" s="93" t="s">
        <v>846</v>
      </c>
      <c r="J331" s="94">
        <v>945.75</v>
      </c>
      <c r="K331" s="94"/>
      <c r="L331" s="95"/>
    </row>
    <row r="332" spans="6:12" x14ac:dyDescent="0.35">
      <c r="F332" s="92" t="s">
        <v>1327</v>
      </c>
      <c r="G332" s="93" t="s">
        <v>804</v>
      </c>
      <c r="H332" s="93" t="s">
        <v>223</v>
      </c>
      <c r="I332" s="93" t="s">
        <v>850</v>
      </c>
      <c r="J332" s="94">
        <v>1122.19</v>
      </c>
      <c r="K332" s="94"/>
      <c r="L332" s="95"/>
    </row>
    <row r="333" spans="6:12" x14ac:dyDescent="0.35">
      <c r="F333" s="92" t="s">
        <v>1328</v>
      </c>
      <c r="G333" s="93" t="s">
        <v>804</v>
      </c>
      <c r="H333" s="93" t="s">
        <v>223</v>
      </c>
      <c r="I333" s="93" t="s">
        <v>854</v>
      </c>
      <c r="J333" s="94">
        <v>487.62</v>
      </c>
      <c r="K333" s="94"/>
      <c r="L333" s="95"/>
    </row>
    <row r="334" spans="6:12" x14ac:dyDescent="0.35">
      <c r="F334" s="92" t="s">
        <v>1329</v>
      </c>
      <c r="G334" s="93" t="s">
        <v>804</v>
      </c>
      <c r="H334" s="93" t="s">
        <v>223</v>
      </c>
      <c r="I334" s="93" t="s">
        <v>842</v>
      </c>
      <c r="J334" s="94">
        <v>1140.04</v>
      </c>
      <c r="K334" s="94"/>
      <c r="L334" s="95"/>
    </row>
    <row r="335" spans="6:12" x14ac:dyDescent="0.35">
      <c r="F335" s="92" t="s">
        <v>1330</v>
      </c>
      <c r="G335" s="93" t="s">
        <v>804</v>
      </c>
      <c r="H335" s="93" t="s">
        <v>223</v>
      </c>
      <c r="I335" s="93" t="s">
        <v>846</v>
      </c>
      <c r="J335" s="94">
        <v>945.75</v>
      </c>
      <c r="K335" s="94"/>
      <c r="L335" s="95"/>
    </row>
    <row r="336" spans="6:12" x14ac:dyDescent="0.35">
      <c r="F336" s="92" t="s">
        <v>1331</v>
      </c>
      <c r="G336" s="93" t="s">
        <v>804</v>
      </c>
      <c r="H336" s="93" t="s">
        <v>223</v>
      </c>
      <c r="I336" s="93" t="s">
        <v>850</v>
      </c>
      <c r="J336" s="94">
        <v>1122.19</v>
      </c>
      <c r="K336" s="94"/>
      <c r="L336" s="95"/>
    </row>
    <row r="337" spans="6:12" x14ac:dyDescent="0.35">
      <c r="F337" s="92" t="s">
        <v>1332</v>
      </c>
      <c r="G337" s="93" t="s">
        <v>804</v>
      </c>
      <c r="H337" s="93" t="s">
        <v>223</v>
      </c>
      <c r="I337" s="93" t="s">
        <v>854</v>
      </c>
      <c r="J337" s="94">
        <v>487.62</v>
      </c>
      <c r="K337" s="94"/>
      <c r="L337" s="95"/>
    </row>
    <row r="338" spans="6:12" x14ac:dyDescent="0.35">
      <c r="F338" s="92" t="s">
        <v>1333</v>
      </c>
      <c r="G338" s="93" t="s">
        <v>804</v>
      </c>
      <c r="H338" s="93" t="s">
        <v>223</v>
      </c>
      <c r="I338" s="93" t="s">
        <v>842</v>
      </c>
      <c r="J338" s="94">
        <v>570.02</v>
      </c>
      <c r="K338" s="94"/>
      <c r="L338" s="95"/>
    </row>
    <row r="339" spans="6:12" x14ac:dyDescent="0.35">
      <c r="F339" s="92" t="s">
        <v>1334</v>
      </c>
      <c r="G339" s="93" t="s">
        <v>804</v>
      </c>
      <c r="H339" s="93" t="s">
        <v>223</v>
      </c>
      <c r="I339" s="93" t="s">
        <v>846</v>
      </c>
      <c r="J339" s="94">
        <v>945.75</v>
      </c>
      <c r="K339" s="94"/>
      <c r="L339" s="95"/>
    </row>
    <row r="340" spans="6:12" x14ac:dyDescent="0.35">
      <c r="F340" s="92" t="s">
        <v>1335</v>
      </c>
      <c r="G340" s="93" t="s">
        <v>804</v>
      </c>
      <c r="H340" s="93" t="s">
        <v>223</v>
      </c>
      <c r="I340" s="93" t="s">
        <v>850</v>
      </c>
      <c r="J340" s="94">
        <v>1122.19</v>
      </c>
      <c r="K340" s="94"/>
      <c r="L340" s="95"/>
    </row>
    <row r="341" spans="6:12" x14ac:dyDescent="0.35">
      <c r="F341" s="92" t="s">
        <v>1336</v>
      </c>
      <c r="G341" s="93" t="s">
        <v>804</v>
      </c>
      <c r="H341" s="93" t="s">
        <v>223</v>
      </c>
      <c r="I341" s="93" t="s">
        <v>842</v>
      </c>
      <c r="J341" s="94">
        <v>570.02</v>
      </c>
      <c r="K341" s="94"/>
      <c r="L341" s="95"/>
    </row>
    <row r="342" spans="6:12" x14ac:dyDescent="0.35">
      <c r="F342" s="92" t="s">
        <v>1337</v>
      </c>
      <c r="G342" s="93" t="s">
        <v>804</v>
      </c>
      <c r="H342" s="93" t="s">
        <v>223</v>
      </c>
      <c r="I342" s="93" t="s">
        <v>846</v>
      </c>
      <c r="J342" s="94">
        <v>945.75</v>
      </c>
      <c r="K342" s="94"/>
      <c r="L342" s="95"/>
    </row>
    <row r="343" spans="6:12" x14ac:dyDescent="0.35">
      <c r="F343" s="92" t="s">
        <v>1338</v>
      </c>
      <c r="G343" s="93" t="s">
        <v>804</v>
      </c>
      <c r="H343" s="93" t="s">
        <v>223</v>
      </c>
      <c r="I343" s="93" t="s">
        <v>850</v>
      </c>
      <c r="J343" s="94">
        <v>1122.19</v>
      </c>
      <c r="K343" s="94"/>
      <c r="L343" s="95"/>
    </row>
    <row r="344" spans="6:12" x14ac:dyDescent="0.35">
      <c r="F344" s="92" t="s">
        <v>1339</v>
      </c>
      <c r="G344" s="93" t="s">
        <v>804</v>
      </c>
      <c r="H344" s="93" t="s">
        <v>223</v>
      </c>
      <c r="I344" s="93" t="s">
        <v>842</v>
      </c>
      <c r="J344" s="94">
        <v>570.02</v>
      </c>
      <c r="K344" s="94"/>
      <c r="L344" s="95"/>
    </row>
    <row r="345" spans="6:12" x14ac:dyDescent="0.35">
      <c r="F345" s="92" t="s">
        <v>1340</v>
      </c>
      <c r="G345" s="93" t="s">
        <v>804</v>
      </c>
      <c r="H345" s="93" t="s">
        <v>223</v>
      </c>
      <c r="I345" s="93" t="s">
        <v>846</v>
      </c>
      <c r="J345" s="94">
        <v>945.75</v>
      </c>
      <c r="K345" s="94"/>
      <c r="L345" s="95"/>
    </row>
    <row r="346" spans="6:12" x14ac:dyDescent="0.35">
      <c r="F346" s="92" t="s">
        <v>1341</v>
      </c>
      <c r="G346" s="93" t="s">
        <v>804</v>
      </c>
      <c r="H346" s="93" t="s">
        <v>223</v>
      </c>
      <c r="I346" s="93" t="s">
        <v>850</v>
      </c>
      <c r="J346" s="94">
        <v>1122.19</v>
      </c>
      <c r="K346" s="94"/>
      <c r="L346" s="95"/>
    </row>
    <row r="347" spans="6:12" x14ac:dyDescent="0.35">
      <c r="F347" s="92" t="s">
        <v>1342</v>
      </c>
      <c r="G347" s="93" t="s">
        <v>804</v>
      </c>
      <c r="H347" s="93" t="s">
        <v>223</v>
      </c>
      <c r="I347" s="93" t="s">
        <v>842</v>
      </c>
      <c r="J347" s="94">
        <v>570.02</v>
      </c>
      <c r="K347" s="94"/>
      <c r="L347" s="95"/>
    </row>
    <row r="348" spans="6:12" x14ac:dyDescent="0.35">
      <c r="F348" s="92" t="s">
        <v>1343</v>
      </c>
      <c r="G348" s="93" t="s">
        <v>804</v>
      </c>
      <c r="H348" s="93" t="s">
        <v>223</v>
      </c>
      <c r="I348" s="93" t="s">
        <v>846</v>
      </c>
      <c r="J348" s="94">
        <v>945.75</v>
      </c>
      <c r="K348" s="94"/>
      <c r="L348" s="95"/>
    </row>
    <row r="349" spans="6:12" x14ac:dyDescent="0.35">
      <c r="F349" s="92" t="s">
        <v>1344</v>
      </c>
      <c r="G349" s="93" t="s">
        <v>804</v>
      </c>
      <c r="H349" s="93" t="s">
        <v>223</v>
      </c>
      <c r="I349" s="93" t="s">
        <v>850</v>
      </c>
      <c r="J349" s="94">
        <v>1122.19</v>
      </c>
      <c r="K349" s="94"/>
      <c r="L349" s="95"/>
    </row>
    <row r="350" spans="6:12" x14ac:dyDescent="0.35">
      <c r="F350" s="92" t="s">
        <v>1345</v>
      </c>
      <c r="G350" s="93" t="s">
        <v>804</v>
      </c>
      <c r="H350" s="93" t="s">
        <v>223</v>
      </c>
      <c r="I350" s="93" t="s">
        <v>842</v>
      </c>
      <c r="J350" s="94">
        <v>570.02</v>
      </c>
      <c r="K350" s="94"/>
      <c r="L350" s="95"/>
    </row>
    <row r="351" spans="6:12" x14ac:dyDescent="0.35">
      <c r="F351" s="92" t="s">
        <v>1346</v>
      </c>
      <c r="G351" s="93" t="s">
        <v>804</v>
      </c>
      <c r="H351" s="93" t="s">
        <v>223</v>
      </c>
      <c r="I351" s="93" t="s">
        <v>846</v>
      </c>
      <c r="J351" s="94">
        <v>945.75</v>
      </c>
      <c r="K351" s="94"/>
      <c r="L351" s="95"/>
    </row>
    <row r="352" spans="6:12" x14ac:dyDescent="0.35">
      <c r="F352" s="92" t="s">
        <v>1347</v>
      </c>
      <c r="G352" s="93" t="s">
        <v>804</v>
      </c>
      <c r="H352" s="93" t="s">
        <v>223</v>
      </c>
      <c r="I352" s="93" t="s">
        <v>850</v>
      </c>
      <c r="J352" s="94">
        <v>1122.19</v>
      </c>
      <c r="K352" s="94"/>
      <c r="L352" s="95"/>
    </row>
    <row r="353" spans="6:12" x14ac:dyDescent="0.35">
      <c r="F353" s="92" t="s">
        <v>1348</v>
      </c>
      <c r="G353" s="93" t="s">
        <v>804</v>
      </c>
      <c r="H353" s="93" t="s">
        <v>223</v>
      </c>
      <c r="I353" s="93" t="s">
        <v>842</v>
      </c>
      <c r="J353" s="94">
        <v>570.02</v>
      </c>
      <c r="K353" s="94"/>
      <c r="L353" s="95"/>
    </row>
    <row r="354" spans="6:12" x14ac:dyDescent="0.35">
      <c r="F354" s="92" t="s">
        <v>1349</v>
      </c>
      <c r="G354" s="93" t="s">
        <v>804</v>
      </c>
      <c r="H354" s="93" t="s">
        <v>223</v>
      </c>
      <c r="I354" s="93" t="s">
        <v>846</v>
      </c>
      <c r="J354" s="94">
        <v>945.75</v>
      </c>
      <c r="K354" s="94"/>
      <c r="L354" s="95"/>
    </row>
    <row r="355" spans="6:12" x14ac:dyDescent="0.35">
      <c r="F355" s="92" t="s">
        <v>1350</v>
      </c>
      <c r="G355" s="93" t="s">
        <v>804</v>
      </c>
      <c r="H355" s="93" t="s">
        <v>223</v>
      </c>
      <c r="I355" s="93" t="s">
        <v>850</v>
      </c>
      <c r="J355" s="94">
        <v>1122.19</v>
      </c>
      <c r="K355" s="94"/>
      <c r="L355" s="95"/>
    </row>
    <row r="356" spans="6:12" x14ac:dyDescent="0.35">
      <c r="F356" s="92" t="s">
        <v>1351</v>
      </c>
      <c r="G356" s="93" t="s">
        <v>804</v>
      </c>
      <c r="H356" s="93" t="s">
        <v>223</v>
      </c>
      <c r="I356" s="93" t="s">
        <v>842</v>
      </c>
      <c r="J356" s="94">
        <v>570.02</v>
      </c>
      <c r="K356" s="94"/>
      <c r="L356" s="95"/>
    </row>
    <row r="357" spans="6:12" x14ac:dyDescent="0.35">
      <c r="F357" s="92" t="s">
        <v>1352</v>
      </c>
      <c r="G357" s="93" t="s">
        <v>804</v>
      </c>
      <c r="H357" s="93" t="s">
        <v>223</v>
      </c>
      <c r="I357" s="93" t="s">
        <v>846</v>
      </c>
      <c r="J357" s="94">
        <v>945.75</v>
      </c>
      <c r="K357" s="94"/>
      <c r="L357" s="95"/>
    </row>
    <row r="358" spans="6:12" x14ac:dyDescent="0.35">
      <c r="F358" s="92" t="s">
        <v>1353</v>
      </c>
      <c r="G358" s="93" t="s">
        <v>804</v>
      </c>
      <c r="H358" s="93" t="s">
        <v>223</v>
      </c>
      <c r="I358" s="93" t="s">
        <v>850</v>
      </c>
      <c r="J358" s="94">
        <v>1122.19</v>
      </c>
      <c r="K358" s="94"/>
      <c r="L358" s="95"/>
    </row>
    <row r="359" spans="6:12" x14ac:dyDescent="0.35">
      <c r="F359" s="92" t="s">
        <v>1354</v>
      </c>
      <c r="G359" s="93" t="s">
        <v>804</v>
      </c>
      <c r="H359" s="93" t="s">
        <v>223</v>
      </c>
      <c r="I359" s="93" t="s">
        <v>842</v>
      </c>
      <c r="J359" s="94">
        <v>570.02</v>
      </c>
      <c r="K359" s="94"/>
      <c r="L359" s="95"/>
    </row>
    <row r="360" spans="6:12" x14ac:dyDescent="0.35">
      <c r="F360" s="92" t="s">
        <v>1355</v>
      </c>
      <c r="G360" s="93" t="s">
        <v>804</v>
      </c>
      <c r="H360" s="93" t="s">
        <v>223</v>
      </c>
      <c r="I360" s="93" t="s">
        <v>846</v>
      </c>
      <c r="J360" s="94">
        <v>945.75</v>
      </c>
      <c r="K360" s="94"/>
      <c r="L360" s="95"/>
    </row>
    <row r="361" spans="6:12" x14ac:dyDescent="0.35">
      <c r="F361" s="92" t="s">
        <v>1356</v>
      </c>
      <c r="G361" s="93" t="s">
        <v>804</v>
      </c>
      <c r="H361" s="93" t="s">
        <v>223</v>
      </c>
      <c r="I361" s="93" t="s">
        <v>850</v>
      </c>
      <c r="J361" s="94">
        <v>1122.19</v>
      </c>
      <c r="K361" s="94"/>
      <c r="L361" s="95"/>
    </row>
    <row r="362" spans="6:12" x14ac:dyDescent="0.35">
      <c r="F362" s="92" t="s">
        <v>1357</v>
      </c>
      <c r="G362" s="93" t="s">
        <v>804</v>
      </c>
      <c r="H362" s="93" t="s">
        <v>223</v>
      </c>
      <c r="I362" s="93" t="s">
        <v>842</v>
      </c>
      <c r="J362" s="94">
        <v>570.02</v>
      </c>
      <c r="K362" s="94"/>
      <c r="L362" s="95"/>
    </row>
    <row r="363" spans="6:12" x14ac:dyDescent="0.35">
      <c r="F363" s="92" t="s">
        <v>1358</v>
      </c>
      <c r="G363" s="93" t="s">
        <v>804</v>
      </c>
      <c r="H363" s="93" t="s">
        <v>223</v>
      </c>
      <c r="I363" s="93" t="s">
        <v>846</v>
      </c>
      <c r="J363" s="94">
        <v>945.75</v>
      </c>
      <c r="K363" s="94"/>
      <c r="L363" s="95"/>
    </row>
    <row r="364" spans="6:12" x14ac:dyDescent="0.35">
      <c r="F364" s="92" t="s">
        <v>1359</v>
      </c>
      <c r="G364" s="93" t="s">
        <v>804</v>
      </c>
      <c r="H364" s="93" t="s">
        <v>223</v>
      </c>
      <c r="I364" s="93" t="s">
        <v>850</v>
      </c>
      <c r="J364" s="94">
        <v>1122.19</v>
      </c>
      <c r="K364" s="94"/>
      <c r="L364" s="95"/>
    </row>
    <row r="365" spans="6:12" x14ac:dyDescent="0.35">
      <c r="F365" s="92" t="s">
        <v>1360</v>
      </c>
      <c r="G365" s="93" t="s">
        <v>804</v>
      </c>
      <c r="H365" s="93" t="s">
        <v>223</v>
      </c>
      <c r="I365" s="93" t="s">
        <v>842</v>
      </c>
      <c r="J365" s="94">
        <v>1140.04</v>
      </c>
      <c r="K365" s="94"/>
      <c r="L365" s="95"/>
    </row>
    <row r="366" spans="6:12" x14ac:dyDescent="0.35">
      <c r="F366" s="92" t="s">
        <v>1361</v>
      </c>
      <c r="G366" s="93" t="s">
        <v>804</v>
      </c>
      <c r="H366" s="93" t="s">
        <v>223</v>
      </c>
      <c r="I366" s="93" t="s">
        <v>846</v>
      </c>
      <c r="J366" s="94">
        <v>945.75</v>
      </c>
      <c r="K366" s="94"/>
      <c r="L366" s="95"/>
    </row>
    <row r="367" spans="6:12" x14ac:dyDescent="0.35">
      <c r="F367" s="92" t="s">
        <v>1362</v>
      </c>
      <c r="G367" s="93" t="s">
        <v>804</v>
      </c>
      <c r="H367" s="93" t="s">
        <v>223</v>
      </c>
      <c r="I367" s="93" t="s">
        <v>850</v>
      </c>
      <c r="J367" s="94">
        <v>1122.19</v>
      </c>
      <c r="K367" s="94"/>
      <c r="L367" s="95"/>
    </row>
    <row r="368" spans="6:12" x14ac:dyDescent="0.35">
      <c r="F368" s="92" t="s">
        <v>1363</v>
      </c>
      <c r="G368" s="93" t="s">
        <v>804</v>
      </c>
      <c r="H368" s="93" t="s">
        <v>223</v>
      </c>
      <c r="I368" s="93" t="s">
        <v>854</v>
      </c>
      <c r="J368" s="94">
        <v>487.62</v>
      </c>
      <c r="K368" s="94"/>
      <c r="L368" s="95"/>
    </row>
    <row r="369" spans="6:12" x14ac:dyDescent="0.35">
      <c r="F369" s="92" t="s">
        <v>1364</v>
      </c>
      <c r="G369" s="93" t="s">
        <v>804</v>
      </c>
      <c r="H369" s="93" t="s">
        <v>223</v>
      </c>
      <c r="I369" s="93" t="s">
        <v>842</v>
      </c>
      <c r="J369" s="94">
        <v>570.02</v>
      </c>
      <c r="K369" s="94"/>
      <c r="L369" s="95"/>
    </row>
    <row r="370" spans="6:12" x14ac:dyDescent="0.35">
      <c r="F370" s="92" t="s">
        <v>1365</v>
      </c>
      <c r="G370" s="93" t="s">
        <v>804</v>
      </c>
      <c r="H370" s="93" t="s">
        <v>223</v>
      </c>
      <c r="I370" s="93" t="s">
        <v>846</v>
      </c>
      <c r="J370" s="94">
        <v>945.75</v>
      </c>
      <c r="K370" s="94"/>
      <c r="L370" s="95"/>
    </row>
    <row r="371" spans="6:12" x14ac:dyDescent="0.35">
      <c r="F371" s="92" t="s">
        <v>1366</v>
      </c>
      <c r="G371" s="93" t="s">
        <v>804</v>
      </c>
      <c r="H371" s="93" t="s">
        <v>223</v>
      </c>
      <c r="I371" s="93" t="s">
        <v>850</v>
      </c>
      <c r="J371" s="94">
        <v>1122.19</v>
      </c>
      <c r="K371" s="94"/>
      <c r="L371" s="95"/>
    </row>
    <row r="372" spans="6:12" x14ac:dyDescent="0.35">
      <c r="F372" s="92" t="s">
        <v>1367</v>
      </c>
      <c r="G372" s="93" t="s">
        <v>804</v>
      </c>
      <c r="H372" s="93" t="s">
        <v>223</v>
      </c>
      <c r="I372" s="93" t="s">
        <v>842</v>
      </c>
      <c r="J372" s="94">
        <v>570.02</v>
      </c>
      <c r="K372" s="94"/>
      <c r="L372" s="95"/>
    </row>
    <row r="373" spans="6:12" x14ac:dyDescent="0.35">
      <c r="F373" s="92" t="s">
        <v>1368</v>
      </c>
      <c r="G373" s="93" t="s">
        <v>804</v>
      </c>
      <c r="H373" s="93" t="s">
        <v>223</v>
      </c>
      <c r="I373" s="93" t="s">
        <v>846</v>
      </c>
      <c r="J373" s="94">
        <v>945.75</v>
      </c>
      <c r="K373" s="94"/>
      <c r="L373" s="95"/>
    </row>
    <row r="374" spans="6:12" x14ac:dyDescent="0.35">
      <c r="F374" s="92" t="s">
        <v>1369</v>
      </c>
      <c r="G374" s="93" t="s">
        <v>804</v>
      </c>
      <c r="H374" s="93" t="s">
        <v>223</v>
      </c>
      <c r="I374" s="93" t="s">
        <v>850</v>
      </c>
      <c r="J374" s="94">
        <v>1122.19</v>
      </c>
      <c r="K374" s="94"/>
      <c r="L374" s="95"/>
    </row>
    <row r="375" spans="6:12" x14ac:dyDescent="0.35">
      <c r="F375" s="92" t="s">
        <v>1370</v>
      </c>
      <c r="G375" s="93" t="s">
        <v>804</v>
      </c>
      <c r="H375" s="93" t="s">
        <v>223</v>
      </c>
      <c r="I375" s="93" t="s">
        <v>842</v>
      </c>
      <c r="J375" s="94">
        <v>570.02</v>
      </c>
      <c r="K375" s="94"/>
      <c r="L375" s="95"/>
    </row>
    <row r="376" spans="6:12" x14ac:dyDescent="0.35">
      <c r="F376" s="92" t="s">
        <v>1371</v>
      </c>
      <c r="G376" s="93" t="s">
        <v>804</v>
      </c>
      <c r="H376" s="93" t="s">
        <v>223</v>
      </c>
      <c r="I376" s="93" t="s">
        <v>846</v>
      </c>
      <c r="J376" s="94">
        <v>945.75</v>
      </c>
      <c r="K376" s="94"/>
      <c r="L376" s="95"/>
    </row>
    <row r="377" spans="6:12" x14ac:dyDescent="0.35">
      <c r="F377" s="92" t="s">
        <v>1372</v>
      </c>
      <c r="G377" s="93" t="s">
        <v>804</v>
      </c>
      <c r="H377" s="93" t="s">
        <v>223</v>
      </c>
      <c r="I377" s="93" t="s">
        <v>850</v>
      </c>
      <c r="J377" s="94">
        <v>1122.19</v>
      </c>
      <c r="K377" s="94"/>
      <c r="L377" s="95"/>
    </row>
    <row r="378" spans="6:12" x14ac:dyDescent="0.35">
      <c r="F378" s="92" t="s">
        <v>1373</v>
      </c>
      <c r="G378" s="93" t="s">
        <v>804</v>
      </c>
      <c r="H378" s="93" t="s">
        <v>223</v>
      </c>
      <c r="I378" s="93" t="s">
        <v>842</v>
      </c>
      <c r="J378" s="94">
        <v>570.02</v>
      </c>
      <c r="K378" s="94"/>
      <c r="L378" s="95"/>
    </row>
    <row r="379" spans="6:12" x14ac:dyDescent="0.35">
      <c r="F379" s="92" t="s">
        <v>1374</v>
      </c>
      <c r="G379" s="93" t="s">
        <v>804</v>
      </c>
      <c r="H379" s="93" t="s">
        <v>223</v>
      </c>
      <c r="I379" s="93" t="s">
        <v>846</v>
      </c>
      <c r="J379" s="94">
        <v>945.75</v>
      </c>
      <c r="K379" s="94"/>
      <c r="L379" s="95"/>
    </row>
    <row r="380" spans="6:12" x14ac:dyDescent="0.35">
      <c r="F380" s="92" t="s">
        <v>1375</v>
      </c>
      <c r="G380" s="93" t="s">
        <v>804</v>
      </c>
      <c r="H380" s="93" t="s">
        <v>223</v>
      </c>
      <c r="I380" s="93" t="s">
        <v>850</v>
      </c>
      <c r="J380" s="94">
        <v>1122.19</v>
      </c>
      <c r="K380" s="94"/>
      <c r="L380" s="95"/>
    </row>
    <row r="381" spans="6:12" x14ac:dyDescent="0.35">
      <c r="F381" s="92" t="s">
        <v>1376</v>
      </c>
      <c r="G381" s="93" t="s">
        <v>804</v>
      </c>
      <c r="H381" s="93" t="s">
        <v>223</v>
      </c>
      <c r="I381" s="93" t="s">
        <v>842</v>
      </c>
      <c r="J381" s="94">
        <v>1140.04</v>
      </c>
      <c r="K381" s="94"/>
      <c r="L381" s="95"/>
    </row>
    <row r="382" spans="6:12" x14ac:dyDescent="0.35">
      <c r="F382" s="92" t="s">
        <v>1377</v>
      </c>
      <c r="G382" s="93" t="s">
        <v>804</v>
      </c>
      <c r="H382" s="93" t="s">
        <v>223</v>
      </c>
      <c r="I382" s="93" t="s">
        <v>846</v>
      </c>
      <c r="J382" s="94">
        <v>945.75</v>
      </c>
      <c r="K382" s="94"/>
      <c r="L382" s="95"/>
    </row>
    <row r="383" spans="6:12" x14ac:dyDescent="0.35">
      <c r="F383" s="92" t="s">
        <v>1378</v>
      </c>
      <c r="G383" s="93" t="s">
        <v>804</v>
      </c>
      <c r="H383" s="93" t="s">
        <v>223</v>
      </c>
      <c r="I383" s="93" t="s">
        <v>850</v>
      </c>
      <c r="J383" s="94">
        <v>1122.19</v>
      </c>
      <c r="K383" s="94"/>
      <c r="L383" s="95"/>
    </row>
    <row r="384" spans="6:12" x14ac:dyDescent="0.35">
      <c r="F384" s="92" t="s">
        <v>1379</v>
      </c>
      <c r="G384" s="93" t="s">
        <v>804</v>
      </c>
      <c r="H384" s="93" t="s">
        <v>223</v>
      </c>
      <c r="I384" s="93" t="s">
        <v>854</v>
      </c>
      <c r="J384" s="94">
        <v>487.62</v>
      </c>
      <c r="K384" s="94"/>
      <c r="L384" s="95"/>
    </row>
    <row r="385" spans="6:12" x14ac:dyDescent="0.35">
      <c r="F385" s="92" t="s">
        <v>1380</v>
      </c>
      <c r="G385" s="93" t="s">
        <v>804</v>
      </c>
      <c r="H385" s="93" t="s">
        <v>223</v>
      </c>
      <c r="I385" s="93" t="s">
        <v>842</v>
      </c>
      <c r="J385" s="94">
        <v>570.02</v>
      </c>
      <c r="K385" s="94"/>
      <c r="L385" s="95"/>
    </row>
    <row r="386" spans="6:12" x14ac:dyDescent="0.35">
      <c r="F386" s="92" t="s">
        <v>1381</v>
      </c>
      <c r="G386" s="93" t="s">
        <v>804</v>
      </c>
      <c r="H386" s="93" t="s">
        <v>223</v>
      </c>
      <c r="I386" s="93" t="s">
        <v>846</v>
      </c>
      <c r="J386" s="94">
        <v>945.75</v>
      </c>
      <c r="K386" s="94"/>
      <c r="L386" s="95"/>
    </row>
    <row r="387" spans="6:12" x14ac:dyDescent="0.35">
      <c r="F387" s="92" t="s">
        <v>1382</v>
      </c>
      <c r="G387" s="93" t="s">
        <v>804</v>
      </c>
      <c r="H387" s="93" t="s">
        <v>223</v>
      </c>
      <c r="I387" s="93" t="s">
        <v>850</v>
      </c>
      <c r="J387" s="94">
        <v>1122.19</v>
      </c>
      <c r="K387" s="94"/>
      <c r="L387" s="95"/>
    </row>
    <row r="388" spans="6:12" x14ac:dyDescent="0.35">
      <c r="F388" s="92" t="s">
        <v>1383</v>
      </c>
      <c r="G388" s="93" t="s">
        <v>804</v>
      </c>
      <c r="H388" s="93" t="s">
        <v>223</v>
      </c>
      <c r="I388" s="93" t="s">
        <v>842</v>
      </c>
      <c r="J388" s="94">
        <v>570.02</v>
      </c>
      <c r="K388" s="94"/>
      <c r="L388" s="95"/>
    </row>
    <row r="389" spans="6:12" x14ac:dyDescent="0.35">
      <c r="F389" s="92" t="s">
        <v>1384</v>
      </c>
      <c r="G389" s="93" t="s">
        <v>804</v>
      </c>
      <c r="H389" s="93" t="s">
        <v>223</v>
      </c>
      <c r="I389" s="93" t="s">
        <v>846</v>
      </c>
      <c r="J389" s="94">
        <v>945.75</v>
      </c>
      <c r="K389" s="94"/>
      <c r="L389" s="95"/>
    </row>
    <row r="390" spans="6:12" x14ac:dyDescent="0.35">
      <c r="F390" s="92" t="s">
        <v>1385</v>
      </c>
      <c r="G390" s="93" t="s">
        <v>804</v>
      </c>
      <c r="H390" s="93" t="s">
        <v>223</v>
      </c>
      <c r="I390" s="93" t="s">
        <v>850</v>
      </c>
      <c r="J390" s="94">
        <v>1122.19</v>
      </c>
      <c r="K390" s="94"/>
      <c r="L390" s="95"/>
    </row>
    <row r="391" spans="6:12" x14ac:dyDescent="0.35">
      <c r="F391" s="92" t="s">
        <v>1386</v>
      </c>
      <c r="G391" s="93" t="s">
        <v>804</v>
      </c>
      <c r="H391" s="93" t="s">
        <v>223</v>
      </c>
      <c r="I391" s="93" t="s">
        <v>842</v>
      </c>
      <c r="J391" s="94">
        <v>570.02</v>
      </c>
      <c r="K391" s="94"/>
      <c r="L391" s="95"/>
    </row>
    <row r="392" spans="6:12" x14ac:dyDescent="0.35">
      <c r="F392" s="92" t="s">
        <v>1387</v>
      </c>
      <c r="G392" s="93" t="s">
        <v>804</v>
      </c>
      <c r="H392" s="93" t="s">
        <v>223</v>
      </c>
      <c r="I392" s="93" t="s">
        <v>846</v>
      </c>
      <c r="J392" s="94">
        <v>945.75</v>
      </c>
      <c r="K392" s="94"/>
      <c r="L392" s="95"/>
    </row>
    <row r="393" spans="6:12" x14ac:dyDescent="0.35">
      <c r="F393" s="92" t="s">
        <v>1388</v>
      </c>
      <c r="G393" s="93" t="s">
        <v>804</v>
      </c>
      <c r="H393" s="93" t="s">
        <v>223</v>
      </c>
      <c r="I393" s="93" t="s">
        <v>850</v>
      </c>
      <c r="J393" s="94">
        <v>1122.19</v>
      </c>
      <c r="K393" s="94"/>
      <c r="L393" s="95"/>
    </row>
    <row r="394" spans="6:12" x14ac:dyDescent="0.35">
      <c r="F394" s="92" t="s">
        <v>1389</v>
      </c>
      <c r="G394" s="93" t="s">
        <v>804</v>
      </c>
      <c r="H394" s="93" t="s">
        <v>223</v>
      </c>
      <c r="I394" s="93" t="s">
        <v>842</v>
      </c>
      <c r="J394" s="94">
        <v>570.02</v>
      </c>
      <c r="K394" s="94"/>
      <c r="L394" s="95"/>
    </row>
    <row r="395" spans="6:12" x14ac:dyDescent="0.35">
      <c r="F395" s="92" t="s">
        <v>1390</v>
      </c>
      <c r="G395" s="93" t="s">
        <v>804</v>
      </c>
      <c r="H395" s="93" t="s">
        <v>223</v>
      </c>
      <c r="I395" s="93" t="s">
        <v>846</v>
      </c>
      <c r="J395" s="94">
        <v>945.75</v>
      </c>
      <c r="K395" s="94"/>
      <c r="L395" s="95"/>
    </row>
    <row r="396" spans="6:12" x14ac:dyDescent="0.35">
      <c r="F396" s="92" t="s">
        <v>1391</v>
      </c>
      <c r="G396" s="93" t="s">
        <v>804</v>
      </c>
      <c r="H396" s="93" t="s">
        <v>223</v>
      </c>
      <c r="I396" s="93" t="s">
        <v>850</v>
      </c>
      <c r="J396" s="94">
        <v>1122.19</v>
      </c>
      <c r="K396" s="94"/>
      <c r="L396" s="95"/>
    </row>
    <row r="397" spans="6:12" x14ac:dyDescent="0.35">
      <c r="F397" s="92" t="s">
        <v>1392</v>
      </c>
      <c r="G397" s="93" t="s">
        <v>804</v>
      </c>
      <c r="H397" s="93" t="s">
        <v>223</v>
      </c>
      <c r="I397" s="93" t="s">
        <v>895</v>
      </c>
      <c r="J397" s="94">
        <v>2106.3200000000002</v>
      </c>
      <c r="K397" s="94"/>
      <c r="L397" s="95"/>
    </row>
    <row r="398" spans="6:12" x14ac:dyDescent="0.35">
      <c r="F398" s="92" t="s">
        <v>1393</v>
      </c>
      <c r="G398" s="93" t="s">
        <v>804</v>
      </c>
      <c r="H398" s="93" t="s">
        <v>223</v>
      </c>
      <c r="I398" s="93" t="s">
        <v>850</v>
      </c>
      <c r="J398" s="94">
        <v>2244.38</v>
      </c>
      <c r="K398" s="94"/>
      <c r="L398" s="95"/>
    </row>
    <row r="399" spans="6:12" x14ac:dyDescent="0.35">
      <c r="F399" s="92" t="s">
        <v>1394</v>
      </c>
      <c r="G399" s="93" t="s">
        <v>804</v>
      </c>
      <c r="H399" s="93" t="s">
        <v>223</v>
      </c>
      <c r="I399" s="93" t="s">
        <v>900</v>
      </c>
      <c r="J399" s="94">
        <v>1473.9</v>
      </c>
      <c r="K399" s="94"/>
      <c r="L399" s="95"/>
    </row>
    <row r="400" spans="6:12" x14ac:dyDescent="0.35">
      <c r="F400" s="92" t="s">
        <v>1395</v>
      </c>
      <c r="G400" s="93" t="s">
        <v>804</v>
      </c>
      <c r="H400" s="93" t="s">
        <v>223</v>
      </c>
      <c r="I400" s="93" t="s">
        <v>904</v>
      </c>
      <c r="J400" s="94">
        <v>3468.91</v>
      </c>
      <c r="K400" s="94"/>
      <c r="L400" s="95"/>
    </row>
    <row r="401" spans="6:12" x14ac:dyDescent="0.35">
      <c r="F401" s="92" t="s">
        <v>1396</v>
      </c>
      <c r="G401" s="93" t="s">
        <v>804</v>
      </c>
      <c r="H401" s="93" t="s">
        <v>223</v>
      </c>
      <c r="I401" s="93" t="s">
        <v>832</v>
      </c>
      <c r="J401" s="94">
        <v>2091.1</v>
      </c>
      <c r="K401" s="94"/>
      <c r="L401" s="95"/>
    </row>
    <row r="402" spans="6:12" x14ac:dyDescent="0.35">
      <c r="F402" s="92" t="s">
        <v>1397</v>
      </c>
      <c r="G402" s="93" t="s">
        <v>804</v>
      </c>
      <c r="H402" s="93" t="s">
        <v>223</v>
      </c>
      <c r="I402" s="93" t="s">
        <v>910</v>
      </c>
      <c r="J402" s="94">
        <v>2607.25</v>
      </c>
      <c r="K402" s="94"/>
      <c r="L402" s="95"/>
    </row>
    <row r="403" spans="6:12" x14ac:dyDescent="0.35">
      <c r="F403" s="92" t="s">
        <v>1398</v>
      </c>
      <c r="G403" s="93" t="s">
        <v>804</v>
      </c>
      <c r="H403" s="93" t="s">
        <v>223</v>
      </c>
      <c r="I403" s="93" t="s">
        <v>913</v>
      </c>
      <c r="J403" s="94">
        <v>785.11</v>
      </c>
      <c r="K403" s="94"/>
      <c r="L403" s="95"/>
    </row>
    <row r="404" spans="6:12" x14ac:dyDescent="0.35">
      <c r="F404" s="92" t="s">
        <v>1399</v>
      </c>
      <c r="G404" s="93" t="s">
        <v>804</v>
      </c>
      <c r="H404" s="93" t="s">
        <v>223</v>
      </c>
      <c r="I404" s="93" t="s">
        <v>838</v>
      </c>
      <c r="J404" s="94">
        <v>788.13</v>
      </c>
      <c r="K404" s="94"/>
      <c r="L404" s="95"/>
    </row>
    <row r="405" spans="6:12" x14ac:dyDescent="0.35">
      <c r="F405" s="92" t="s">
        <v>1400</v>
      </c>
      <c r="G405" s="93" t="s">
        <v>804</v>
      </c>
      <c r="H405" s="93" t="s">
        <v>223</v>
      </c>
      <c r="I405" s="93" t="s">
        <v>919</v>
      </c>
      <c r="J405" s="94">
        <v>395.6</v>
      </c>
      <c r="K405" s="94"/>
      <c r="L405" s="95"/>
    </row>
    <row r="406" spans="6:12" x14ac:dyDescent="0.35">
      <c r="F406" s="92" t="s">
        <v>1401</v>
      </c>
      <c r="G406" s="93" t="s">
        <v>804</v>
      </c>
      <c r="H406" s="93" t="s">
        <v>223</v>
      </c>
      <c r="I406" s="93" t="s">
        <v>923</v>
      </c>
      <c r="J406" s="94">
        <v>4206.3999999999996</v>
      </c>
      <c r="K406" s="94"/>
      <c r="L406" s="95"/>
    </row>
    <row r="407" spans="6:12" x14ac:dyDescent="0.35">
      <c r="F407" s="92" t="s">
        <v>1402</v>
      </c>
      <c r="G407" s="93" t="s">
        <v>804</v>
      </c>
      <c r="H407" s="93" t="s">
        <v>223</v>
      </c>
      <c r="I407" s="93" t="s">
        <v>927</v>
      </c>
      <c r="J407" s="94">
        <v>5080.8</v>
      </c>
      <c r="K407" s="94"/>
      <c r="L407" s="95"/>
    </row>
    <row r="408" spans="6:12" x14ac:dyDescent="0.35">
      <c r="F408" s="92" t="s">
        <v>1403</v>
      </c>
      <c r="G408" s="93" t="s">
        <v>804</v>
      </c>
      <c r="H408" s="93" t="s">
        <v>223</v>
      </c>
      <c r="I408" s="93" t="s">
        <v>923</v>
      </c>
      <c r="J408" s="94">
        <v>4206.3999999999996</v>
      </c>
      <c r="K408" s="94"/>
      <c r="L408" s="95"/>
    </row>
    <row r="409" spans="6:12" x14ac:dyDescent="0.35">
      <c r="F409" s="92" t="s">
        <v>1404</v>
      </c>
      <c r="G409" s="93" t="s">
        <v>804</v>
      </c>
      <c r="H409" s="93" t="s">
        <v>223</v>
      </c>
      <c r="I409" s="93" t="s">
        <v>932</v>
      </c>
      <c r="J409" s="94">
        <v>31676.400000000001</v>
      </c>
      <c r="K409" s="94"/>
      <c r="L409" s="95"/>
    </row>
    <row r="410" spans="6:12" x14ac:dyDescent="0.35">
      <c r="F410" s="92" t="s">
        <v>1405</v>
      </c>
      <c r="G410" s="93" t="s">
        <v>804</v>
      </c>
      <c r="H410" s="93" t="s">
        <v>223</v>
      </c>
      <c r="I410" s="93" t="s">
        <v>936</v>
      </c>
      <c r="J410" s="94">
        <v>3042.2</v>
      </c>
      <c r="K410" s="94"/>
      <c r="L410" s="95"/>
    </row>
    <row r="411" spans="6:12" x14ac:dyDescent="0.35">
      <c r="F411" s="92" t="s">
        <v>1406</v>
      </c>
      <c r="G411" s="93" t="s">
        <v>804</v>
      </c>
      <c r="H411" s="93" t="s">
        <v>223</v>
      </c>
      <c r="I411" s="93" t="s">
        <v>939</v>
      </c>
      <c r="J411" s="94">
        <v>6001.1</v>
      </c>
      <c r="K411" s="94"/>
      <c r="L411" s="95"/>
    </row>
    <row r="412" spans="6:12" x14ac:dyDescent="0.35">
      <c r="F412" s="92" t="s">
        <v>1407</v>
      </c>
      <c r="G412" s="93" t="s">
        <v>804</v>
      </c>
      <c r="H412" s="93" t="s">
        <v>223</v>
      </c>
      <c r="I412" s="93" t="s">
        <v>942</v>
      </c>
      <c r="J412" s="94">
        <v>0</v>
      </c>
      <c r="K412" s="94"/>
      <c r="L412" s="95"/>
    </row>
    <row r="413" spans="6:12" x14ac:dyDescent="0.35">
      <c r="F413" s="92" t="s">
        <v>1408</v>
      </c>
      <c r="G413" s="93" t="s">
        <v>804</v>
      </c>
      <c r="H413" s="93" t="s">
        <v>223</v>
      </c>
      <c r="I413" s="93" t="s">
        <v>939</v>
      </c>
      <c r="J413" s="94">
        <v>1714.6</v>
      </c>
      <c r="K413" s="94"/>
      <c r="L413" s="95"/>
    </row>
    <row r="414" spans="6:12" x14ac:dyDescent="0.35">
      <c r="F414" s="92" t="s">
        <v>1409</v>
      </c>
      <c r="G414" s="93" t="s">
        <v>804</v>
      </c>
      <c r="H414" s="93" t="s">
        <v>223</v>
      </c>
      <c r="I414" s="93" t="s">
        <v>942</v>
      </c>
      <c r="J414" s="94">
        <v>0</v>
      </c>
      <c r="K414" s="94"/>
      <c r="L414" s="95"/>
    </row>
    <row r="415" spans="6:12" x14ac:dyDescent="0.35">
      <c r="F415" s="92" t="s">
        <v>1410</v>
      </c>
      <c r="G415" s="93" t="s">
        <v>804</v>
      </c>
      <c r="H415" s="93" t="s">
        <v>223</v>
      </c>
      <c r="I415" s="93" t="s">
        <v>932</v>
      </c>
      <c r="J415" s="94">
        <v>5279.4</v>
      </c>
      <c r="K415" s="94"/>
      <c r="L415" s="95"/>
    </row>
    <row r="416" spans="6:12" x14ac:dyDescent="0.35">
      <c r="F416" s="92" t="s">
        <v>1411</v>
      </c>
      <c r="G416" s="93" t="s">
        <v>804</v>
      </c>
      <c r="H416" s="93" t="s">
        <v>223</v>
      </c>
      <c r="I416" s="93" t="s">
        <v>936</v>
      </c>
      <c r="J416" s="94">
        <v>6115.98</v>
      </c>
      <c r="K416" s="94"/>
      <c r="L416" s="95"/>
    </row>
    <row r="417" spans="6:12" x14ac:dyDescent="0.35">
      <c r="F417" s="92" t="s">
        <v>1412</v>
      </c>
      <c r="G417" s="93" t="s">
        <v>804</v>
      </c>
      <c r="H417" s="93" t="s">
        <v>223</v>
      </c>
      <c r="I417" s="93" t="s">
        <v>947</v>
      </c>
      <c r="J417" s="94">
        <v>138.6</v>
      </c>
      <c r="K417" s="94"/>
      <c r="L417" s="95"/>
    </row>
    <row r="418" spans="6:12" x14ac:dyDescent="0.35">
      <c r="F418" s="92" t="s">
        <v>1413</v>
      </c>
      <c r="G418" s="93" t="s">
        <v>804</v>
      </c>
      <c r="H418" s="93" t="s">
        <v>223</v>
      </c>
      <c r="I418" s="93" t="s">
        <v>939</v>
      </c>
      <c r="J418" s="94">
        <v>1714.6</v>
      </c>
      <c r="K418" s="94"/>
      <c r="L418" s="95"/>
    </row>
    <row r="419" spans="6:12" x14ac:dyDescent="0.35">
      <c r="F419" s="92" t="s">
        <v>1414</v>
      </c>
      <c r="G419" s="93" t="s">
        <v>804</v>
      </c>
      <c r="H419" s="93" t="s">
        <v>223</v>
      </c>
      <c r="I419" s="93" t="s">
        <v>936</v>
      </c>
      <c r="J419" s="94">
        <v>6084.4</v>
      </c>
      <c r="K419" s="94"/>
      <c r="L419" s="95"/>
    </row>
    <row r="420" spans="6:12" x14ac:dyDescent="0.35">
      <c r="F420" s="92" t="s">
        <v>1415</v>
      </c>
      <c r="G420" s="93" t="s">
        <v>804</v>
      </c>
      <c r="H420" s="93" t="s">
        <v>223</v>
      </c>
      <c r="I420" s="93" t="s">
        <v>936</v>
      </c>
      <c r="J420" s="94">
        <v>3042.2</v>
      </c>
      <c r="K420" s="94"/>
      <c r="L420" s="95"/>
    </row>
    <row r="421" spans="6:12" x14ac:dyDescent="0.35">
      <c r="F421" s="92" t="s">
        <v>1416</v>
      </c>
      <c r="G421" s="93" t="s">
        <v>804</v>
      </c>
      <c r="H421" s="93" t="s">
        <v>223</v>
      </c>
      <c r="I421" s="93" t="s">
        <v>942</v>
      </c>
      <c r="J421" s="94">
        <v>0</v>
      </c>
      <c r="K421" s="94"/>
      <c r="L421" s="95"/>
    </row>
    <row r="422" spans="6:12" x14ac:dyDescent="0.35">
      <c r="F422" s="92" t="s">
        <v>1417</v>
      </c>
      <c r="G422" s="93" t="s">
        <v>804</v>
      </c>
      <c r="H422" s="93" t="s">
        <v>102</v>
      </c>
      <c r="I422" s="93" t="s">
        <v>951</v>
      </c>
      <c r="J422" s="94">
        <v>11150.44</v>
      </c>
      <c r="K422" s="94"/>
      <c r="L422" s="95"/>
    </row>
    <row r="423" spans="6:12" x14ac:dyDescent="0.35">
      <c r="F423" s="92" t="s">
        <v>1418</v>
      </c>
      <c r="G423" s="93" t="s">
        <v>804</v>
      </c>
      <c r="H423" s="93" t="s">
        <v>102</v>
      </c>
      <c r="I423" s="93" t="s">
        <v>952</v>
      </c>
      <c r="J423" s="94">
        <v>7500</v>
      </c>
      <c r="K423" s="94"/>
      <c r="L423" s="95"/>
    </row>
    <row r="424" spans="6:12" x14ac:dyDescent="0.35">
      <c r="F424" s="92" t="s">
        <v>1419</v>
      </c>
      <c r="G424" s="93" t="s">
        <v>804</v>
      </c>
      <c r="H424" s="93" t="s">
        <v>102</v>
      </c>
      <c r="I424" s="93" t="s">
        <v>953</v>
      </c>
      <c r="J424" s="94">
        <v>35100</v>
      </c>
      <c r="K424" s="94"/>
      <c r="L424" s="95"/>
    </row>
    <row r="425" spans="6:12" x14ac:dyDescent="0.35">
      <c r="F425" s="92" t="s">
        <v>1420</v>
      </c>
      <c r="G425" s="93" t="s">
        <v>804</v>
      </c>
      <c r="H425" s="93" t="s">
        <v>102</v>
      </c>
      <c r="I425" s="93" t="s">
        <v>955</v>
      </c>
      <c r="J425" s="94">
        <v>8000</v>
      </c>
      <c r="K425" s="94"/>
      <c r="L425" s="95"/>
    </row>
    <row r="426" spans="6:12" x14ac:dyDescent="0.35">
      <c r="F426" s="92" t="s">
        <v>1421</v>
      </c>
      <c r="G426" s="93" t="s">
        <v>804</v>
      </c>
      <c r="H426" s="93" t="s">
        <v>102</v>
      </c>
      <c r="I426" s="93" t="s">
        <v>957</v>
      </c>
      <c r="J426" s="94">
        <v>22068.83</v>
      </c>
      <c r="K426" s="94"/>
      <c r="L426" s="95"/>
    </row>
    <row r="427" spans="6:12" x14ac:dyDescent="0.35">
      <c r="F427" s="92" t="s">
        <v>1422</v>
      </c>
      <c r="G427" s="93" t="s">
        <v>804</v>
      </c>
      <c r="H427" s="93" t="s">
        <v>223</v>
      </c>
      <c r="I427" s="93" t="s">
        <v>959</v>
      </c>
      <c r="J427" s="94">
        <v>2200</v>
      </c>
      <c r="K427" s="94"/>
      <c r="L427" s="95"/>
    </row>
    <row r="428" spans="6:12" x14ac:dyDescent="0.35">
      <c r="F428" s="92" t="s">
        <v>1423</v>
      </c>
      <c r="G428" s="93" t="s">
        <v>169</v>
      </c>
      <c r="H428" s="93" t="s">
        <v>223</v>
      </c>
      <c r="I428" s="93" t="s">
        <v>963</v>
      </c>
      <c r="J428" s="94">
        <v>0</v>
      </c>
      <c r="K428" s="94"/>
      <c r="L428" s="95"/>
    </row>
    <row r="429" spans="6:12" x14ac:dyDescent="0.35">
      <c r="F429" s="92" t="s">
        <v>1424</v>
      </c>
      <c r="G429" s="93" t="s">
        <v>169</v>
      </c>
      <c r="H429" s="93" t="s">
        <v>223</v>
      </c>
      <c r="I429" s="93" t="s">
        <v>964</v>
      </c>
      <c r="J429" s="94">
        <v>0</v>
      </c>
      <c r="K429" s="94"/>
      <c r="L429" s="95"/>
    </row>
    <row r="430" spans="6:12" x14ac:dyDescent="0.35">
      <c r="F430" s="92" t="s">
        <v>1425</v>
      </c>
      <c r="G430" s="93"/>
      <c r="H430" s="93" t="s">
        <v>101</v>
      </c>
      <c r="I430" s="93" t="s">
        <v>965</v>
      </c>
      <c r="J430" s="94">
        <v>0</v>
      </c>
      <c r="K430" s="94"/>
      <c r="L430" s="95"/>
    </row>
    <row r="431" spans="6:12" x14ac:dyDescent="0.35">
      <c r="F431" s="92" t="s">
        <v>1426</v>
      </c>
      <c r="G431" s="93" t="s">
        <v>169</v>
      </c>
      <c r="H431" s="93" t="s">
        <v>101</v>
      </c>
      <c r="I431" s="93" t="s">
        <v>966</v>
      </c>
      <c r="J431" s="94">
        <v>0</v>
      </c>
      <c r="K431" s="94"/>
      <c r="L431" s="95"/>
    </row>
    <row r="432" spans="6:12" x14ac:dyDescent="0.35">
      <c r="F432" s="92" t="s">
        <v>1427</v>
      </c>
      <c r="G432" s="93" t="s">
        <v>969</v>
      </c>
      <c r="H432" s="93" t="s">
        <v>223</v>
      </c>
      <c r="I432" s="93" t="s">
        <v>967</v>
      </c>
      <c r="J432" s="94"/>
      <c r="K432" s="94"/>
      <c r="L432" s="95"/>
    </row>
    <row r="433" spans="6:12" x14ac:dyDescent="0.35">
      <c r="F433" s="92" t="s">
        <v>1428</v>
      </c>
      <c r="G433" s="93" t="s">
        <v>601</v>
      </c>
      <c r="H433" s="93" t="s">
        <v>101</v>
      </c>
      <c r="I433" s="93" t="s">
        <v>970</v>
      </c>
      <c r="J433" s="94"/>
      <c r="K433" s="94"/>
      <c r="L433" s="95"/>
    </row>
    <row r="434" spans="6:12" x14ac:dyDescent="0.35">
      <c r="F434" s="92" t="s">
        <v>1429</v>
      </c>
      <c r="G434" s="93" t="s">
        <v>974</v>
      </c>
      <c r="H434" s="93" t="s">
        <v>101</v>
      </c>
      <c r="I434" s="93" t="s">
        <v>973</v>
      </c>
      <c r="J434" s="94"/>
      <c r="K434" s="94"/>
      <c r="L434" s="95"/>
    </row>
    <row r="435" spans="6:12" x14ac:dyDescent="0.35">
      <c r="F435" s="92" t="s">
        <v>1430</v>
      </c>
      <c r="G435" s="93" t="s">
        <v>804</v>
      </c>
      <c r="H435" s="93" t="s">
        <v>223</v>
      </c>
      <c r="I435" s="93" t="s">
        <v>976</v>
      </c>
      <c r="J435" s="94"/>
      <c r="K435" s="94"/>
      <c r="L435" s="95"/>
    </row>
    <row r="436" spans="6:12" x14ac:dyDescent="0.35">
      <c r="F436" s="92" t="s">
        <v>1431</v>
      </c>
      <c r="G436" s="93" t="s">
        <v>974</v>
      </c>
      <c r="H436" s="93" t="s">
        <v>101</v>
      </c>
      <c r="I436" s="93" t="s">
        <v>978</v>
      </c>
      <c r="J436" s="94"/>
      <c r="K436" s="94"/>
      <c r="L436" s="95"/>
    </row>
    <row r="437" spans="6:12" x14ac:dyDescent="0.35">
      <c r="F437" s="92" t="s">
        <v>1432</v>
      </c>
      <c r="G437" s="93"/>
      <c r="H437" s="93" t="s">
        <v>102</v>
      </c>
      <c r="I437" s="93" t="s">
        <v>980</v>
      </c>
      <c r="J437" s="94"/>
      <c r="K437" s="94"/>
      <c r="L437" s="95"/>
    </row>
    <row r="438" spans="6:12" x14ac:dyDescent="0.35">
      <c r="F438" s="92" t="s">
        <v>1433</v>
      </c>
      <c r="G438" s="93" t="s">
        <v>985</v>
      </c>
      <c r="H438" s="93" t="s">
        <v>102</v>
      </c>
      <c r="I438" s="93" t="s">
        <v>983</v>
      </c>
      <c r="J438" s="94">
        <v>0</v>
      </c>
      <c r="K438" s="94"/>
      <c r="L438" s="95"/>
    </row>
    <row r="439" spans="6:12" x14ac:dyDescent="0.35">
      <c r="F439" s="92" t="s">
        <v>1434</v>
      </c>
      <c r="G439" s="93" t="s">
        <v>169</v>
      </c>
      <c r="H439" s="93" t="s">
        <v>102</v>
      </c>
      <c r="I439" s="93" t="s">
        <v>988</v>
      </c>
      <c r="J439" s="94"/>
      <c r="K439" s="94"/>
      <c r="L439" s="95"/>
    </row>
    <row r="440" spans="6:12" x14ac:dyDescent="0.35">
      <c r="F440" s="92" t="s">
        <v>1435</v>
      </c>
      <c r="G440" s="93"/>
      <c r="H440" s="93" t="s">
        <v>101</v>
      </c>
      <c r="I440" s="93" t="s">
        <v>991</v>
      </c>
      <c r="J440" s="94"/>
      <c r="K440" s="94"/>
      <c r="L440" s="95"/>
    </row>
    <row r="441" spans="6:12" x14ac:dyDescent="0.35">
      <c r="F441" s="92" t="s">
        <v>1436</v>
      </c>
      <c r="G441" s="93" t="s">
        <v>985</v>
      </c>
      <c r="H441" s="93" t="s">
        <v>102</v>
      </c>
      <c r="I441" s="93" t="s">
        <v>994</v>
      </c>
      <c r="J441" s="94"/>
      <c r="K441" s="94"/>
      <c r="L441" s="95"/>
    </row>
    <row r="442" spans="6:12" x14ac:dyDescent="0.35">
      <c r="F442" s="92" t="s">
        <v>1437</v>
      </c>
      <c r="G442" s="93" t="s">
        <v>999</v>
      </c>
      <c r="H442" s="93" t="s">
        <v>101</v>
      </c>
      <c r="I442" s="93" t="s">
        <v>997</v>
      </c>
      <c r="J442" s="94"/>
      <c r="K442" s="94"/>
      <c r="L442" s="95"/>
    </row>
    <row r="443" spans="6:12" x14ac:dyDescent="0.35">
      <c r="F443" s="92" t="s">
        <v>1438</v>
      </c>
      <c r="G443" s="93" t="s">
        <v>804</v>
      </c>
      <c r="H443" s="93" t="s">
        <v>223</v>
      </c>
      <c r="I443" s="93" t="s">
        <v>1001</v>
      </c>
      <c r="J443" s="94"/>
      <c r="K443" s="94"/>
      <c r="L443" s="95"/>
    </row>
    <row r="444" spans="6:12" x14ac:dyDescent="0.35">
      <c r="F444" s="96" t="s">
        <v>1439</v>
      </c>
      <c r="G444" s="97"/>
      <c r="H444" s="97"/>
      <c r="I444" s="97"/>
      <c r="J444" s="98"/>
      <c r="K444" s="98"/>
      <c r="L444" s="99"/>
    </row>
  </sheetData>
  <mergeCells count="5">
    <mergeCell ref="N7:O7"/>
    <mergeCell ref="N8:O8"/>
    <mergeCell ref="N9:O9"/>
    <mergeCell ref="N10:O10"/>
    <mergeCell ref="N11:O11"/>
  </mergeCells>
  <conditionalFormatting sqref="P11">
    <cfRule type="dataBar" priority="1">
      <dataBar>
        <cfvo type="min"/>
        <cfvo type="max"/>
        <color rgb="FF63C384"/>
      </dataBar>
      <extLst>
        <ext xmlns:x14="http://schemas.microsoft.com/office/spreadsheetml/2009/9/main" uri="{B025F937-C7B1-47D3-B67F-A62EFF666E3E}">
          <x14:id>{BDE8D72C-FB04-4868-913C-E335E246B0A9}</x14:id>
        </ext>
      </extLst>
    </cfRule>
  </conditionalFormatting>
  <conditionalFormatting sqref="S11">
    <cfRule type="dataBar" priority="2">
      <dataBar>
        <cfvo type="min"/>
        <cfvo type="max"/>
        <color rgb="FF63C384"/>
      </dataBar>
      <extLst>
        <ext xmlns:x14="http://schemas.microsoft.com/office/spreadsheetml/2009/9/main" uri="{B025F937-C7B1-47D3-B67F-A62EFF666E3E}">
          <x14:id>{9D108250-100B-49E5-9141-C1D3F38E85A3}</x14:id>
        </ext>
      </extLst>
    </cfRule>
  </conditionalFormatting>
  <pageMargins left="0.7" right="0.7" top="0.75" bottom="0.75" header="0.3" footer="0.3"/>
  <pageSetup scale="32"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DE8D72C-FB04-4868-913C-E335E246B0A9}">
            <x14:dataBar minLength="0" maxLength="100" border="1" negativeBarBorderColorSameAsPositive="0">
              <x14:cfvo type="autoMin"/>
              <x14:cfvo type="autoMax"/>
              <x14:borderColor rgb="FF63C384"/>
              <x14:negativeFillColor rgb="FFFF0000"/>
              <x14:negativeBorderColor rgb="FFFF0000"/>
              <x14:axisColor rgb="FF000000"/>
            </x14:dataBar>
          </x14:cfRule>
          <xm:sqref>P11</xm:sqref>
        </x14:conditionalFormatting>
        <x14:conditionalFormatting xmlns:xm="http://schemas.microsoft.com/office/excel/2006/main">
          <x14:cfRule type="dataBar" id="{9D108250-100B-49E5-9141-C1D3F38E85A3}">
            <x14:dataBar minLength="0" maxLength="100" border="1" negativeBarBorderColorSameAsPositive="0">
              <x14:cfvo type="autoMin"/>
              <x14:cfvo type="autoMax"/>
              <x14:borderColor rgb="FF63C384"/>
              <x14:negativeFillColor rgb="FFFF0000"/>
              <x14:negativeBorderColor rgb="FFFF0000"/>
              <x14:axisColor rgb="FF000000"/>
            </x14:dataBar>
          </x14:cfRule>
          <xm:sqref>S11</xm:sqref>
        </x14:conditionalFormatting>
      </x14:conditionalFormattings>
    </ext>
  </extLst>
</worksheet>
</file>

<file path=customUI/customUI14.xml><?xml version="1.0" encoding="utf-8"?>
<customUI xmlns="http://schemas.microsoft.com/office/2009/07/customui">
  <ribbon startFromScratch="false">
    <tabs>
      <tab idMso="TabHome">
        <group idMso="GroupFont" visible="false"/>
        <group idMso="GroupAlignmentExcel" visible="false"/>
        <group idMso="GroupClipboard" visible="false"/>
        <group idMso="GroupComments" visible="false"/>
        <group idMso="GroupEditingExcel" visible="false"/>
        <group idMso="GroupStyles" visible="false"/>
        <group idMso="GroupCells" visible="false"/>
        <group idMso="GroupChartAnalysis" visible="false"/>
        <group idMso="GroupNumber" visible="false"/>
        <group id="Dashboard" insertBeforeMso="GroupAlignmentExcel" label="Dashboard">
          <button id="UpdateDashboardMetrics" label="Update Metrics" imageMso="Chart3DColumnChart" size="large" onAction="CallbackDash"/>
          <button id="LookaheadSchedule" label="Create Look Ahead Schedule" imageMso="DateAndTimeInsert" size="large" onAction="CallbackDashSchedule"/>
        </group>
        <group id="FFE" insertBeforeMso="GroupAlignmentExcel" label="FFE">
          <button id="RefreshFFEAssociations" label="Refresh FFE Associations" imageMso="DataRefreshAll" size="large" onAction="CallbackFFEAssoc"/>
          <button id="UpdateFFEPunchList" label="Update FFE Punch List" imageMso="TableSharePointListsRefreshList" size="large" onAction="CallbackFFEPunchlist"/>
        </group>
        <group id="IssueLog" insertBeforeMso="GroupAlignmentExcel" label="Issue Log">
          <button id="RefreshIssueLog" label="Update Issue Log" imageMso="FieldsUpdate" size="large" onAction="CallbackIssueLog"/>
          <button id="AddIssueLine" label="Additional Issue" imageMso="SourceControlAddObjects" size="large" onAction="CallbackAddCopyIssue"/>
        </group>
        <group id="MoveManagement" insertBeforeMso="GroupAlignmentExcel" label="Move Management">
          <button id="UpdateMoveManagement" label="Update Move Management Log" imageMso="PivotTableExpandField" size="large" onAction="CallbackMoveManagementSync"/>
        </group>
        <group id="SwingSpace" insertBeforeMso="GroupAlignmentExcel" label="Swing Space">
          <button id="UpdateSwingSpace" label="Update Swing Space Log" imageMso="DataFormAddRecord" size="large" onAction="CallbackSwingSpaceSync"/>
          <button id="UpdateSwingSpacePunchlist" label="Update Swing Space Punch List" imageMso="ConvertTextToTable" size="large" onAction="CallbackSwingSpacePunchList"/>
          <button id="CreateSwingSpaceSub" label="Create Subcategory" imageMso="OrganizationChartInsertSubordinate" size="large" onAction="CallbackSwingSpaceSub"/>
          <button id="ReturnSwingSpaceParent" label="Return Sub to Parent" imageMso="OrganizationChartInsertAssistant" size="large" onAction="CallbackSwingSpaceParent"/>
        </group>
        <group id="Schedule" insertBeforeMso="GroupAlignmentExcel" label="Schedule">
          <button id="RefreshGantt" label="Update Gantt Chart" imageMso="ChartTypeBarInsertGallery" size="large" onAction="CallbackGantt"/>
          <button id="SortSchedule" label="Sort Schedule" imageMso="SortAscendingExcel" size="large" onAction="CallbackSortSchedule"/>
        </group>
        <group id="BudgetCosts" insertBeforeMso="GroupAlignmentExcel" label="Budget and Costs">
          <button id="UpdateBudgetCosts" label="Update Costs" imageMso="InternationalCurrency" size="large" onAction="CallbackUpdateBudgetCostlog"/>
          <button id="BudgetTotals" label="Budget Totals" imageMso="TableStyleTotalsRow" size="large" onAction="CallbackBudgetTotal"/>
        </group>
      </tab>
      <tab idMso="TabInsert" visible="false"/>
      <tab idMso="TabDrawInk" visible="false"/>
      <tab idMso="TabPageLayoutExcel" visible="false"/>
      <tab idMso="TabFormulas" visible="false"/>
      <tab idMso="TabData" visible="false"/>
      <tab idMso="TabReview" visible="false"/>
      <tab idMso="TabView" visible="false"/>
      <tab idMso="TabDeveloper" visible="false"/>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38</vt:i4>
      </vt:variant>
    </vt:vector>
  </HeadingPairs>
  <TitlesOfParts>
    <vt:vector size="48" baseType="lpstr">
      <vt:lpstr>Dashboard</vt:lpstr>
      <vt:lpstr>Master FF&amp;E List</vt:lpstr>
      <vt:lpstr>Issue Log</vt:lpstr>
      <vt:lpstr>FF&amp;E Punch List</vt:lpstr>
      <vt:lpstr>Move Management</vt:lpstr>
      <vt:lpstr>Swing Space</vt:lpstr>
      <vt:lpstr>Tenant Improvement</vt:lpstr>
      <vt:lpstr>Swing Space Punch List</vt:lpstr>
      <vt:lpstr>Schedule</vt:lpstr>
      <vt:lpstr>Budget &amp; Costs</vt:lpstr>
      <vt:lpstr>ActivityTypes</vt:lpstr>
      <vt:lpstr>ActualGrandTotal</vt:lpstr>
      <vt:lpstr>ActualOverUnder</vt:lpstr>
      <vt:lpstr>ActualTotal</vt:lpstr>
      <vt:lpstr>Contingency</vt:lpstr>
      <vt:lpstr>DataRequiredList</vt:lpstr>
      <vt:lpstr>FFEBudget</vt:lpstr>
      <vt:lpstr>FFEItemStatusList</vt:lpstr>
      <vt:lpstr>FundingSourceList</vt:lpstr>
      <vt:lpstr>FundsRemaining</vt:lpstr>
      <vt:lpstr>IssueStatusList</vt:lpstr>
      <vt:lpstr>IssueTypeList</vt:lpstr>
      <vt:lpstr>ItemConditionList</vt:lpstr>
      <vt:lpstr>MountedList</vt:lpstr>
      <vt:lpstr>MoveStatusList</vt:lpstr>
      <vt:lpstr>OccupantsList</vt:lpstr>
      <vt:lpstr>PlannedGrandTotalLists</vt:lpstr>
      <vt:lpstr>PlannedOverUnder</vt:lpstr>
      <vt:lpstr>PowerRequiredList</vt:lpstr>
      <vt:lpstr>Settings!Print_Area</vt:lpstr>
      <vt:lpstr>PriorityList</vt:lpstr>
      <vt:lpstr>ProcessStatusList</vt:lpstr>
      <vt:lpstr>ProcurementList</vt:lpstr>
      <vt:lpstr>ProductTypeList</vt:lpstr>
      <vt:lpstr>ProjectName</vt:lpstr>
      <vt:lpstr>ProjectNameReport</vt:lpstr>
      <vt:lpstr>PunchListItemList</vt:lpstr>
      <vt:lpstr>PunchListStatusList</vt:lpstr>
      <vt:lpstr>RoomTypeList</vt:lpstr>
      <vt:lpstr>ScheduleActivityType</vt:lpstr>
      <vt:lpstr>SwingSpaceItemList</vt:lpstr>
      <vt:lpstr>SwingSpacePhaseList</vt:lpstr>
      <vt:lpstr>TotalFFEBudget</vt:lpstr>
      <vt:lpstr>TrueContingency</vt:lpstr>
      <vt:lpstr>TrueFFEBudget</vt:lpstr>
      <vt:lpstr>UnitOfMeasureList</vt:lpstr>
      <vt:lpstr>WarrantyList</vt:lpstr>
      <vt:lpstr>WarrantyTypeList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Menua Minasian</dc:creator>
  <cp:lastModifiedBy>Talin Kouyoumdjian</cp:lastModifiedBy>
  <cp:lastPrinted>2025-07-13T17:44:08Z</cp:lastPrinted>
  <dcterms:created xsi:type="dcterms:W3CDTF">2025-06-20T09:48:30Z</dcterms:created>
  <dcterms:modified xsi:type="dcterms:W3CDTF">2025-09-27T20:42:26Z</dcterms:modified>
</cp:coreProperties>
</file>